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Q1" sheetId="1" r:id="rId5"/>
    <sheet state="visible" name="RQ2" sheetId="2" r:id="rId6"/>
    <sheet state="visible" name="RQ2.1" sheetId="3" r:id="rId7"/>
    <sheet state="visible" name="RQ3" sheetId="4" r:id="rId8"/>
    <sheet state="visible" name="RQ4" sheetId="5" r:id="rId9"/>
    <sheet state="visible" name="Dipromats" sheetId="6" r:id="rId10"/>
    <sheet state="visible" name="SemEval_2025_T2" sheetId="7" r:id="rId11"/>
    <sheet state="visible" name="RawData_Dipro" sheetId="8" r:id="rId12"/>
    <sheet state="visible" name="RawData_SemEval" sheetId="9" r:id="rId13"/>
    <sheet state="visible" name="RawData_Ensembles" sheetId="10" r:id="rId14"/>
    <sheet state="visible" name="Copy of Copy of SemEval_2025_T2" sheetId="11" r:id="rId15"/>
    <sheet state="visible" name="Copy of RawData_SemEval_test" sheetId="12" r:id="rId16"/>
    <sheet state="visible" name="RawData_SemEval_test" sheetId="13" r:id="rId17"/>
    <sheet state="visible" name="Copy of RawData_Ensembles_test" sheetId="14" r:id="rId18"/>
    <sheet state="visible" name="lang" sheetId="15" r:id="rId19"/>
  </sheets>
  <definedNames/>
  <calcPr/>
</workbook>
</file>

<file path=xl/sharedStrings.xml><?xml version="1.0" encoding="utf-8"?>
<sst xmlns="http://schemas.openxmlformats.org/spreadsheetml/2006/main" count="3774" uniqueCount="2362">
  <si>
    <t>RQ2</t>
  </si>
  <si>
    <t>RQ1</t>
  </si>
  <si>
    <t>Is it better to use the original human defined descriptions of narratives or ask the models to rewrite / improve / extend them?</t>
  </si>
  <si>
    <t>Are narrative titles enough or models benefit from an extended narrative description?</t>
  </si>
  <si>
    <t>RQ3</t>
  </si>
  <si>
    <t>Is it better to use self-description or a more powerful model description, such as GPT?</t>
  </si>
  <si>
    <t>ALL</t>
  </si>
  <si>
    <t>EN</t>
  </si>
  <si>
    <t>HI</t>
  </si>
  <si>
    <t>PT</t>
  </si>
  <si>
    <t>BG</t>
  </si>
  <si>
    <t>RU</t>
  </si>
  <si>
    <t>Total</t>
  </si>
  <si>
    <t>calme</t>
  </si>
  <si>
    <t>dipro</t>
  </si>
  <si>
    <t>gemma</t>
  </si>
  <si>
    <t>exaone</t>
  </si>
  <si>
    <t>granite</t>
  </si>
  <si>
    <t>Number of models better than no_no</t>
  </si>
  <si>
    <t>Number of models worst than original_original</t>
  </si>
  <si>
    <t>own_title</t>
  </si>
  <si>
    <t>no_no</t>
  </si>
  <si>
    <t>gpt_title</t>
  </si>
  <si>
    <t>delta_title</t>
  </si>
  <si>
    <t>own_description</t>
  </si>
  <si>
    <t>gpt_description</t>
  </si>
  <si>
    <t>original_original</t>
  </si>
  <si>
    <t>delta_desc</t>
  </si>
  <si>
    <t>own_description_complete</t>
  </si>
  <si>
    <t>gpt_description_complete</t>
  </si>
  <si>
    <t>delta_compl</t>
  </si>
  <si>
    <t>AVG F1</t>
  </si>
  <si>
    <t>delta_original</t>
  </si>
  <si>
    <t>Number of better than original_original</t>
  </si>
  <si>
    <t>3_steps_narr</t>
  </si>
  <si>
    <t>3_steps_subnarr</t>
  </si>
  <si>
    <t>Number of models worse than no_no</t>
  </si>
  <si>
    <t>delta_own_title</t>
  </si>
  <si>
    <t>zero_shot_gpt_only_title</t>
  </si>
  <si>
    <t>gpt_only_title</t>
  </si>
  <si>
    <t>delta_gpt_title</t>
  </si>
  <si>
    <t>Percentage of worst models</t>
  </si>
  <si>
    <t>Percentage of better models</t>
  </si>
  <si>
    <t>gpt_title_description</t>
  </si>
  <si>
    <t>delta_own_description</t>
  </si>
  <si>
    <t>delta_description</t>
  </si>
  <si>
    <t>ONLY original_original</t>
  </si>
  <si>
    <t>delta_gpt_description</t>
  </si>
  <si>
    <t>gpt_title_description_complete</t>
  </si>
  <si>
    <t>delta_complete</t>
  </si>
  <si>
    <t>delta_own_description_comp</t>
  </si>
  <si>
    <t>hybrid_narr</t>
  </si>
  <si>
    <t>hybrid_subnarr</t>
  </si>
  <si>
    <t>delta_gpt_description_comp</t>
  </si>
  <si>
    <t>Enhanced Desc Only</t>
  </si>
  <si>
    <t>all_in_1_narr</t>
  </si>
  <si>
    <t>all_in_1_subnarr</t>
  </si>
  <si>
    <t>3_steps</t>
  </si>
  <si>
    <t>only_title</t>
  </si>
  <si>
    <t>title_description</t>
  </si>
  <si>
    <t>zero_shot_gpt_title_description</t>
  </si>
  <si>
    <t>title_description_complete</t>
  </si>
  <si>
    <t>Narr</t>
  </si>
  <si>
    <t>zero_shot_gpt_title_description_complete</t>
  </si>
  <si>
    <t>RQ5</t>
  </si>
  <si>
    <t>How effective are ensemble strategies in improving the robustness and accuracy of zero-shot narrative detection?</t>
  </si>
  <si>
    <t>Ensembles of all models with the best approach vs. averages Ensembles by model and approach</t>
  </si>
  <si>
    <t>DIPRO</t>
  </si>
  <si>
    <t>es</t>
  </si>
  <si>
    <t>en</t>
  </si>
  <si>
    <t>AVG_all_models</t>
  </si>
  <si>
    <t>all_models</t>
  </si>
  <si>
    <t>AVG_except_granite</t>
  </si>
  <si>
    <t>except_granite</t>
  </si>
  <si>
    <t>majority</t>
  </si>
  <si>
    <t>inclusion</t>
  </si>
  <si>
    <t>all_models_s</t>
  </si>
  <si>
    <t>f1_coarse</t>
  </si>
  <si>
    <t>f1_fine</t>
  </si>
  <si>
    <t>all_in_one</t>
  </si>
  <si>
    <t>hybrid</t>
  </si>
  <si>
    <t>Subnarr</t>
  </si>
  <si>
    <t>delta f1_coarse</t>
  </si>
  <si>
    <t>delta f1_fine</t>
  </si>
  <si>
    <t>Total mejores al AVG</t>
  </si>
  <si>
    <t>All</t>
  </si>
  <si>
    <t>All  except granite</t>
  </si>
  <si>
    <t>Media narrativas</t>
  </si>
  <si>
    <t>Inclusion</t>
  </si>
  <si>
    <t>Media subnarrativas</t>
  </si>
  <si>
    <t>maority</t>
  </si>
  <si>
    <t>System</t>
  </si>
  <si>
    <t>All in One</t>
  </si>
  <si>
    <t>Hybrid</t>
  </si>
  <si>
    <t>3 steps</t>
  </si>
  <si>
    <t>calme_no_no</t>
  </si>
  <si>
    <t>approach_name</t>
  </si>
  <si>
    <t>lang</t>
  </si>
  <si>
    <t>f1</t>
  </si>
  <si>
    <t>calme_zero_shot_calme_description</t>
  </si>
  <si>
    <t>calme_zero_shot_calme_description_complete</t>
  </si>
  <si>
    <t>calme_zero_shot_calme_description_complete_ensemble_inclusion</t>
  </si>
  <si>
    <t>calme_zero_shot_calme_description_complete_ensemble_majority</t>
  </si>
  <si>
    <t>calme_zero_shot_calme_description_ensemble_inclusion</t>
  </si>
  <si>
    <t>calme_zero_shot_calme_description_ensemble_majority</t>
  </si>
  <si>
    <t>calme_zero_shot_calme_only_title</t>
  </si>
  <si>
    <t>calme_zero_shot_calme_only_title_ensemble_inclusion</t>
  </si>
  <si>
    <t>calme_zero_shot_calme_only_title_ensemble_majority</t>
  </si>
  <si>
    <t>calme_zero_shot_gpt_description</t>
  </si>
  <si>
    <t>Meter max y min por model</t>
  </si>
  <si>
    <t>calme_zero_shot_gpt_description_complete</t>
  </si>
  <si>
    <t>calme_zero_shot_gpt_description_complete_ensemble_inclusion</t>
  </si>
  <si>
    <t>calme_zero_shot_gpt_description_complete_ensemble_majority</t>
  </si>
  <si>
    <t>calme_zero_shot_gpt_description_ensemble_inclusion</t>
  </si>
  <si>
    <t>calme_zero_shot_gpt_description_ensemble_majority</t>
  </si>
  <si>
    <t>calme_zero_shot_gpt_only_title</t>
  </si>
  <si>
    <t>calme_zero_shot_gpt_only_title_ensemble_inclusion</t>
  </si>
  <si>
    <t>calme_zero_shot_gpt_only_title_ensemble_majority</t>
  </si>
  <si>
    <t>calme_zero_shot_no_no</t>
  </si>
  <si>
    <t>calme_zero_shot_no_no_ensemble_inclusion</t>
  </si>
  <si>
    <t>calme_zero_shot_no_no_ensemble_majority</t>
  </si>
  <si>
    <t>calme_zero_shot_original_original</t>
  </si>
  <si>
    <t>calme_zero_shot_original_original_ensemble_inclusion</t>
  </si>
  <si>
    <t>calme_zero_shot_original_original_ensemble_majority</t>
  </si>
  <si>
    <t>exaone_zero_shot_exaone_description</t>
  </si>
  <si>
    <t>exaone_zero_shot_exaone_description_complete</t>
  </si>
  <si>
    <t>exaone_zero_shot_exaone_description_complete_ensemble_inclusion</t>
  </si>
  <si>
    <t>exaone_zero_shot_exaone_description_complete_ensemble_majority</t>
  </si>
  <si>
    <t>exaone_zero_shot_exaone_description_ensemble_inclusion</t>
  </si>
  <si>
    <t>exaone_zero_shot_exaone_description_ensemble_majority</t>
  </si>
  <si>
    <t>exaone_zero_shot_exaone_only_title</t>
  </si>
  <si>
    <t>exaone_zero_shot_exaone_only_title_ensemble_inclusion</t>
  </si>
  <si>
    <t>exaone_zero_shot_exaone_only_title_ensemble_majority</t>
  </si>
  <si>
    <t>exaone_zero_shot_gpt_description</t>
  </si>
  <si>
    <t>exaone_zero_shot_gpt_description_complete</t>
  </si>
  <si>
    <t>exaone_zero_shot_gpt_description_complete_ensemble_inclusion</t>
  </si>
  <si>
    <t>exaone_zero_shot_gpt_description_complete_ensemble_majority</t>
  </si>
  <si>
    <t>exaone_zero_shot_gpt_description_ensemble_inclusion</t>
  </si>
  <si>
    <t>exaone_zero_shot_gpt_description_ensemble_majority</t>
  </si>
  <si>
    <t>exaone_zero_shot_gpt_only_title</t>
  </si>
  <si>
    <t>exaone_zero_shot_gpt_only_title_ensemble_inclusion</t>
  </si>
  <si>
    <t>exaone_zero_shot_gpt_only_title_ensemble_majority</t>
  </si>
  <si>
    <t>exaone_zero_shot_no_no</t>
  </si>
  <si>
    <t>exaone_zero_shot_no_no_ensemble_inclusion</t>
  </si>
  <si>
    <t>exaone_zero_shot_no_no_ensemble_majority</t>
  </si>
  <si>
    <t>exaone_zero_shot_original_original</t>
  </si>
  <si>
    <t>exaone_zero_shot_original_original_ensemble_inclusion</t>
  </si>
  <si>
    <t>exaone_zero_shot_original_original_ensemble_majority</t>
  </si>
  <si>
    <t>gemma_zero_shot_gemma_description</t>
  </si>
  <si>
    <t>gemma_zero_shot_gemma_description_complete</t>
  </si>
  <si>
    <t>gemma_zero_shot_gemma_description_complete_ensemble_inclusion</t>
  </si>
  <si>
    <t>gemma_zero_shot_gemma_description_complete_ensemble_majority</t>
  </si>
  <si>
    <t>gemma_zero_shot_gemma_description_ensemble_inclusion</t>
  </si>
  <si>
    <t>gemma_zero_shot_gemma_description_ensemble_majority</t>
  </si>
  <si>
    <t>gemma_zero_shot_gemma_only_title</t>
  </si>
  <si>
    <t>gemma_zero_shot_gemma_only_title_ensemble_inclusion</t>
  </si>
  <si>
    <t>gemma_zero_shot_gemma_only_title_ensemble_majority</t>
  </si>
  <si>
    <t>gemma_zero_shot_gpt_description</t>
  </si>
  <si>
    <t>gemma_zero_shot_gpt_description_complete</t>
  </si>
  <si>
    <t>gemma_zero_shot_gpt_description_complete_ensemble_inclusion</t>
  </si>
  <si>
    <t>gemma_zero_shot_gpt_description_complete_ensemble_majority</t>
  </si>
  <si>
    <t>gemma_zero_shot_gpt_description_ensemble_inclusion</t>
  </si>
  <si>
    <t>gemma_zero_shot_gpt_description_ensemble_majority</t>
  </si>
  <si>
    <t>gemma_zero_shot_gpt_only_title</t>
  </si>
  <si>
    <t>gemma_zero_shot_gpt_only_title_ensemble_inclusion</t>
  </si>
  <si>
    <t>gemma_zero_shot_gpt_only_title_ensemble_majority</t>
  </si>
  <si>
    <t>gemma_zero_shot_no_no</t>
  </si>
  <si>
    <t>gemma_zero_shot_no_no_ensemble_inclusion</t>
  </si>
  <si>
    <t>gemma_zero_shot_no_no_ensemble_majority</t>
  </si>
  <si>
    <t>gemma_zero_shot_original_original</t>
  </si>
  <si>
    <t>gemma_zero_shot_original_original_ensemble_inclusion</t>
  </si>
  <si>
    <t>gemma_zero_shot_original_original_ensemble_majority</t>
  </si>
  <si>
    <t>granite_zero_shot_gpt_description</t>
  </si>
  <si>
    <t>granite_zero_shot_gpt_description_complete</t>
  </si>
  <si>
    <t>granite_zero_shot_gpt_description_complete_ensemble_inclusion</t>
  </si>
  <si>
    <t>granite_zero_shot_gpt_description_complete_ensemble_majority</t>
  </si>
  <si>
    <t>granite_zero_shot_gpt_description_ensemble_inclusion</t>
  </si>
  <si>
    <t>granite_zero_shot_gpt_description_ensemble_majority</t>
  </si>
  <si>
    <t>granite_zero_shot_gpt_only_title</t>
  </si>
  <si>
    <t>granite_zero_shot_gpt_only_title_ensemble_inclusion</t>
  </si>
  <si>
    <t>granite_zero_shot_gpt_only_title_ensemble_majority</t>
  </si>
  <si>
    <t>granite_zero_shot_granite_description</t>
  </si>
  <si>
    <t>granite_zero_shot_granite_description_complete</t>
  </si>
  <si>
    <t>granite_zero_shot_granite_description_complete_ensemble_inclusion</t>
  </si>
  <si>
    <t>granite_zero_shot_granite_description_complete_ensemble_majority</t>
  </si>
  <si>
    <t>granite_zero_shot_granite_description_ensemble_inclusion</t>
  </si>
  <si>
    <t>granite_zero_shot_granite_description_ensemble_majority</t>
  </si>
  <si>
    <t>granite_zero_shot_granite_only_title</t>
  </si>
  <si>
    <t>granite_zero_shot_granite_only_title_ensemble_inclusion</t>
  </si>
  <si>
    <t>granite_zero_shot_granite_only_title_ensemble_majority</t>
  </si>
  <si>
    <t>granite_zero_shot_no_no</t>
  </si>
  <si>
    <t>granite_zero_shot_no_no_ensemble_inclusion</t>
  </si>
  <si>
    <t>granite_zero_shot_no_no_ensemble_majority</t>
  </si>
  <si>
    <t>granite_zero_shot_original_original</t>
  </si>
  <si>
    <t>granite_zero_shot_original_original_ensemble_inclusion</t>
  </si>
  <si>
    <t>granite_zero_shot_original_original_ensemble_majority</t>
  </si>
  <si>
    <t>calme_original_original</t>
  </si>
  <si>
    <t>calme_only_title</t>
  </si>
  <si>
    <t>mean_f1_coarse</t>
  </si>
  <si>
    <t>ci_lower_f1_coarse</t>
  </si>
  <si>
    <t>ci_upper_f1_coarse</t>
  </si>
  <si>
    <t>mean_f1_fine</t>
  </si>
  <si>
    <t>ci_lower_f1_fine</t>
  </si>
  <si>
    <t>ci_upper_f1_fine</t>
  </si>
  <si>
    <t>calme_zero_shot_gpt_title_description_complete_zero_shot_all_in_one_EN</t>
  </si>
  <si>
    <t>calme_zero_shot_gpt_title_description_zero_shot_all_in_one_PT</t>
  </si>
  <si>
    <t>calme_zero_shot_gpt_title_description_complete_zero_shot_all_in_one_PT</t>
  </si>
  <si>
    <t>calme_zero_shot_gpt_title_description_zero_shot_all_in_one_HI</t>
  </si>
  <si>
    <t>calme_zero_shot_gpt_only_title_zero_shot_all_in_one_HI</t>
  </si>
  <si>
    <t>calme_zero_shot_gpt_only_title_zero_shot_all_in_one_PT</t>
  </si>
  <si>
    <t>calme_zero_shot_gpt_only_title_zero_shot_all_in_one_RU</t>
  </si>
  <si>
    <t>calme_zero_shot_calme_only_title_zero_shot_all_in_one_PT</t>
  </si>
  <si>
    <t>calme_zero_shot_gpt_title_description_complete_zero_shot_all_in_one_RU</t>
  </si>
  <si>
    <t>calme_zero_shot_gpt_only_title_zero_shot_all_in_one_BG</t>
  </si>
  <si>
    <t>calme_zero_shot_gpt_title_description_zero_shot_all_in_one_RU</t>
  </si>
  <si>
    <t>calme_zero_shot_gpt_title_description_complete_zero_shot_all_in_one_BG</t>
  </si>
  <si>
    <t>calme_zero_shot_gpt_only_title_zero_shot_all_in_one_EN</t>
  </si>
  <si>
    <t>calme_zero_shot_gpt_title_description_zero_shot_all_in_one_EN</t>
  </si>
  <si>
    <t>calme_zero_shot_calme_only_title_zero_shot_all_in_one_HI</t>
  </si>
  <si>
    <t>calme_zero_shot_gpt_title_description_complete_zero_shot_all_in_one_HI</t>
  </si>
  <si>
    <t>calme_zero_shot_gpt_title_description_zero_shot_all_in_one_BG</t>
  </si>
  <si>
    <t>calme_zero_shot_calme_only_title_zero_shot_all_in_one_RU</t>
  </si>
  <si>
    <t>calme_zero_shot_calme_only_title_zero_shot_all_in_one_BG</t>
  </si>
  <si>
    <t>calme_zero_shot_calme_title_description_zero_shot_all_in_one_PT</t>
  </si>
  <si>
    <t>calme_zero_shot_calme_title_description_zero_shot_all_in_one_HI</t>
  </si>
  <si>
    <t>calme_zero_shot_calme_title_description_zero_shot_all_in_one_EN</t>
  </si>
  <si>
    <t>calme_zero_shot_calme_title_description_zero_shot_all_in_one_RU</t>
  </si>
  <si>
    <t>calme_zero_shot_calme_title_description_zero_shot_all_in_one_BG</t>
  </si>
  <si>
    <t>calme_zero_shot_calme_title_description_complete_zero_shot_all_in_one_EN</t>
  </si>
  <si>
    <t>calme_zero_shot_calme_title_description_complete_zero_shot_all_in_one_PT</t>
  </si>
  <si>
    <t>calme_zero_shot_calme_title_description_complete_zero_shot_all_in_one_HI</t>
  </si>
  <si>
    <t>calme_zero_shot_calme_title_description_complete_zero_shot_all_in_one_BG</t>
  </si>
  <si>
    <t>calme_zero_shot_calme_title_description_complete_zero_shot_all_in_one_RU</t>
  </si>
  <si>
    <t>calme_zero_shot_gpt_original_original_zero_shot_all_in_one_RU</t>
  </si>
  <si>
    <t>calme_zero_shot_calme_original_original_zero_shot_all_in_one_RU</t>
  </si>
  <si>
    <t>calme_zero_shot_calme_no_no_zero_shot_all_in_one_RU</t>
  </si>
  <si>
    <t>calme_zero_shot_gpt_no_no_zero_shot_all_in_one_RU</t>
  </si>
  <si>
    <t>calme_zero_shot_gpt_original_original_zero_shot_all_in_one_HI</t>
  </si>
  <si>
    <t>calme_zero_shot_gpt_no_no_zero_shot_all_in_one_HI</t>
  </si>
  <si>
    <t>calme_zero_shot_calme_original_original_zero_shot_all_in_one_HI</t>
  </si>
  <si>
    <t>calme_zero_shot_calme_no_no_zero_shot_all_in_one_HI</t>
  </si>
  <si>
    <t>gemma_zero_shot_gpt_no_no_zero_shot_all_in_one_HI</t>
  </si>
  <si>
    <t>calme_zero_shot_gpt_no_no_zero_shot_all_in_one_PT</t>
  </si>
  <si>
    <t>gemma_zero_shot_gpt_no_no_zero_shot_all_in_one_PT</t>
  </si>
  <si>
    <t>calme_zero_shot_calme_original_original_zero_shot_all_in_one_PT</t>
  </si>
  <si>
    <t>calme_zero_shot_gpt_original_original_zero_shot_all_in_one_PT</t>
  </si>
  <si>
    <t>calme_zero_shot_calme_no_no_zero_shot_all_in_one_BG</t>
  </si>
  <si>
    <t>calme_zero_shot_calme_no_no_zero_shot_all_in_one_PT</t>
  </si>
  <si>
    <t>calme_title_description</t>
  </si>
  <si>
    <t>calme_zero_shot_gpt_no_no_zero_shot_all_in_one_EN</t>
  </si>
  <si>
    <t>calme_zero_shot_gpt_original_original_zero_shot_all_in_one_BG</t>
  </si>
  <si>
    <t>calme_zero_shot_calme_original_original_zero_shot_all_in_one_BG</t>
  </si>
  <si>
    <t>gemma_zero_shot_gpt_title_description_complete_zero_shot_all_in_one_EN</t>
  </si>
  <si>
    <t>gemma_zero_shot_gpt_title_description_complete_zero_shot_all_in_one_PT</t>
  </si>
  <si>
    <t>gemma_zero_shot_gpt_title_description_complete_zero_shot_all_in_one_HI</t>
  </si>
  <si>
    <t>gemma_zero_shot_gpt_title_description_complete_zero_shot_all_in_one_RU</t>
  </si>
  <si>
    <t>gemma_zero_shot_gpt_title_description_complete_zero_shot_all_in_one_BG</t>
  </si>
  <si>
    <t>calme_zero_shot_gpt_no_no_zero_shot_all_in_one_BG</t>
  </si>
  <si>
    <t>calme_zero_shot_calme_only_title_zero_shot_all_in_one_EN</t>
  </si>
  <si>
    <t>gemma_zero_shot_gpt_no_no_zero_shot_all_in_one_EN</t>
  </si>
  <si>
    <t>calme_zero_shot_gpt_original_original_zero_shot_all_in_one_EN</t>
  </si>
  <si>
    <t>calme_zero_shot_calme_no_no_zero_shot_all_in_one_EN</t>
  </si>
  <si>
    <t>calme_zero_shot_calme_original_original_zero_shot_all_in_one_EN</t>
  </si>
  <si>
    <t>gemma_zero_shot_gpt_no_no_zero_shot_all_in_one_RU</t>
  </si>
  <si>
    <t>gemma_zero_shot_gpt_original_original_zero_shot_all_in_one_RU</t>
  </si>
  <si>
    <t>gemma_zero_shot_gpt_only_title_zero_shot_all_in_one_RU</t>
  </si>
  <si>
    <t>gemma_zero_shot_gpt_no_no_zero_shot_all_in_one_BG</t>
  </si>
  <si>
    <t>gemma_zero_shot_gpt_title_description_zero_shot_all_in_one_RU</t>
  </si>
  <si>
    <t>gemma_zero_shot_gpt_original_original_zero_shot_all_in_one_PT</t>
  </si>
  <si>
    <t>gemma_zero_shot_gpt_original_original_zero_shot_all_in_one_EN</t>
  </si>
  <si>
    <t>gemma_zero_shot_gemma_no_no_zero_shot_all_in_one_RU</t>
  </si>
  <si>
    <t>gemma_zero_shot_gpt_original_original_zero_shot_all_in_one_HI</t>
  </si>
  <si>
    <t>gemma_zero_shot_gpt_only_title_zero_shot_all_in_one_HI</t>
  </si>
  <si>
    <t>gemma_zero_shot_gpt_original_original_zero_shot_all_in_one_BG</t>
  </si>
  <si>
    <t>dipro_inclusion_ensemble_no_no_all_models</t>
  </si>
  <si>
    <t>gemma_zero_shot_gpt_title_description_zero_shot_all_in_one_HI</t>
  </si>
  <si>
    <t>dipro_majority_ensemble_no_no_all_models</t>
  </si>
  <si>
    <t>dipro_inclusion_ensemble_no_no_except_granite</t>
  </si>
  <si>
    <t>dipro_majority_ensemble_no_no_except_granite</t>
  </si>
  <si>
    <t>gemma_zero_shot_gpt_only_title_zero_shot_all_in_one_PT</t>
  </si>
  <si>
    <t>gemma_zero_shot_gemma_no_no_zero_shot_all_in_one_HI</t>
  </si>
  <si>
    <t>dipro_inclusion_ensemble_original_original_all_models</t>
  </si>
  <si>
    <t>gemma_zero_shot_gemma_title_description_complete_zero_shot_all_in_one_EN</t>
  </si>
  <si>
    <t>dipro_majority_ensemble_original_original_all_models</t>
  </si>
  <si>
    <t>dipro_inclusion_ensemble_original_original_except_granite</t>
  </si>
  <si>
    <t>gemma_zero_shot_gemma_title_description_complete_zero_shot_all_in_one_PT</t>
  </si>
  <si>
    <t>dipro_majority_ensemble_original_original_except_granite</t>
  </si>
  <si>
    <t>gemma_zero_shot_gemma_title_description_complete_zero_shot_all_in_one_HI</t>
  </si>
  <si>
    <t>gemma_zero_shot_gemma_title_description_complete_zero_shot_all_in_one_RU</t>
  </si>
  <si>
    <t>calme_zero_shot_gpt_no_no_3_steps_majority_ensemble_EN</t>
  </si>
  <si>
    <t>calme_zero_shot_calme_no_no_3_steps_majority_ensemble_EN</t>
  </si>
  <si>
    <t>gemma_zero_shot_gemma_title_description_complete_zero_shot_all_in_one_BG</t>
  </si>
  <si>
    <t>calme_zero_shot_gpt_no_no_3_steps_inclusion_ensemble_EN</t>
  </si>
  <si>
    <t>calme_zero_shot_calme_no_no_3_steps_inclusion_ensemble_EN</t>
  </si>
  <si>
    <t>gemma_zero_shot_gpt_only_title_zero_shot_all_in_one_EN</t>
  </si>
  <si>
    <t>calme_zero_shot_gpt_no_no_3_steps_majority_ensemble_PT</t>
  </si>
  <si>
    <t>calme_zero_shot_calme_no_no_3_steps_majority_ensemble_PT</t>
  </si>
  <si>
    <t>calme_zero_shot_gpt_no_no_3_steps_inclusion_ensemble_PT</t>
  </si>
  <si>
    <t>gemma_zero_shot_gpt_only_title_zero_shot_all_in_one_BG</t>
  </si>
  <si>
    <t>calme_zero_shot_calme_no_no_3_steps_inclusion_ensemble_PT</t>
  </si>
  <si>
    <t>calme_zero_shot_gpt_no_no_3_steps_majority_ensemble_HI</t>
  </si>
  <si>
    <t>gemma_zero_shot_gpt_title_description_zero_shot_all_in_one_PT</t>
  </si>
  <si>
    <t>calme_zero_shot_calme_no_no_3_steps_majority_ensemble_HI</t>
  </si>
  <si>
    <t>calme_zero_shot_gpt_no_no_3_steps_inclusion_ensemble_HI</t>
  </si>
  <si>
    <t>calme_zero_shot_calme_no_no_3_steps_inclusion_ensemble_HI</t>
  </si>
  <si>
    <t>gemma_zero_shot_gpt_title_description_zero_shot_all_in_one_BG</t>
  </si>
  <si>
    <t>calme_zero_shot_gpt_no_no_3_steps_majority_ensemble_RU</t>
  </si>
  <si>
    <t>calme_zero_shot_calme_no_no_3_steps_majority_ensemble_RU</t>
  </si>
  <si>
    <t>gemma_zero_shot_gpt_title_description_zero_shot_all_in_one_EN</t>
  </si>
  <si>
    <t>calme_zero_shot_gpt_no_no_3_steps_inclusion_ensemble_RU</t>
  </si>
  <si>
    <t>calme_zero_shot_calme_no_no_3_steps_inclusion_ensemble_RU</t>
  </si>
  <si>
    <t>gemma_zero_shot_gemma_no_no_zero_shot_all_in_one_BG</t>
  </si>
  <si>
    <t>calme_zero_shot_gpt_no_no_3_steps_majority_ensemble_BG</t>
  </si>
  <si>
    <t>calme_zero_shot_calme_no_no_3_steps_majority_ensemble_BG</t>
  </si>
  <si>
    <t>calme_zero_shot_gpt_no_no_3_steps_inclusion_ensemble_BG</t>
  </si>
  <si>
    <t>gemma_zero_shot_gemma_no_no_zero_shot_all_in_one_EN</t>
  </si>
  <si>
    <t>calme_zero_shot_calme_no_no_3_steps_inclusion_ensemble_BG</t>
  </si>
  <si>
    <t>calme_zero_shot_gpt_original_original_3_steps_majority_ensemble_EN</t>
  </si>
  <si>
    <t>gemma_zero_shot_gemma_original_original_zero_shot_all_in_one_PT</t>
  </si>
  <si>
    <t>calme_zero_shot_calme_original_original_3_steps_majority_ensemble_EN</t>
  </si>
  <si>
    <t>calme_zero_shot_gpt_original_original_3_steps_inclusion_ensemble_EN</t>
  </si>
  <si>
    <t>gemma_zero_shot_gemma_no_no_zero_shot_all_in_one_PT</t>
  </si>
  <si>
    <t>calme_zero_shot_calme_original_original_3_steps_inclusion_ensemble_EN</t>
  </si>
  <si>
    <t>calme_zero_shot_gpt_original_original_3_steps_majority_ensemble_PT</t>
  </si>
  <si>
    <t>calme_zero_shot_calme_original_original_3_steps_majority_ensemble_PT</t>
  </si>
  <si>
    <t>gemma_zero_shot_gemma_original_original_zero_shot_all_in_one_EN</t>
  </si>
  <si>
    <t>calme_zero_shot_gpt_original_original_3_steps_inclusion_ensemble_PT</t>
  </si>
  <si>
    <t>calme_zero_shot_calme_original_original_3_steps_inclusion_ensemble_PT</t>
  </si>
  <si>
    <t>calme_zero_shot_gpt_original_original_3_steps_majority_ensemble_HI</t>
  </si>
  <si>
    <t>gemma_zero_shot_gemma_original_original_zero_shot_all_in_one_RU</t>
  </si>
  <si>
    <t>calme_zero_shot_calme_original_original_3_steps_majority_ensemble_HI</t>
  </si>
  <si>
    <t>calme_zero_shot_gpt_original_original_3_steps_inclusion_ensemble_HI</t>
  </si>
  <si>
    <t>calme_zero_shot_calme_original_original_3_steps_inclusion_ensemble_HI</t>
  </si>
  <si>
    <t>calme_zero_shot_gpt_original_original_3_steps_majority_ensemble_RU</t>
  </si>
  <si>
    <t>gemma_zero_shot_gemma_original_original_zero_shot_all_in_one_HI</t>
  </si>
  <si>
    <t>calme_zero_shot_calme_original_original_3_steps_majority_ensemble_RU</t>
  </si>
  <si>
    <t>calme_zero_shot_gpt_original_original_3_steps_inclusion_ensemble_RU</t>
  </si>
  <si>
    <t>calme_zero_shot_calme_original_original_3_steps_inclusion_ensemble_RU</t>
  </si>
  <si>
    <t>calme_zero_shot_gpt_original_original_3_steps_majority_ensemble_BG</t>
  </si>
  <si>
    <t>gemma_zero_shot_gemma_only_title_zero_shot_all_in_one_RU</t>
  </si>
  <si>
    <t>calme_zero_shot_calme_original_original_3_steps_majority_ensemble_BG</t>
  </si>
  <si>
    <t>calme_zero_shot_gpt_original_original_3_steps_inclusion_ensemble_BG</t>
  </si>
  <si>
    <t>calme_zero_shot_calme_original_original_3_steps_inclusion_ensemble_BG</t>
  </si>
  <si>
    <t>calme_zero_shot_gpt_only_title_3_steps_majority_ensemble_EN</t>
  </si>
  <si>
    <t>gemma_zero_shot_gemma_title_description_zero_shot_all_in_one_RU</t>
  </si>
  <si>
    <t>calme_zero_shot_calme_only_title_3_steps_majority_ensemble_EN</t>
  </si>
  <si>
    <t>calme_zero_shot_gpt_only_title_3_steps_inclusion_ensemble_EN</t>
  </si>
  <si>
    <t>calme_zero_shot_calme_only_title_3_steps_inclusion_ensemble_EN</t>
  </si>
  <si>
    <t>gemma_zero_shot_gemma_only_title_zero_shot_all_in_one_HI</t>
  </si>
  <si>
    <t>calme_zero_shot_gpt_only_title_3_steps_majority_ensemble_PT</t>
  </si>
  <si>
    <t>calme_zero_shot_calme_only_title_3_steps_majority_ensemble_PT</t>
  </si>
  <si>
    <t>calme_zero_shot_gpt_only_title_3_steps_inclusion_ensemble_PT</t>
  </si>
  <si>
    <t>calme_zero_shot_calme_only_title_3_steps_inclusion_ensemble_PT</t>
  </si>
  <si>
    <t>calme_zero_shot_gpt_only_title_3_steps_majority_ensemble_HI</t>
  </si>
  <si>
    <t>gemma_zero_shot_gemma_original_original_zero_shot_all_in_one_BG</t>
  </si>
  <si>
    <t>calme_zero_shot_calme_only_title_3_steps_majority_ensemble_HI</t>
  </si>
  <si>
    <t>calme_zero_shot_gpt_only_title_3_steps_inclusion_ensemble_HI</t>
  </si>
  <si>
    <t>calme_zero_shot_calme_only_title_3_steps_inclusion_ensemble_HI</t>
  </si>
  <si>
    <t>calme_zero_shot_gpt_only_title_3_steps_majority_ensemble_RU</t>
  </si>
  <si>
    <t>exaone_zero_shot_gpt_no_no_zero_shot_all_in_one_RU</t>
  </si>
  <si>
    <t>calme_zero_shot_calme_only_title_3_steps_majority_ensemble_RU</t>
  </si>
  <si>
    <t>calme_zero_shot_gpt_only_title_3_steps_inclusion_ensemble_RU</t>
  </si>
  <si>
    <t>calme_zero_shot_calme_only_title_3_steps_inclusion_ensemble_RU</t>
  </si>
  <si>
    <t>calme_zero_shot_gpt_only_title_3_steps_majority_ensemble_BG</t>
  </si>
  <si>
    <t>gemma_zero_shot_gemma_only_title_zero_shot_all_in_one_PT</t>
  </si>
  <si>
    <t>calme_zero_shot_calme_only_title_3_steps_majority_ensemble_BG</t>
  </si>
  <si>
    <t>calme_zero_shot_gpt_only_title_3_steps_inclusion_ensemble_BG</t>
  </si>
  <si>
    <t>calme_zero_shot_calme_only_title_3_steps_inclusion_ensemble_BG</t>
  </si>
  <si>
    <t>calme_zero_shot_gpt_title_description_3_steps_majority_ensemble_EN</t>
  </si>
  <si>
    <t>gemma_zero_shot_gemma_only_title_zero_shot_all_in_one_EN</t>
  </si>
  <si>
    <t>calme_zero_shot_calme_title_description_3_steps_majority_ensemble_EN</t>
  </si>
  <si>
    <t>calme_zero_shot_gpt_title_description_3_steps_inclusion_ensemble_EN</t>
  </si>
  <si>
    <t>calme_zero_shot_calme_title_description_3_steps_inclusion_ensemble_EN</t>
  </si>
  <si>
    <t>calme_zero_shot_gpt_title_description_3_steps_majority_ensemble_PT</t>
  </si>
  <si>
    <t>gemma_zero_shot_gemma_only_title_zero_shot_all_in_one_BG</t>
  </si>
  <si>
    <t>calme_zero_shot_calme_title_description_3_steps_majority_ensemble_PT</t>
  </si>
  <si>
    <t>calme_zero_shot_gpt_title_description_3_steps_inclusion_ensemble_PT</t>
  </si>
  <si>
    <t>calme_zero_shot_calme_title_description_3_steps_inclusion_ensemble_PT</t>
  </si>
  <si>
    <t>exaone_zero_shot_gpt_title_description_complete_zero_shot_all_in_one_EN</t>
  </si>
  <si>
    <t>calme_zero_shot_gpt_title_description_3_steps_majority_ensemble_HI</t>
  </si>
  <si>
    <t>calme_zero_shot_calme_title_description_3_steps_majority_ensemble_HI</t>
  </si>
  <si>
    <t>calme_zero_shot_gpt_title_description_3_steps_inclusion_ensemble_HI</t>
  </si>
  <si>
    <t>exaone_zero_shot_gpt_title_description_complete_zero_shot_all_in_one_PT</t>
  </si>
  <si>
    <t>calme_zero_shot_calme_title_description_3_steps_inclusion_ensemble_HI</t>
  </si>
  <si>
    <t>calme_zero_shot_gpt_title_description_3_steps_majority_ensemble_RU</t>
  </si>
  <si>
    <t>exaone_zero_shot_gpt_title_description_complete_zero_shot_all_in_one_HI</t>
  </si>
  <si>
    <t>calme_zero_shot_calme_title_description_3_steps_majority_ensemble_RU</t>
  </si>
  <si>
    <t>calme_zero_shot_gpt_title_description_3_steps_inclusion_ensemble_RU</t>
  </si>
  <si>
    <t>calme_zero_shot_calme_title_description_3_steps_inclusion_ensemble_RU</t>
  </si>
  <si>
    <t>calme_title_description_complete</t>
  </si>
  <si>
    <t>exaone_zero_shot_gpt_title_description_complete_zero_shot_all_in_one_RU</t>
  </si>
  <si>
    <t>calme_zero_shot_gpt_title_description_3_steps_majority_ensemble_BG</t>
  </si>
  <si>
    <t>calme_zero_shot_calme_title_description_3_steps_majority_ensemble_BG</t>
  </si>
  <si>
    <t>calme_zero_shot_gpt_title_description_3_steps_inclusion_ensemble_BG</t>
  </si>
  <si>
    <t>exaone_zero_shot_gpt_title_description_complete_zero_shot_all_in_one_BG</t>
  </si>
  <si>
    <t>calme_zero_shot_calme_title_description_3_steps_inclusion_ensemble_BG</t>
  </si>
  <si>
    <t>calme_zero_shot_gpt_title_description_complete_3_steps_majority_ensemble_EN</t>
  </si>
  <si>
    <t>calme_zero_shot_calme_title_description_complete_3_steps_majority_ensemble_EN</t>
  </si>
  <si>
    <t>exaone_zero_shot_gpt_original_original_zero_shot_all_in_one_RU</t>
  </si>
  <si>
    <t>calme_zero_shot_gpt_title_description_complete_3_steps_inclusion_ensemble_EN</t>
  </si>
  <si>
    <t>calme_zero_shot_calme_title_description_complete_3_steps_inclusion_ensemble_EN</t>
  </si>
  <si>
    <t>calme_zero_shot_gpt_title_description_complete_3_steps_majority_ensemble_PT</t>
  </si>
  <si>
    <t>calme_zero_shot_calme_title_description_complete_3_steps_majority_ensemble_PT</t>
  </si>
  <si>
    <t>exaone_zero_shot_gpt_only_title_zero_shot_all_in_one_RU</t>
  </si>
  <si>
    <t>calme_zero_shot_gpt_title_description_complete_3_steps_inclusion_ensemble_PT</t>
  </si>
  <si>
    <t>calme_zero_shot_calme_title_description_complete_3_steps_inclusion_ensemble_PT</t>
  </si>
  <si>
    <t>calme_zero_shot_gpt_title_description_complete_3_steps_majority_ensemble_HI</t>
  </si>
  <si>
    <t>gemma_zero_shot_gemma_title_description_zero_shot_all_in_one_HI</t>
  </si>
  <si>
    <t>calme_zero_shot_calme_title_description_complete_3_steps_majority_ensemble_HI</t>
  </si>
  <si>
    <t>calme_zero_shot_gpt_title_description_complete_3_steps_inclusion_ensemble_HI</t>
  </si>
  <si>
    <t>calme_zero_shot_calme_title_description_complete_3_steps_inclusion_ensemble_HI</t>
  </si>
  <si>
    <t>calme_zero_shot_gpt_title_description_complete_3_steps_majority_ensemble_RU</t>
  </si>
  <si>
    <t>gemma_zero_shot_gemma_title_description_zero_shot_all_in_one_EN</t>
  </si>
  <si>
    <t>calme_zero_shot_calme_title_description_complete_3_steps_majority_ensemble_RU</t>
  </si>
  <si>
    <t>calme_zero_shot_gpt_title_description_complete_3_steps_inclusion_ensemble_RU</t>
  </si>
  <si>
    <t>calme_zero_shot_calme_title_description_complete_3_steps_inclusion_ensemble_RU</t>
  </si>
  <si>
    <t>calme_zero_shot_gpt_title_description_complete_3_steps_majority_ensemble_BG</t>
  </si>
  <si>
    <t>gemma_zero_shot_gemma_title_description_zero_shot_all_in_one_PT</t>
  </si>
  <si>
    <t>calme_zero_shot_calme_title_description_complete_3_steps_majority_ensemble_BG</t>
  </si>
  <si>
    <t>calme_zero_shot_gpt_title_description_complete_3_steps_inclusion_ensemble_BG</t>
  </si>
  <si>
    <t>calme_zero_shot_calme_title_description_complete_3_steps_inclusion_ensemble_BG</t>
  </si>
  <si>
    <t>exaone_zero_shot_gpt_no_no_zero_shot_all_in_one_HI</t>
  </si>
  <si>
    <t>granite_zero_shot_gpt_no_no_3_steps_majority_ensemble_EN</t>
  </si>
  <si>
    <t>granite_zero_shot_granite_no_no_3_steps_majority_ensemble_EN</t>
  </si>
  <si>
    <t>granite_zero_shot_gpt_no_no_3_steps_inclusion_ensemble_EN</t>
  </si>
  <si>
    <t>gemma_zero_shot_gemma_title_description_zero_shot_all_in_one_BG</t>
  </si>
  <si>
    <t>granite_zero_shot_granite_no_no_3_steps_inclusion_ensemble_EN</t>
  </si>
  <si>
    <t>granite_zero_shot_gpt_no_no_3_steps_majority_ensemble_PT</t>
  </si>
  <si>
    <t>granite_zero_shot_granite_no_no_3_steps_majority_ensemble_PT</t>
  </si>
  <si>
    <t>exaone_zero_shot_gpt_original_original_zero_shot_all_in_one_HI</t>
  </si>
  <si>
    <t>granite_zero_shot_gpt_no_no_3_steps_inclusion_ensemble_PT</t>
  </si>
  <si>
    <t>granite_zero_shot_granite_no_no_3_steps_inclusion_ensemble_PT</t>
  </si>
  <si>
    <t>exaone_zero_shot_gpt_no_no_zero_shot_all_in_one_PT</t>
  </si>
  <si>
    <t>granite_zero_shot_gpt_no_no_3_steps_majority_ensemble_HI</t>
  </si>
  <si>
    <t>granite_zero_shot_granite_no_no_3_steps_majority_ensemble_HI</t>
  </si>
  <si>
    <t>granite_zero_shot_gpt_no_no_3_steps_inclusion_ensemble_HI</t>
  </si>
  <si>
    <t>exaone_zero_shot_gpt_no_no_zero_shot_all_in_one_EN</t>
  </si>
  <si>
    <t>granite_zero_shot_granite_no_no_3_steps_inclusion_ensemble_HI</t>
  </si>
  <si>
    <t>granite_zero_shot_gpt_no_no_3_steps_majority_ensemble_RU</t>
  </si>
  <si>
    <t>granite_zero_shot_granite_no_no_3_steps_majority_ensemble_RU</t>
  </si>
  <si>
    <t>exaone_zero_shot_gpt_only_title_zero_shot_all_in_one_HI</t>
  </si>
  <si>
    <t>granite_zero_shot_gpt_no_no_3_steps_inclusion_ensemble_RU</t>
  </si>
  <si>
    <t>granite_zero_shot_granite_no_no_3_steps_inclusion_ensemble_RU</t>
  </si>
  <si>
    <t>granite_zero_shot_gpt_no_no_3_steps_majority_ensemble_BG</t>
  </si>
  <si>
    <t>exaone_zero_shot_gpt_original_original_zero_shot_all_in_one_PT</t>
  </si>
  <si>
    <t>granite_zero_shot_granite_no_no_3_steps_majority_ensemble_BG</t>
  </si>
  <si>
    <t>granite_zero_shot_gpt_no_no_3_steps_inclusion_ensemble_BG</t>
  </si>
  <si>
    <t>exaone_zero_shot_gpt_no_no_zero_shot_all_in_one_BG</t>
  </si>
  <si>
    <t>granite_zero_shot_granite_no_no_3_steps_inclusion_ensemble_BG</t>
  </si>
  <si>
    <t>granite_zero_shot_gpt_original_original_3_steps_majority_ensemble_EN</t>
  </si>
  <si>
    <t>granite_zero_shot_granite_original_original_3_steps_majority_ensemble_EN</t>
  </si>
  <si>
    <t>exaone_zero_shot_gpt_original_original_zero_shot_all_in_one_EN</t>
  </si>
  <si>
    <t>granite_zero_shot_gpt_original_original_3_steps_inclusion_ensemble_EN</t>
  </si>
  <si>
    <t>granite_zero_shot_granite_original_original_3_steps_inclusion_ensemble_EN</t>
  </si>
  <si>
    <t>granite_zero_shot_gpt_original_original_3_steps_majority_ensemble_PT</t>
  </si>
  <si>
    <t>exaone_zero_shot_gpt_original_original_zero_shot_all_in_one_BG</t>
  </si>
  <si>
    <t>granite_zero_shot_granite_original_original_3_steps_majority_ensemble_PT</t>
  </si>
  <si>
    <t>granite_zero_shot_gpt_original_original_3_steps_inclusion_ensemble_PT</t>
  </si>
  <si>
    <t>granite_zero_shot_granite_original_original_3_steps_inclusion_ensemble_PT</t>
  </si>
  <si>
    <t>granite_zero_shot_gpt_original_original_3_steps_majority_ensemble_HI</t>
  </si>
  <si>
    <t>exaone_zero_shot_gpt_only_title_zero_shot_all_in_one_EN</t>
  </si>
  <si>
    <t>granite_zero_shot_granite_original_original_3_steps_majority_ensemble_HI</t>
  </si>
  <si>
    <t>granite_zero_shot_gpt_original_original_3_steps_inclusion_ensemble_HI</t>
  </si>
  <si>
    <t>granite_zero_shot_granite_original_original_3_steps_inclusion_ensemble_HI</t>
  </si>
  <si>
    <t>exaone_zero_shot_gpt_only_title_zero_shot_all_in_one_PT</t>
  </si>
  <si>
    <t>granite_zero_shot_gpt_original_original_3_steps_majority_ensemble_RU</t>
  </si>
  <si>
    <t>granite_zero_shot_granite_original_original_3_steps_majority_ensemble_RU</t>
  </si>
  <si>
    <t>exaone_zero_shot_gpt_title_description_zero_shot_all_in_one_RU</t>
  </si>
  <si>
    <t>granite_zero_shot_gpt_original_original_3_steps_inclusion_ensemble_RU</t>
  </si>
  <si>
    <t>granite_zero_shot_granite_original_original_3_steps_inclusion_ensemble_RU</t>
  </si>
  <si>
    <t>granite_zero_shot_gpt_original_original_3_steps_majority_ensemble_BG</t>
  </si>
  <si>
    <t>granite_zero_shot_granite_original_original_3_steps_majority_ensemble_BG</t>
  </si>
  <si>
    <t>exaone_zero_shot_exaone_no_no_zero_shot_all_in_one_RU</t>
  </si>
  <si>
    <t>granite_zero_shot_gpt_original_original_3_steps_inclusion_ensemble_BG</t>
  </si>
  <si>
    <t>exaone_zero_shot_exaone_original_original_zero_shot_all_in_one_RU</t>
  </si>
  <si>
    <t>granite_zero_shot_granite_original_original_3_steps_inclusion_ensemble_BG</t>
  </si>
  <si>
    <t>granite_zero_shot_gpt_only_title_3_steps_majority_ensemble_EN</t>
  </si>
  <si>
    <t>granite_zero_shot_granite_only_title_3_steps_majority_ensemble_EN</t>
  </si>
  <si>
    <t>exaone_zero_shot_exaone_title_description_complete_zero_shot_all_in_one_EN</t>
  </si>
  <si>
    <t>granite_zero_shot_gpt_only_title_3_steps_inclusion_ensemble_EN</t>
  </si>
  <si>
    <t>granite_zero_shot_granite_only_title_3_steps_inclusion_ensemble_EN</t>
  </si>
  <si>
    <t>granite_zero_shot_gpt_only_title_3_steps_majority_ensemble_PT</t>
  </si>
  <si>
    <t>granite_zero_shot_granite_only_title_3_steps_majority_ensemble_PT</t>
  </si>
  <si>
    <t>exaone_zero_shot_exaone_title_description_complete_zero_shot_all_in_one_PT</t>
  </si>
  <si>
    <t>granite_zero_shot_gpt_only_title_3_steps_inclusion_ensemble_PT</t>
  </si>
  <si>
    <t>granite_zero_shot_granite_only_title_3_steps_inclusion_ensemble_PT</t>
  </si>
  <si>
    <t>granite_zero_shot_gpt_only_title_3_steps_majority_ensemble_HI</t>
  </si>
  <si>
    <t>exaone_zero_shot_exaone_title_description_complete_zero_shot_all_in_one_HI</t>
  </si>
  <si>
    <t>granite_zero_shot_granite_only_title_3_steps_majority_ensemble_HI</t>
  </si>
  <si>
    <t>granite_zero_shot_gpt_only_title_3_steps_inclusion_ensemble_HI</t>
  </si>
  <si>
    <t>exaone_zero_shot_exaone_title_description_complete_zero_shot_all_in_one_RU</t>
  </si>
  <si>
    <t>granite_zero_shot_granite_only_title_3_steps_inclusion_ensemble_HI</t>
  </si>
  <si>
    <t>granite_zero_shot_gpt_only_title_3_steps_majority_ensemble_RU</t>
  </si>
  <si>
    <t>granite_zero_shot_granite_only_title_3_steps_majority_ensemble_RU</t>
  </si>
  <si>
    <t>exaone_zero_shot_exaone_title_description_complete_zero_shot_all_in_one_BG</t>
  </si>
  <si>
    <t>granite_zero_shot_gpt_only_title_3_steps_inclusion_ensemble_RU</t>
  </si>
  <si>
    <t>granite_zero_shot_granite_only_title_3_steps_inclusion_ensemble_RU</t>
  </si>
  <si>
    <t>exaone_zero_shot_gpt_only_title_zero_shot_all_in_one_BG</t>
  </si>
  <si>
    <t>granite_zero_shot_gpt_only_title_3_steps_majority_ensemble_BG</t>
  </si>
  <si>
    <t>granite_zero_shot_granite_only_title_3_steps_majority_ensemble_BG</t>
  </si>
  <si>
    <t>granite_zero_shot_gpt_only_title_3_steps_inclusion_ensemble_BG</t>
  </si>
  <si>
    <t>exaone_zero_shot_gpt_title_description_zero_shot_all_in_one_HI</t>
  </si>
  <si>
    <t>granite_zero_shot_granite_only_title_3_steps_inclusion_ensemble_BG</t>
  </si>
  <si>
    <t>granite_zero_shot_gpt_title_description_3_steps_majority_ensemble_EN</t>
  </si>
  <si>
    <t>granite_zero_shot_granite_title_description_3_steps_majority_ensemble_EN</t>
  </si>
  <si>
    <t>exaone_zero_shot_gpt_title_description_zero_shot_all_in_one_EN</t>
  </si>
  <si>
    <t>granite_zero_shot_gpt_title_description_3_steps_inclusion_ensemble_EN</t>
  </si>
  <si>
    <t>granite_zero_shot_granite_title_description_3_steps_inclusion_ensemble_EN</t>
  </si>
  <si>
    <t>granite_zero_shot_gpt_title_description_3_steps_majority_ensemble_PT</t>
  </si>
  <si>
    <t>granite_zero_shot_granite_title_description_3_steps_majority_ensemble_PT</t>
  </si>
  <si>
    <t>exaone_zero_shot_gpt_title_description_zero_shot_all_in_one_PT</t>
  </si>
  <si>
    <t>granite_zero_shot_gpt_title_description_3_steps_inclusion_ensemble_PT</t>
  </si>
  <si>
    <t>granite_zero_shot_granite_title_description_3_steps_inclusion_ensemble_PT</t>
  </si>
  <si>
    <t>granite_zero_shot_gpt_title_description_3_steps_majority_ensemble_HI</t>
  </si>
  <si>
    <t>granite_zero_shot_granite_title_description_3_steps_majority_ensemble_HI</t>
  </si>
  <si>
    <t>granite_zero_shot_gpt_title_description_3_steps_inclusion_ensemble_HI</t>
  </si>
  <si>
    <t>exaone_zero_shot_gpt_title_description_zero_shot_all_in_one_BG</t>
  </si>
  <si>
    <t>granite_zero_shot_granite_title_description_3_steps_inclusion_ensemble_HI</t>
  </si>
  <si>
    <t>granite_zero_shot_gpt_title_description_3_steps_majority_ensemble_RU</t>
  </si>
  <si>
    <t>granite_zero_shot_granite_title_description_3_steps_majority_ensemble_RU</t>
  </si>
  <si>
    <t>exaone_zero_shot_exaone_only_title_zero_shot_all_in_one_RU</t>
  </si>
  <si>
    <t>granite_zero_shot_gpt_title_description_3_steps_inclusion_ensemble_RU</t>
  </si>
  <si>
    <t>granite_zero_shot_granite_title_description_3_steps_inclusion_ensemble_RU</t>
  </si>
  <si>
    <t>granite_zero_shot_gpt_title_description_3_steps_majority_ensemble_BG</t>
  </si>
  <si>
    <t>exaone_zero_shot_exaone_no_no_zero_shot_all_in_one_PT</t>
  </si>
  <si>
    <t>granite_zero_shot_granite_title_description_3_steps_majority_ensemble_BG</t>
  </si>
  <si>
    <t>granite_zero_shot_gpt_title_description_3_steps_inclusion_ensemble_BG</t>
  </si>
  <si>
    <t>granite_zero_shot_granite_title_description_3_steps_inclusion_ensemble_BG</t>
  </si>
  <si>
    <t>exaone_zero_shot_exaone_no_no_zero_shot_all_in_one_EN</t>
  </si>
  <si>
    <t>granite_zero_shot_gpt_title_description_complete_3_steps_majority_ensemble_EN</t>
  </si>
  <si>
    <t>granite_zero_shot_granite_title_description_complete_3_steps_majority_ensemble_EN</t>
  </si>
  <si>
    <t>exaone_zero_shot_exaone_no_no_zero_shot_all_in_one_HI</t>
  </si>
  <si>
    <t>granite_zero_shot_gpt_title_description_complete_3_steps_inclusion_ensemble_EN</t>
  </si>
  <si>
    <t>granite_zero_shot_granite_title_description_complete_3_steps_inclusion_ensemble_EN</t>
  </si>
  <si>
    <t>granite_zero_shot_gpt_title_description_complete_3_steps_majority_ensemble_PT</t>
  </si>
  <si>
    <t>exaone_zero_shot_exaone_title_description_zero_shot_all_in_one_RU</t>
  </si>
  <si>
    <t>granite_zero_shot_granite_title_description_complete_3_steps_majority_ensemble_PT</t>
  </si>
  <si>
    <t>granite_zero_shot_gpt_title_description_complete_3_steps_inclusion_ensemble_PT</t>
  </si>
  <si>
    <t>granite_zero_shot_granite_title_description_complete_3_steps_inclusion_ensemble_PT</t>
  </si>
  <si>
    <t>exaone_zero_shot_exaone_original_original_zero_shot_all_in_one_HI</t>
  </si>
  <si>
    <t>granite_zero_shot_gpt_title_description_complete_3_steps_majority_ensemble_HI</t>
  </si>
  <si>
    <t>granite_zero_shot_granite_title_description_complete_3_steps_majority_ensemble_HI</t>
  </si>
  <si>
    <t>exaone_zero_shot_exaone_no_no_zero_shot_all_in_one_BG</t>
  </si>
  <si>
    <t>granite_zero_shot_gpt_title_description_complete_3_steps_inclusion_ensemble_HI</t>
  </si>
  <si>
    <t>granite_zero_shot_granite_title_description_complete_3_steps_inclusion_ensemble_HI</t>
  </si>
  <si>
    <t>granite_zero_shot_gpt_title_description_complete_3_steps_majority_ensemble_RU</t>
  </si>
  <si>
    <t>granite_zero_shot_granite_title_description_complete_3_steps_majority_ensemble_RU</t>
  </si>
  <si>
    <t>exaone_zero_shot_exaone_original_original_zero_shot_all_in_one_PT</t>
  </si>
  <si>
    <t>granite_zero_shot_gpt_title_description_complete_3_steps_inclusion_ensemble_RU</t>
  </si>
  <si>
    <t>granite_zero_shot_granite_title_description_complete_3_steps_inclusion_ensemble_RU</t>
  </si>
  <si>
    <t>granite_zero_shot_gpt_title_description_complete_3_steps_majority_ensemble_BG</t>
  </si>
  <si>
    <t>exaone_zero_shot_exaone_original_original_zero_shot_all_in_one_BG</t>
  </si>
  <si>
    <t>granite_zero_shot_granite_title_description_complete_3_steps_majority_ensemble_BG</t>
  </si>
  <si>
    <t>granite_zero_shot_gpt_title_description_complete_3_steps_inclusion_ensemble_BG</t>
  </si>
  <si>
    <t>granite_zero_shot_granite_title_description_complete_3_steps_inclusion_ensemble_BG</t>
  </si>
  <si>
    <t>exaone_zero_shot_exaone_only_title_zero_shot_all_in_one_HI</t>
  </si>
  <si>
    <t>exaone_zero_shot_gpt_no_no_3_steps_majority_ensemble_EN</t>
  </si>
  <si>
    <t>exaone_zero_shot_exaone_no_no_3_steps_majority_ensemble_EN</t>
  </si>
  <si>
    <t>exaone_zero_shot_gpt_no_no_3_steps_inclusion_ensemble_EN</t>
  </si>
  <si>
    <t>exaone_zero_shot_exaone_only_title_zero_shot_all_in_one_EN</t>
  </si>
  <si>
    <t>exaone_zero_shot_exaone_no_no_3_steps_inclusion_ensemble_EN</t>
  </si>
  <si>
    <t>exaone_zero_shot_gpt_no_no_3_steps_majority_ensemble_PT</t>
  </si>
  <si>
    <t>exaone_zero_shot_exaone_no_no_3_steps_majority_ensemble_PT</t>
  </si>
  <si>
    <t>exaone_zero_shot_exaone_original_original_zero_shot_all_in_one_EN</t>
  </si>
  <si>
    <t>exaone_zero_shot_gpt_no_no_3_steps_inclusion_ensemble_PT</t>
  </si>
  <si>
    <t>exaone_zero_shot_exaone_no_no_3_steps_inclusion_ensemble_PT</t>
  </si>
  <si>
    <t>exaone_zero_shot_gpt_no_no_3_steps_majority_ensemble_HI</t>
  </si>
  <si>
    <t>exaone_zero_shot_exaone_title_description_zero_shot_all_in_one_HI</t>
  </si>
  <si>
    <t>exaone_zero_shot_exaone_no_no_3_steps_majority_ensemble_HI</t>
  </si>
  <si>
    <t>exaone_zero_shot_gpt_no_no_3_steps_inclusion_ensemble_HI</t>
  </si>
  <si>
    <t>exaone_zero_shot_exaone_no_no_3_steps_inclusion_ensemble_HI</t>
  </si>
  <si>
    <t>exaone_zero_shot_exaone_only_title_zero_shot_all_in_one_PT</t>
  </si>
  <si>
    <t>exaone_zero_shot_gpt_no_no_3_steps_majority_ensemble_RU</t>
  </si>
  <si>
    <t>exaone_zero_shot_exaone_no_no_3_steps_majority_ensemble_RU</t>
  </si>
  <si>
    <t>exaone_zero_shot_exaone_only_title_zero_shot_all_in_one_BG</t>
  </si>
  <si>
    <t>exaone_zero_shot_gpt_no_no_3_steps_inclusion_ensemble_RU</t>
  </si>
  <si>
    <t>exaone_zero_shot_exaone_no_no_3_steps_inclusion_ensemble_RU</t>
  </si>
  <si>
    <t>exaone_zero_shot_exaone_title_description_zero_shot_all_in_one_PT</t>
  </si>
  <si>
    <t>exaone_zero_shot_exaone_title_description_zero_shot_all_in_one_EN</t>
  </si>
  <si>
    <t>exaone_zero_shot_gpt_no_no_3_steps_majority_ensemble_BG</t>
  </si>
  <si>
    <t>exaone_zero_shot_exaone_no_no_3_steps_majority_ensemble_BG</t>
  </si>
  <si>
    <t>granite_zero_shot_gpt_no_no_zero_shot_all_in_one_RU</t>
  </si>
  <si>
    <t>exaone_zero_shot_gpt_no_no_3_steps_inclusion_ensemble_BG</t>
  </si>
  <si>
    <t>exaone_zero_shot_exaone_no_no_3_steps_inclusion_ensemble_BG</t>
  </si>
  <si>
    <t>exaone_zero_shot_gpt_original_original_3_steps_majority_ensemble_EN</t>
  </si>
  <si>
    <t>granite_zero_shot_gpt_original_original_zero_shot_all_in_one_RU</t>
  </si>
  <si>
    <t>exaone_zero_shot_exaone_original_original_3_steps_majority_ensemble_EN</t>
  </si>
  <si>
    <t>exaone_zero_shot_gpt_original_original_3_steps_inclusion_ensemble_EN</t>
  </si>
  <si>
    <t>exaone_zero_shot_exaone_original_original_3_steps_inclusion_ensemble_EN</t>
  </si>
  <si>
    <t>exaone_zero_shot_exaone_title_description_zero_shot_all_in_one_BG</t>
  </si>
  <si>
    <t>exaone_zero_shot_gpt_original_original_3_steps_majority_ensemble_PT</t>
  </si>
  <si>
    <t>exaone_zero_shot_exaone_original_original_3_steps_majority_ensemble_PT</t>
  </si>
  <si>
    <t>exaone_zero_shot_gpt_original_original_3_steps_inclusion_ensemble_PT</t>
  </si>
  <si>
    <t>granite_zero_shot_gpt_no_no_zero_shot_all_in_one_HI</t>
  </si>
  <si>
    <t>exaone_zero_shot_exaone_original_original_3_steps_inclusion_ensemble_PT</t>
  </si>
  <si>
    <t>exaone_zero_shot_gpt_original_original_3_steps_majority_ensemble_HI</t>
  </si>
  <si>
    <t>exaone_zero_shot_exaone_original_original_3_steps_majority_ensemble_HI</t>
  </si>
  <si>
    <t>exaone_zero_shot_gpt_original_original_3_steps_inclusion_ensemble_HI</t>
  </si>
  <si>
    <t>granite_zero_shot_gpt_only_title_zero_shot_all_in_one_RU</t>
  </si>
  <si>
    <t>exaone_zero_shot_exaone_original_original_3_steps_inclusion_ensemble_HI</t>
  </si>
  <si>
    <t>exaone_zero_shot_gpt_original_original_3_steps_majority_ensemble_RU</t>
  </si>
  <si>
    <t>exaone_zero_shot_exaone_original_original_3_steps_majority_ensemble_RU</t>
  </si>
  <si>
    <t>exaone_zero_shot_gpt_original_original_3_steps_inclusion_ensemble_RU</t>
  </si>
  <si>
    <t>granite_zero_shot_gpt_no_no_zero_shot_all_in_one_PT</t>
  </si>
  <si>
    <t>exaone_zero_shot_exaone_original_original_3_steps_inclusion_ensemble_RU</t>
  </si>
  <si>
    <t>exaone_zero_shot_gpt_original_original_3_steps_majority_ensemble_BG</t>
  </si>
  <si>
    <t>exaone_zero_shot_exaone_original_original_3_steps_majority_ensemble_BG</t>
  </si>
  <si>
    <t>exaone_zero_shot_gpt_original_original_3_steps_inclusion_ensemble_BG</t>
  </si>
  <si>
    <t>granite_zero_shot_gpt_no_no_zero_shot_all_in_one_EN</t>
  </si>
  <si>
    <t>exaone_zero_shot_exaone_original_original_3_steps_inclusion_ensemble_BG</t>
  </si>
  <si>
    <t>exaone_zero_shot_gpt_only_title_3_steps_majority_ensemble_EN</t>
  </si>
  <si>
    <t>exaone_zero_shot_exaone_only_title_3_steps_majority_ensemble_EN</t>
  </si>
  <si>
    <t>exaone_zero_shot_gpt_only_title_3_steps_inclusion_ensemble_EN</t>
  </si>
  <si>
    <t>granite_zero_shot_gpt_original_original_zero_shot_all_in_one_HI</t>
  </si>
  <si>
    <t>exaone_zero_shot_exaone_only_title_3_steps_inclusion_ensemble_EN</t>
  </si>
  <si>
    <t>exaone_zero_shot_gpt_only_title_3_steps_majority_ensemble_PT</t>
  </si>
  <si>
    <t>exaone_zero_shot_exaone_only_title_3_steps_majority_ensemble_PT</t>
  </si>
  <si>
    <t>granite_zero_shot_gpt_title_description_zero_shot_all_in_one_RU</t>
  </si>
  <si>
    <t>exaone_zero_shot_gpt_only_title_3_steps_inclusion_ensemble_PT</t>
  </si>
  <si>
    <t>exaone_zero_shot_exaone_only_title_3_steps_inclusion_ensemble_PT</t>
  </si>
  <si>
    <t>exaone_zero_shot_gpt_only_title_3_steps_majority_ensemble_HI</t>
  </si>
  <si>
    <t>exaone_zero_shot_exaone_only_title_3_steps_majority_ensemble_HI</t>
  </si>
  <si>
    <t>granite_zero_shot_gpt_no_no_zero_shot_all_in_one_BG</t>
  </si>
  <si>
    <t>exaone_zero_shot_gpt_only_title_3_steps_inclusion_ensemble_HI</t>
  </si>
  <si>
    <t>exaone_zero_shot_exaone_only_title_3_steps_inclusion_ensemble_HI</t>
  </si>
  <si>
    <t>exaone_zero_shot_gpt_only_title_3_steps_majority_ensemble_RU</t>
  </si>
  <si>
    <t>exaone_zero_shot_exaone_only_title_3_steps_majority_ensemble_RU</t>
  </si>
  <si>
    <t>exaone_zero_shot_gpt_only_title_3_steps_inclusion_ensemble_RU</t>
  </si>
  <si>
    <t>granite_zero_shot_gpt_original_original_zero_shot_all_in_one_PT</t>
  </si>
  <si>
    <t>exaone_zero_shot_exaone_only_title_3_steps_inclusion_ensemble_RU</t>
  </si>
  <si>
    <t>exaone_zero_shot_gpt_only_title_3_steps_majority_ensemble_BG</t>
  </si>
  <si>
    <t>exaone_zero_shot_exaone_only_title_3_steps_majority_ensemble_BG</t>
  </si>
  <si>
    <t>exaone_zero_shot_gpt_only_title_3_steps_inclusion_ensemble_BG</t>
  </si>
  <si>
    <t>exaone_zero_shot_exaone_only_title_3_steps_inclusion_ensemble_BG</t>
  </si>
  <si>
    <t>exaone_zero_shot_gpt_title_description_3_steps_majority_ensemble_EN</t>
  </si>
  <si>
    <t>exaone_zero_shot_exaone_title_description_3_steps_majority_ensemble_EN</t>
  </si>
  <si>
    <t>exaone_zero_shot_gpt_title_description_3_steps_inclusion_ensemble_EN</t>
  </si>
  <si>
    <t>granite_zero_shot_gpt_original_original_zero_shot_all_in_one_EN</t>
  </si>
  <si>
    <t>exaone_zero_shot_exaone_title_description_3_steps_inclusion_ensemble_EN</t>
  </si>
  <si>
    <t>granite_zero_shot_gpt_original_original_zero_shot_all_in_one_BG</t>
  </si>
  <si>
    <t>exaone_zero_shot_gpt_title_description_3_steps_majority_ensemble_PT</t>
  </si>
  <si>
    <t>exaone_zero_shot_exaone_title_description_3_steps_majority_ensemble_PT</t>
  </si>
  <si>
    <t>exaone_zero_shot_gpt_title_description_3_steps_inclusion_ensemble_PT</t>
  </si>
  <si>
    <t>exaone_zero_shot_exaone_title_description_3_steps_inclusion_ensemble_PT</t>
  </si>
  <si>
    <t>granite_zero_shot_gpt_title_description_complete_zero_shot_all_in_one_RU</t>
  </si>
  <si>
    <t>exaone_zero_shot_gpt_title_description_3_steps_majority_ensemble_HI</t>
  </si>
  <si>
    <t>exaone_zero_shot_exaone_title_description_3_steps_majority_ensemble_HI</t>
  </si>
  <si>
    <t>exaone_zero_shot_gpt_title_description_3_steps_inclusion_ensemble_HI</t>
  </si>
  <si>
    <t>granite_zero_shot_gpt_only_title_zero_shot_all_in_one_EN</t>
  </si>
  <si>
    <t>exaone_zero_shot_exaone_title_description_3_steps_inclusion_ensemble_HI</t>
  </si>
  <si>
    <t>exaone_zero_shot_gpt_title_description_3_steps_majority_ensemble_RU</t>
  </si>
  <si>
    <t>exaone_zero_shot_exaone_title_description_3_steps_majority_ensemble_RU</t>
  </si>
  <si>
    <t>granite_zero_shot_gpt_only_title_zero_shot_all_in_one_HI</t>
  </si>
  <si>
    <t>exaone_zero_shot_gpt_title_description_3_steps_inclusion_ensemble_RU</t>
  </si>
  <si>
    <t>exaone_zero_shot_exaone_title_description_3_steps_inclusion_ensemble_RU</t>
  </si>
  <si>
    <t>exaone_zero_shot_gpt_title_description_3_steps_majority_ensemble_BG</t>
  </si>
  <si>
    <t>granite_zero_shot_gpt_only_title_zero_shot_all_in_one_PT</t>
  </si>
  <si>
    <t>exaone_zero_shot_exaone_title_description_3_steps_majority_ensemble_BG</t>
  </si>
  <si>
    <t>exaone_zero_shot_gpt_title_description_3_steps_inclusion_ensemble_BG</t>
  </si>
  <si>
    <t>exaone_zero_shot_exaone_title_description_3_steps_inclusion_ensemble_BG</t>
  </si>
  <si>
    <t>granite_zero_shot_gpt_title_description_zero_shot_all_in_one_HI</t>
  </si>
  <si>
    <t>exaone_zero_shot_gpt_title_description_complete_3_steps_majority_ensemble_EN</t>
  </si>
  <si>
    <t>exaone_zero_shot_exaone_title_description_complete_3_steps_majority_ensemble_EN</t>
  </si>
  <si>
    <t>granite_zero_shot_gpt_title_description_zero_shot_all_in_one_PT</t>
  </si>
  <si>
    <t>exaone_zero_shot_gpt_title_description_complete_3_steps_inclusion_ensemble_EN</t>
  </si>
  <si>
    <t>exaone_zero_shot_exaone_title_description_complete_3_steps_inclusion_ensemble_EN</t>
  </si>
  <si>
    <t>granite_zero_shot_gpt_only_title_zero_shot_all_in_one_BG</t>
  </si>
  <si>
    <t>exaone_zero_shot_gpt_title_description_complete_3_steps_majority_ensemble_PT</t>
  </si>
  <si>
    <t>exaone_zero_shot_exaone_title_description_complete_3_steps_majority_ensemble_PT</t>
  </si>
  <si>
    <t>granite_zero_shot_gpt_title_description_zero_shot_all_in_one_EN</t>
  </si>
  <si>
    <t>exaone_zero_shot_gpt_title_description_complete_3_steps_inclusion_ensemble_PT</t>
  </si>
  <si>
    <t>exaone_zero_shot_exaone_title_description_complete_3_steps_inclusion_ensemble_PT</t>
  </si>
  <si>
    <t>granite_zero_shot_gpt_title_description_complete_zero_shot_all_in_one_HI</t>
  </si>
  <si>
    <t>exaone_zero_shot_gpt_title_description_complete_3_steps_majority_ensemble_HI</t>
  </si>
  <si>
    <t>granite_zero_shot_gpt_title_description_zero_shot_all_in_one_BG</t>
  </si>
  <si>
    <t>exaone_zero_shot_exaone_title_description_complete_3_steps_majority_ensemble_HI</t>
  </si>
  <si>
    <t>calme_zero_shot_gpt_title_description</t>
  </si>
  <si>
    <t>exaone_zero_shot_gpt_title_description_complete_3_steps_inclusion_ensemble_HI</t>
  </si>
  <si>
    <t>granite_zero_shot_gpt_title_description_complete_zero_shot_all_in_one_PT</t>
  </si>
  <si>
    <t>exaone_zero_shot_exaone_title_description_complete_3_steps_inclusion_ensemble_HI</t>
  </si>
  <si>
    <t>granite_zero_shot_gpt_title_description_complete_zero_shot_all_in_one_EN</t>
  </si>
  <si>
    <t>exaone_zero_shot_gpt_title_description_complete_3_steps_majority_ensemble_RU</t>
  </si>
  <si>
    <t>exaone_zero_shot_exaone_title_description_complete_3_steps_majority_ensemble_RU</t>
  </si>
  <si>
    <t>granite_zero_shot_granite_no_no_zero_shot_all_in_one_RU</t>
  </si>
  <si>
    <t>exaone_zero_shot_gpt_title_description_complete_3_steps_inclusion_ensemble_RU</t>
  </si>
  <si>
    <t>exaone_zero_shot_exaone_title_description_complete_3_steps_inclusion_ensemble_RU</t>
  </si>
  <si>
    <t>granite_zero_shot_granite_original_original_zero_shot_all_in_one_RU</t>
  </si>
  <si>
    <t>exaone_zero_shot_gpt_title_description_complete_3_steps_majority_ensemble_BG</t>
  </si>
  <si>
    <t>granite_zero_shot_gpt_title_description_complete_zero_shot_all_in_one_BG</t>
  </si>
  <si>
    <t>exaone_zero_shot_exaone_title_description_complete_3_steps_majority_ensemble_BG</t>
  </si>
  <si>
    <t>exaone_zero_shot_gpt_title_description_complete_3_steps_inclusion_ensemble_BG</t>
  </si>
  <si>
    <t>exaone_zero_shot_exaone_title_description_complete_3_steps_inclusion_ensemble_BG</t>
  </si>
  <si>
    <t>granite_zero_shot_granite_only_title_zero_shot_all_in_one_RU</t>
  </si>
  <si>
    <t>gemma_zero_shot_gpt_no_no_3_steps_majority_ensemble_EN</t>
  </si>
  <si>
    <t>granite_zero_shot_granite_no_no_zero_shot_all_in_one_PT</t>
  </si>
  <si>
    <t>gemma_zero_shot_gemma_no_no_3_steps_majority_ensemble_EN</t>
  </si>
  <si>
    <t>granite_zero_shot_granite_no_no_zero_shot_all_in_one_HI</t>
  </si>
  <si>
    <t>gemma_zero_shot_gpt_no_no_3_steps_inclusion_ensemble_EN</t>
  </si>
  <si>
    <t>gemma_zero_shot_gemma_no_no_3_steps_inclusion_ensemble_EN</t>
  </si>
  <si>
    <t>granite_zero_shot_granite_no_no_zero_shot_all_in_one_EN</t>
  </si>
  <si>
    <t>gemma_zero_shot_gpt_no_no_3_steps_majority_ensemble_PT</t>
  </si>
  <si>
    <t>gemma_zero_shot_gemma_no_no_3_steps_majority_ensemble_PT</t>
  </si>
  <si>
    <t>granite_zero_shot_granite_original_original_zero_shot_all_in_one_EN</t>
  </si>
  <si>
    <t>gemma_zero_shot_gpt_no_no_3_steps_inclusion_ensemble_PT</t>
  </si>
  <si>
    <t>gemma_zero_shot_gemma_no_no_3_steps_inclusion_ensemble_PT</t>
  </si>
  <si>
    <t>granite_zero_shot_granite_title_description_zero_shot_all_in_one_RU</t>
  </si>
  <si>
    <t>gemma_zero_shot_gpt_no_no_3_steps_majority_ensemble_HI</t>
  </si>
  <si>
    <t>gemma_zero_shot_gemma_no_no_3_steps_majority_ensemble_HI</t>
  </si>
  <si>
    <t>granite_zero_shot_granite_original_original_zero_shot_all_in_one_HI</t>
  </si>
  <si>
    <t>gemma_zero_shot_gpt_no_no_3_steps_inclusion_ensemble_HI</t>
  </si>
  <si>
    <t>gemma_zero_shot_gemma_no_no_3_steps_inclusion_ensemble_HI</t>
  </si>
  <si>
    <t>granite_zero_shot_granite_no_no_zero_shot_all_in_one_BG</t>
  </si>
  <si>
    <t>gemma_zero_shot_gpt_no_no_3_steps_majority_ensemble_RU</t>
  </si>
  <si>
    <t>gemma_zero_shot_gemma_no_no_3_steps_majority_ensemble_RU</t>
  </si>
  <si>
    <t>gemma_zero_shot_gpt_no_no_3_steps_inclusion_ensemble_RU</t>
  </si>
  <si>
    <t>granite_zero_shot_granite_only_title_zero_shot_all_in_one_PT</t>
  </si>
  <si>
    <t>gemma_zero_shot_gemma_no_no_3_steps_inclusion_ensemble_RU</t>
  </si>
  <si>
    <t>gemma_zero_shot_gpt_no_no_3_steps_majority_ensemble_BG</t>
  </si>
  <si>
    <t>granite_zero_shot_granite_original_original_zero_shot_all_in_one_PT</t>
  </si>
  <si>
    <t>gemma_zero_shot_gemma_no_no_3_steps_majority_ensemble_BG</t>
  </si>
  <si>
    <t>gemma_zero_shot_gpt_no_no_3_steps_inclusion_ensemble_BG</t>
  </si>
  <si>
    <t>granite_zero_shot_granite_only_title_zero_shot_all_in_one_HI</t>
  </si>
  <si>
    <t>gemma_zero_shot_gemma_no_no_3_steps_inclusion_ensemble_BG</t>
  </si>
  <si>
    <t>granite_zero_shot_granite_original_original_zero_shot_all_in_one_BG</t>
  </si>
  <si>
    <t>gemma_zero_shot_gpt_original_original_3_steps_majority_ensemble_EN</t>
  </si>
  <si>
    <t>gemma_zero_shot_gemma_original_original_3_steps_majority_ensemble_EN</t>
  </si>
  <si>
    <t>granite_zero_shot_granite_only_title_zero_shot_all_in_one_EN</t>
  </si>
  <si>
    <t>gemma_zero_shot_gpt_original_original_3_steps_inclusion_ensemble_EN</t>
  </si>
  <si>
    <t>gemma_zero_shot_gemma_original_original_3_steps_inclusion_ensemble_EN</t>
  </si>
  <si>
    <t>gemma_zero_shot_gpt_original_original_3_steps_majority_ensemble_PT</t>
  </si>
  <si>
    <t>granite_zero_shot_granite_title_description_complete_zero_shot_all_in_one_RU</t>
  </si>
  <si>
    <t>gemma_zero_shot_gemma_original_original_3_steps_majority_ensemble_PT</t>
  </si>
  <si>
    <t>gemma_zero_shot_gpt_original_original_3_steps_inclusion_ensemble_PT</t>
  </si>
  <si>
    <t>gemma_zero_shot_gemma_original_original_3_steps_inclusion_ensemble_PT</t>
  </si>
  <si>
    <t>granite_zero_shot_granite_title_description_zero_shot_all_in_one_EN</t>
  </si>
  <si>
    <t>gemma_zero_shot_gpt_original_original_3_steps_majority_ensemble_HI</t>
  </si>
  <si>
    <t>gemma_zero_shot_gemma_original_original_3_steps_majority_ensemble_HI</t>
  </si>
  <si>
    <t>gemma_zero_shot_gpt_original_original_3_steps_inclusion_ensemble_HI</t>
  </si>
  <si>
    <t>gemma_zero_shot_gemma_original_original_3_steps_inclusion_ensemble_HI</t>
  </si>
  <si>
    <t>granite_zero_shot_granite_only_title_zero_shot_all_in_one_BG</t>
  </si>
  <si>
    <t>gemma_zero_shot_gpt_original_original_3_steps_majority_ensemble_RU</t>
  </si>
  <si>
    <t>gemma_zero_shot_gemma_original_original_3_steps_majority_ensemble_RU</t>
  </si>
  <si>
    <t>gemma_zero_shot_gpt_original_original_3_steps_inclusion_ensemble_RU</t>
  </si>
  <si>
    <t>granite_zero_shot_granite_title_description_zero_shot_all_in_one_HI</t>
  </si>
  <si>
    <t>gemma_zero_shot_gemma_original_original_3_steps_inclusion_ensemble_RU</t>
  </si>
  <si>
    <t>gemma_zero_shot_gpt_original_original_3_steps_majority_ensemble_BG</t>
  </si>
  <si>
    <t>gemma_zero_shot_gemma_original_original_3_steps_majority_ensemble_BG</t>
  </si>
  <si>
    <t>gemma_zero_shot_gpt_original_original_3_steps_inclusion_ensemble_BG</t>
  </si>
  <si>
    <t>gemma_zero_shot_gemma_original_original_3_steps_inclusion_ensemble_BG</t>
  </si>
  <si>
    <t>granite_zero_shot_granite_title_description_zero_shot_all_in_one_PT</t>
  </si>
  <si>
    <t>gemma_zero_shot_gpt_only_title_3_steps_majority_ensemble_EN</t>
  </si>
  <si>
    <t>gemma_zero_shot_gemma_only_title_3_steps_majority_ensemble_EN</t>
  </si>
  <si>
    <t>gemma_zero_shot_gpt_only_title_3_steps_inclusion_ensemble_EN</t>
  </si>
  <si>
    <t>gemma_zero_shot_gemma_only_title_3_steps_inclusion_ensemble_EN</t>
  </si>
  <si>
    <t>granite_zero_shot_granite_title_description_zero_shot_all_in_one_BG</t>
  </si>
  <si>
    <t>gemma_zero_shot_gpt_only_title_3_steps_majority_ensemble_PT</t>
  </si>
  <si>
    <t>gemma_zero_shot_gemma_only_title_3_steps_majority_ensemble_PT</t>
  </si>
  <si>
    <t>gemma_zero_shot_gpt_only_title_3_steps_inclusion_ensemble_PT</t>
  </si>
  <si>
    <t>gemma_zero_shot_gemma_only_title_3_steps_inclusion_ensemble_PT</t>
  </si>
  <si>
    <t>granite_zero_shot_granite_title_description_complete_zero_shot_all_in_one_HI</t>
  </si>
  <si>
    <t>gemma_zero_shot_gpt_only_title_3_steps_majority_ensemble_HI</t>
  </si>
  <si>
    <t>gemma_zero_shot_gemma_only_title_3_steps_majority_ensemble_HI</t>
  </si>
  <si>
    <t>gemma_zero_shot_gpt_only_title_3_steps_inclusion_ensemble_HI</t>
  </si>
  <si>
    <t>gemma_zero_shot_gemma_only_title_3_steps_inclusion_ensemble_HI</t>
  </si>
  <si>
    <t>granite_zero_shot_granite_title_description_complete_zero_shot_all_in_one_PT</t>
  </si>
  <si>
    <t>gemma_zero_shot_gpt_only_title_3_steps_majority_ensemble_RU</t>
  </si>
  <si>
    <t>gemma_zero_shot_gemma_only_title_3_steps_majority_ensemble_RU</t>
  </si>
  <si>
    <t>gemma_zero_shot_gpt_only_title_3_steps_inclusion_ensemble_RU</t>
  </si>
  <si>
    <t>gemma_zero_shot_gemma_only_title_3_steps_inclusion_ensemble_RU</t>
  </si>
  <si>
    <t>gemma_zero_shot_gpt_only_title_3_steps_majority_ensemble_BG</t>
  </si>
  <si>
    <t>gemma_zero_shot_gemma_only_title_3_steps_majority_ensemble_BG</t>
  </si>
  <si>
    <t>gemma_zero_shot_gpt_only_title_3_steps_inclusion_ensemble_BG</t>
  </si>
  <si>
    <t>gemma_zero_shot_gemma_only_title_3_steps_inclusion_ensemble_BG</t>
  </si>
  <si>
    <t>gemma_zero_shot_gpt_title_description_3_steps_majority_ensemble_EN</t>
  </si>
  <si>
    <t>granite_zero_shot_granite_title_description_complete_zero_shot_all_in_one_EN</t>
  </si>
  <si>
    <t>gemma_zero_shot_gemma_title_description_3_steps_majority_ensemble_EN</t>
  </si>
  <si>
    <t>gemma_zero_shot_gpt_title_description_3_steps_inclusion_ensemble_EN</t>
  </si>
  <si>
    <t>gemma_zero_shot_gemma_title_description_3_steps_inclusion_ensemble_EN</t>
  </si>
  <si>
    <t>gemma_zero_shot_gpt_title_description_3_steps_majority_ensemble_PT</t>
  </si>
  <si>
    <t>gemma_zero_shot_gemma_title_description_3_steps_majority_ensemble_PT</t>
  </si>
  <si>
    <t>gemma_zero_shot_gpt_title_description_3_steps_inclusion_ensemble_PT</t>
  </si>
  <si>
    <t>granite_zero_shot_granite_title_description_complete_zero_shot_all_in_one_BG</t>
  </si>
  <si>
    <t>gemma_zero_shot_gemma_title_description_3_steps_inclusion_ensemble_PT</t>
  </si>
  <si>
    <t>gemma_zero_shot_gpt_title_description_3_steps_majority_ensemble_HI</t>
  </si>
  <si>
    <t>gemma_zero_shot_gemma_title_description_3_steps_majority_ensemble_HI</t>
  </si>
  <si>
    <t>gemma_zero_shot_gpt_title_description_3_steps_inclusion_ensemble_HI</t>
  </si>
  <si>
    <t>gemma_zero_shot_gemma_title_description_3_steps_inclusion_ensemble_HI</t>
  </si>
  <si>
    <t>gemma_zero_shot_gpt_title_description_3_steps_majority_ensemble_RU</t>
  </si>
  <si>
    <t>gemma_zero_shot_gemma_title_description_3_steps_majority_ensemble_RU</t>
  </si>
  <si>
    <t>gemma_zero_shot_gpt_title_description_3_steps_inclusion_ensemble_RU</t>
  </si>
  <si>
    <t>gemma_zero_shot_gemma_title_description_3_steps_inclusion_ensemble_RU</t>
  </si>
  <si>
    <t>gemma_zero_shot_gpt_title_description_3_steps_majority_ensemble_BG</t>
  </si>
  <si>
    <t>gemma_zero_shot_gemma_title_description_3_steps_majority_ensemble_BG</t>
  </si>
  <si>
    <t>delta_majority</t>
  </si>
  <si>
    <t>gemma_zero_shot_gpt_title_description_3_steps_inclusion_ensemble_BG</t>
  </si>
  <si>
    <t>calme_zero_shot_gpt_title_description_complete_3_steps_RU</t>
  </si>
  <si>
    <t>gemma_zero_shot_gemma_title_description_3_steps_inclusion_ensemble_BG</t>
  </si>
  <si>
    <t>gemma_zero_shot_gpt_title_description_complete_3_steps_majority_ensemble_EN</t>
  </si>
  <si>
    <t>gemma_zero_shot_gemma_title_description_complete_3_steps_majority_ensemble_EN</t>
  </si>
  <si>
    <t>gemma_zero_shot_gpt_title_description_complete_3_steps_inclusion_ensemble_EN</t>
  </si>
  <si>
    <t>gemma_zero_shot_gemma_title_description_complete_3_steps_inclusion_ensemble_EN</t>
  </si>
  <si>
    <t>calme_zero_shot_gpt_original_original_3_steps_RU</t>
  </si>
  <si>
    <t>gemma_zero_shot_gpt_title_description_complete_3_steps_majority_ensemble_PT</t>
  </si>
  <si>
    <t>gemma_zero_shot_gemma_title_description_complete_3_steps_majority_ensemble_PT</t>
  </si>
  <si>
    <t>gemma_zero_shot_gpt_title_description_complete_3_steps_inclusion_ensemble_PT</t>
  </si>
  <si>
    <t>gemma_zero_shot_gemma_title_description_complete_3_steps_inclusion_ensemble_PT</t>
  </si>
  <si>
    <t>gemma_zero_shot_gpt_title_description_complete_3_steps_majority_ensemble_HI</t>
  </si>
  <si>
    <t>calme_zero_shot_gpt_no_no_3_steps_RU</t>
  </si>
  <si>
    <t>gemma_zero_shot_gemma_title_description_complete_3_steps_majority_ensemble_HI</t>
  </si>
  <si>
    <t>gemma_zero_shot_gpt_title_description_complete_3_steps_inclusion_ensemble_HI</t>
  </si>
  <si>
    <t>gemma_zero_shot_gemma_title_description_complete_3_steps_inclusion_ensemble_HI</t>
  </si>
  <si>
    <t>gemma_zero_shot_gpt_title_description_complete_3_steps_majority_ensemble_RU</t>
  </si>
  <si>
    <t>gemma_zero_shot_gemma_title_description_complete_3_steps_majority_ensemble_RU</t>
  </si>
  <si>
    <t>calme_zero_shot_gpt_title_description_3_steps_RU</t>
  </si>
  <si>
    <t>gemma_zero_shot_gpt_title_description_complete_3_steps_inclusion_ensemble_RU</t>
  </si>
  <si>
    <t>gemma_zero_shot_gemma_title_description_complete_3_steps_inclusion_ensemble_RU</t>
  </si>
  <si>
    <t>gemma_zero_shot_gpt_title_description_complete_3_steps_majority_ensemble_BG</t>
  </si>
  <si>
    <t>gemma_zero_shot_gemma_title_description_complete_3_steps_majority_ensemble_BG</t>
  </si>
  <si>
    <t>gemma_zero_shot_gpt_title_description_complete_3_steps_inclusion_ensemble_BG</t>
  </si>
  <si>
    <t>calme_zero_shot_gpt_only_title_3_steps_RU</t>
  </si>
  <si>
    <t>gemma_zero_shot_gemma_title_description_complete_3_steps_inclusion_ensemble_BG</t>
  </si>
  <si>
    <t>calme_zero_shot_gpt_no_no_zero_shot_all_in_one_majority_ensemble_EN</t>
  </si>
  <si>
    <t>calme_zero_shot_calme_no_no_zero_shot_all_in_one_majority_ensemble_EN</t>
  </si>
  <si>
    <t>calme_zero_shot_gpt_no_no_zero_shot_all_in_one_inclusion_ensemble_EN</t>
  </si>
  <si>
    <t>calme_zero_shot_calme_no_no_zero_shot_all_in_one_inclusion_ensemble_EN</t>
  </si>
  <si>
    <t>calme_zero_shot_gpt_original_original_3_steps_HI</t>
  </si>
  <si>
    <t>calme_zero_shot_gpt_no_no_zero_shot_all_in_one_majority_ensemble_PT</t>
  </si>
  <si>
    <t>calme_zero_shot_calme_no_no_zero_shot_all_in_one_majority_ensemble_PT</t>
  </si>
  <si>
    <t>calme_zero_shot_gpt_no_no_zero_shot_all_in_one_inclusion_ensemble_PT</t>
  </si>
  <si>
    <t>calme_zero_shot_calme_no_no_zero_shot_all_in_one_inclusion_ensemble_PT</t>
  </si>
  <si>
    <t>calme_zero_shot_gpt_title_description_complete_3_steps_HI</t>
  </si>
  <si>
    <t>calme_zero_shot_gpt_no_no_zero_shot_all_in_one_majority_ensemble_HI</t>
  </si>
  <si>
    <t>calme_zero_shot_calme_no_no_zero_shot_all_in_one_majority_ensemble_HI</t>
  </si>
  <si>
    <t>calme_zero_shot_gpt_no_no_zero_shot_all_in_one_inclusion_ensemble_HI</t>
  </si>
  <si>
    <t>calme_zero_shot_calme_no_no_zero_shot_all_in_one_inclusion_ensemble_HI</t>
  </si>
  <si>
    <t>calme_zero_shot_gpt_no_no_zero_shot_all_in_one_majority_ensemble_RU</t>
  </si>
  <si>
    <t>calme_zero_shot_gpt_no_no_3_steps_HI</t>
  </si>
  <si>
    <t>calme_zero_shot_calme_no_no_zero_shot_all_in_one_majority_ensemble_RU</t>
  </si>
  <si>
    <t>calme_zero_shot_gpt_no_no_zero_shot_all_in_one_inclusion_ensemble_RU</t>
  </si>
  <si>
    <t>calme_zero_shot_calme_no_no_zero_shot_all_in_one_inclusion_ensemble_RU</t>
  </si>
  <si>
    <t>calme_zero_shot_gpt_no_no_zero_shot_all_in_one_majority_ensemble_BG</t>
  </si>
  <si>
    <t>calme_zero_shot_calme_no_no_zero_shot_all_in_one_majority_ensemble_BG</t>
  </si>
  <si>
    <t>calme_zero_shot_gpt_no_no_zero_shot_all_in_one_inclusion_ensemble_BG</t>
  </si>
  <si>
    <t>calme_zero_shot_gpt_title_description_3_steps_HI</t>
  </si>
  <si>
    <t>calme_zero_shot_calme_no_no_zero_shot_all_in_one_inclusion_ensemble_BG</t>
  </si>
  <si>
    <t>calme_zero_shot_gpt_original_original_zero_shot_all_in_one_majority_ensemble_EN</t>
  </si>
  <si>
    <t>calme_zero_shot_calme_original_original_zero_shot_all_in_one_majority_ensemble_EN</t>
  </si>
  <si>
    <t>calme_zero_shot_gpt_original_original_zero_shot_all_in_one_inclusion_ensemble_EN</t>
  </si>
  <si>
    <t>calme_zero_shot_calme_original_original_zero_shot_all_in_one_inclusion_ensemble_EN</t>
  </si>
  <si>
    <t>calme_zero_shot_gpt_original_original_zero_shot_all_in_one_majority_ensemble_PT</t>
  </si>
  <si>
    <t>calme_zero_shot_gpt_only_title_3_steps_HI</t>
  </si>
  <si>
    <t>calme_zero_shot_calme_original_original_zero_shot_all_in_one_majority_ensemble_PT</t>
  </si>
  <si>
    <t>calme_zero_shot_gpt_original_original_zero_shot_all_in_one_inclusion_ensemble_PT</t>
  </si>
  <si>
    <t>calme_zero_shot_calme_original_original_zero_shot_all_in_one_inclusion_ensemble_PT</t>
  </si>
  <si>
    <t>calme_zero_shot_gpt_original_original_zero_shot_all_in_one_majority_ensemble_HI</t>
  </si>
  <si>
    <t>calme_zero_shot_calme_original_original_zero_shot_all_in_one_majority_ensemble_HI</t>
  </si>
  <si>
    <t>calme_zero_shot_gpt_original_original_zero_shot_all_in_one_inclusion_ensemble_HI</t>
  </si>
  <si>
    <t>calme_zero_shot_gpt_only_title_3_steps_PT</t>
  </si>
  <si>
    <t>calme_zero_shot_calme_original_original_zero_shot_all_in_one_inclusion_ensemble_HI</t>
  </si>
  <si>
    <t>calme_zero_shot_gpt_original_original_zero_shot_all_in_one_majority_ensemble_RU</t>
  </si>
  <si>
    <t>calme_zero_shot_calme_original_original_zero_shot_all_in_one_majority_ensemble_RU</t>
  </si>
  <si>
    <t>calme_zero_shot_gpt_original_original_zero_shot_all_in_one_inclusion_ensemble_RU</t>
  </si>
  <si>
    <t>calme_zero_shot_calme_original_original_zero_shot_all_in_one_inclusion_ensemble_RU</t>
  </si>
  <si>
    <t>calme_zero_shot_gpt_title_description_complete_3_steps_PT</t>
  </si>
  <si>
    <t>calme_zero_shot_gpt_original_original_zero_shot_all_in_one_majority_ensemble_BG</t>
  </si>
  <si>
    <t>calme_zero_shot_calme_original_original_zero_shot_all_in_one_majority_ensemble_BG</t>
  </si>
  <si>
    <t>calme_zero_shot_gpt_original_original_zero_shot_all_in_one_inclusion_ensemble_BG</t>
  </si>
  <si>
    <t>calme_zero_shot_calme_original_original_zero_shot_all_in_one_inclusion_ensemble_BG</t>
  </si>
  <si>
    <t>calme_zero_shot_gpt_only_title_zero_shot_all_in_one_majority_ensemble_EN</t>
  </si>
  <si>
    <t>calme_zero_shot_gpt_only_title_3_steps_BG</t>
  </si>
  <si>
    <t>calme_zero_shot_calme_only_title_zero_shot_all_in_one_majority_ensemble_EN</t>
  </si>
  <si>
    <t>calme_zero_shot_gpt_only_title_zero_shot_all_in_one_inclusion_ensemble_EN</t>
  </si>
  <si>
    <t>calme_zero_shot_calme_only_title_zero_shot_all_in_one_inclusion_ensemble_EN</t>
  </si>
  <si>
    <t>calme_zero_shot_gpt_only_title_zero_shot_all_in_one_majority_ensemble_PT</t>
  </si>
  <si>
    <t>calme_zero_shot_calme_only_title_zero_shot_all_in_one_majority_ensemble_PT</t>
  </si>
  <si>
    <t>calme_zero_shot_gpt_no_no_3_steps_PT</t>
  </si>
  <si>
    <t>calme_zero_shot_gpt_title_description_complete</t>
  </si>
  <si>
    <t>calme_zero_shot_gpt_only_title_zero_shot_all_in_one_inclusion_ensemble_PT</t>
  </si>
  <si>
    <t>calme_zero_shot_gpt_original_original_3_steps_PT</t>
  </si>
  <si>
    <t>calme_zero_shot_calme_only_title_zero_shot_all_in_one_inclusion_ensemble_PT</t>
  </si>
  <si>
    <t>calme_zero_shot_gpt_only_title_zero_shot_all_in_one_majority_ensemble_HI</t>
  </si>
  <si>
    <t>calme_zero_shot_calme_only_title_zero_shot_all_in_one_majority_ensemble_HI</t>
  </si>
  <si>
    <t>calme_zero_shot_gpt_only_title_zero_shot_all_in_one_inclusion_ensemble_HI</t>
  </si>
  <si>
    <t>calme_zero_shot_calme_only_title_zero_shot_all_in_one_inclusion_ensemble_HI</t>
  </si>
  <si>
    <t>calme_zero_shot_gpt_only_title_zero_shot_all_in_one_majority_ensemble_RU</t>
  </si>
  <si>
    <t>calme_zero_shot_calme_only_title_zero_shot_all_in_one_majority_ensemble_RU</t>
  </si>
  <si>
    <t>calme_zero_shot_gpt_no_no_3_steps_BG</t>
  </si>
  <si>
    <t>calme_zero_shot_gpt_only_title_zero_shot_all_in_one_inclusion_ensemble_RU</t>
  </si>
  <si>
    <t>calme_zero_shot_calme_only_title_zero_shot_all_in_one_inclusion_ensemble_RU</t>
  </si>
  <si>
    <t>calme_zero_shot_gpt_only_title_zero_shot_all_in_one_majority_ensemble_BG</t>
  </si>
  <si>
    <t>calme_zero_shot_calme_only_title_zero_shot_all_in_one_majority_ensemble_BG</t>
  </si>
  <si>
    <t>calme_zero_shot_gpt_only_title_zero_shot_all_in_one_inclusion_ensemble_BG</t>
  </si>
  <si>
    <t>calme_zero_shot_calme_only_title_zero_shot_all_in_one_inclusion_ensemble_BG</t>
  </si>
  <si>
    <t>calme_zero_shot_gpt_title_description_3_steps_PT</t>
  </si>
  <si>
    <t>calme_zero_shot_gpt_title_description_zero_shot_all_in_one_majority_ensemble_EN</t>
  </si>
  <si>
    <t>calme_zero_shot_calme_title_description_zero_shot_all_in_one_majority_ensemble_EN</t>
  </si>
  <si>
    <t>calme_zero_shot_gpt_title_description_zero_shot_all_in_one_inclusion_ensemble_EN</t>
  </si>
  <si>
    <t>calme_zero_shot_calme_title_description_zero_shot_all_in_one_inclusion_ensemble_EN</t>
  </si>
  <si>
    <t>calme_zero_shot_gpt_title_description_zero_shot_all_in_one_majority_ensemble_PT</t>
  </si>
  <si>
    <t>calme_zero_shot_calme_title_description_zero_shot_all_in_one_majority_ensemble_PT</t>
  </si>
  <si>
    <t>calme_zero_shot_gpt_title_description_zero_shot_all_in_one_inclusion_ensemble_PT</t>
  </si>
  <si>
    <t>calme_zero_shot_gpt_title_description_3_steps_BG</t>
  </si>
  <si>
    <t>calme_zero_shot_calme_title_description_zero_shot_all_in_one_inclusion_ensemble_PT</t>
  </si>
  <si>
    <t>calme_zero_shot_gpt_title_description_zero_shot_all_in_one_majority_ensemble_HI</t>
  </si>
  <si>
    <t>calme_zero_shot_calme_title_description_zero_shot_all_in_one_majority_ensemble_HI</t>
  </si>
  <si>
    <t>calme_zero_shot_gpt_title_description_zero_shot_all_in_one_inclusion_ensemble_HI</t>
  </si>
  <si>
    <t>calme_zero_shot_calme_title_description_zero_shot_all_in_one_inclusion_ensemble_HI</t>
  </si>
  <si>
    <t>calme_zero_shot_gpt_title_description_zero_shot_all_in_one_majority_ensemble_RU</t>
  </si>
  <si>
    <t>calme_zero_shot_gpt_no_no_3_steps_EN</t>
  </si>
  <si>
    <t>calme_zero_shot_calme_title_description_zero_shot_all_in_one_majority_ensemble_RU</t>
  </si>
  <si>
    <t>calme_zero_shot_gpt_title_description_zero_shot_all_in_one_inclusion_ensemble_RU</t>
  </si>
  <si>
    <t>calme_zero_shot_calme_title_description_zero_shot_all_in_one_inclusion_ensemble_RU</t>
  </si>
  <si>
    <t>calme_zero_shot_gpt_title_description_zero_shot_all_in_one_majority_ensemble_BG</t>
  </si>
  <si>
    <t>calme_zero_shot_calme_title_description_zero_shot_all_in_one_majority_ensemble_BG</t>
  </si>
  <si>
    <t>calme_zero_shot_gpt_title_description_zero_shot_all_in_one_inclusion_ensemble_BG</t>
  </si>
  <si>
    <t>calme_zero_shot_gpt_title_description_complete_3_steps_EN</t>
  </si>
  <si>
    <t>calme_zero_shot_calme_title_description_zero_shot_all_in_one_inclusion_ensemble_BG</t>
  </si>
  <si>
    <t>calme_zero_shot_gpt_title_description_complete_zero_shot_all_in_one_majority_ensemble_EN</t>
  </si>
  <si>
    <t>calme_zero_shot_calme_title_description_complete_zero_shot_all_in_one_majority_ensemble_EN</t>
  </si>
  <si>
    <t>calme_zero_shot_gpt_title_description_complete_zero_shot_all_in_one_inclusion_ensemble_EN</t>
  </si>
  <si>
    <t>calme_zero_shot_calme_title_description_complete_zero_shot_all_in_one_inclusion_ensemble_EN</t>
  </si>
  <si>
    <t>calme_zero_shot_gpt_title_description_complete_zero_shot_all_in_one_majority_ensemble_PT</t>
  </si>
  <si>
    <t>calme_zero_shot_calme_title_description_complete_zero_shot_all_in_one_majority_ensemble_PT</t>
  </si>
  <si>
    <t>calme_zero_shot_gpt_title_description_complete_zero_shot_all_in_one_inclusion_ensemble_PT</t>
  </si>
  <si>
    <t>calme_zero_shot_gpt_only_title_3_steps_EN</t>
  </si>
  <si>
    <t>calme_zero_shot_calme_title_description_complete_zero_shot_all_in_one_inclusion_ensemble_PT</t>
  </si>
  <si>
    <t>calme_zero_shot_gpt_title_description_complete_zero_shot_all_in_one_majority_ensemble_HI</t>
  </si>
  <si>
    <t>calme_zero_shot_calme_title_description_complete_zero_shot_all_in_one_majority_ensemble_HI</t>
  </si>
  <si>
    <t>calme_zero_shot_gpt_original_original_3_steps_BG</t>
  </si>
  <si>
    <t>calme_zero_shot_gpt_title_description_complete_zero_shot_all_in_one_inclusion_ensemble_HI</t>
  </si>
  <si>
    <t>calme_zero_shot_calme_title_description_complete_zero_shot_all_in_one_inclusion_ensemble_HI</t>
  </si>
  <si>
    <t>calme_zero_shot_gpt_title_description_complete_zero_shot_all_in_one_majority_ensemble_RU</t>
  </si>
  <si>
    <t>calme_zero_shot_calme_title_description_complete_zero_shot_all_in_one_majority_ensemble_RU</t>
  </si>
  <si>
    <t>calme_zero_shot_gpt_title_description_3_steps_EN</t>
  </si>
  <si>
    <t>calme_zero_shot_gpt_title_description_complete_zero_shot_all_in_one_inclusion_ensemble_RU</t>
  </si>
  <si>
    <t>calme_zero_shot_calme_title_description_complete_zero_shot_all_in_one_inclusion_ensemble_RU</t>
  </si>
  <si>
    <t>calme_zero_shot_gpt_title_description_complete_zero_shot_all_in_one_majority_ensemble_BG</t>
  </si>
  <si>
    <t>calme_zero_shot_calme_title_description_complete_zero_shot_all_in_one_majority_ensemble_BG</t>
  </si>
  <si>
    <t>calme_zero_shot_gpt_title_description_complete_zero_shot_all_in_one_inclusion_ensemble_BG</t>
  </si>
  <si>
    <t>calme_zero_shot_gpt_original_original_3_steps_EN</t>
  </si>
  <si>
    <t>calme_zero_shot_calme_title_description_complete_zero_shot_all_in_one_inclusion_ensemble_BG</t>
  </si>
  <si>
    <t>granite_zero_shot_gpt_no_no_zero_shot_all_in_one_majority_ensemble_EN</t>
  </si>
  <si>
    <t>granite_zero_shot_granite_no_no_zero_shot_all_in_one_majority_ensemble_EN</t>
  </si>
  <si>
    <t>granite_zero_shot_gpt_no_no_zero_shot_all_in_one_inclusion_ensemble_EN</t>
  </si>
  <si>
    <t>granite_zero_shot_granite_no_no_zero_shot_all_in_one_inclusion_ensemble_EN</t>
  </si>
  <si>
    <t>calme_zero_shot_calme_no_no_3_steps_RU</t>
  </si>
  <si>
    <t>granite_zero_shot_gpt_no_no_zero_shot_all_in_one_majority_ensemble_PT</t>
  </si>
  <si>
    <t>granite_zero_shot_granite_no_no_zero_shot_all_in_one_majority_ensemble_PT</t>
  </si>
  <si>
    <t>granite_zero_shot_gpt_no_no_zero_shot_all_in_one_inclusion_ensemble_PT</t>
  </si>
  <si>
    <t>granite_zero_shot_granite_no_no_zero_shot_all_in_one_inclusion_ensemble_PT</t>
  </si>
  <si>
    <t>calme_zero_shot_calme_no_no_3_steps_HI</t>
  </si>
  <si>
    <t>granite_zero_shot_gpt_no_no_zero_shot_all_in_one_majority_ensemble_HI</t>
  </si>
  <si>
    <t>granite_zero_shot_granite_no_no_zero_shot_all_in_one_majority_ensemble_HI</t>
  </si>
  <si>
    <t>granite_zero_shot_gpt_no_no_zero_shot_all_in_one_inclusion_ensemble_HI</t>
  </si>
  <si>
    <t>granite_zero_shot_granite_no_no_zero_shot_all_in_one_inclusion_ensemble_HI</t>
  </si>
  <si>
    <t>granite_zero_shot_gpt_no_no_zero_shot_all_in_one_majority_ensemble_RU</t>
  </si>
  <si>
    <t>granite_zero_shot_granite_no_no_zero_shot_all_in_one_majority_ensemble_RU</t>
  </si>
  <si>
    <t>granite_zero_shot_gpt_no_no_zero_shot_all_in_one_inclusion_ensemble_RU</t>
  </si>
  <si>
    <t>calme_zero_shot_calme_original_original_3_steps_RU</t>
  </si>
  <si>
    <t>granite_zero_shot_granite_no_no_zero_shot_all_in_one_inclusion_ensemble_RU</t>
  </si>
  <si>
    <t>granite_zero_shot_gpt_no_no_zero_shot_all_in_one_majority_ensemble_BG</t>
  </si>
  <si>
    <t>granite_zero_shot_granite_no_no_zero_shot_all_in_one_majority_ensemble_BG</t>
  </si>
  <si>
    <t>granite_zero_shot_gpt_no_no_zero_shot_all_in_one_inclusion_ensemble_BG</t>
  </si>
  <si>
    <t>granite_zero_shot_granite_no_no_zero_shot_all_in_one_inclusion_ensemble_BG</t>
  </si>
  <si>
    <t>granite_zero_shot_gpt_original_original_zero_shot_all_in_one_majority_ensemble_EN</t>
  </si>
  <si>
    <t>granite_zero_shot_granite_original_original_zero_shot_all_in_one_majority_ensemble_EN</t>
  </si>
  <si>
    <t>granite_zero_shot_gpt_original_original_zero_shot_all_in_one_inclusion_ensemble_EN</t>
  </si>
  <si>
    <t>delta_inclusion</t>
  </si>
  <si>
    <t>granite_zero_shot_granite_original_original_zero_shot_all_in_one_inclusion_ensemble_EN</t>
  </si>
  <si>
    <t>granite_zero_shot_gpt_original_original_zero_shot_all_in_one_majority_ensemble_PT</t>
  </si>
  <si>
    <t>granite_zero_shot_granite_original_original_zero_shot_all_in_one_majority_ensemble_PT</t>
  </si>
  <si>
    <t>calme_zero_shot_calme_no_no_3_steps_PT</t>
  </si>
  <si>
    <t>granite_zero_shot_gpt_original_original_zero_shot_all_in_one_inclusion_ensemble_PT</t>
  </si>
  <si>
    <t>granite_zero_shot_granite_original_original_zero_shot_all_in_one_inclusion_ensemble_PT</t>
  </si>
  <si>
    <t>granite_zero_shot_gpt_original_original_zero_shot_all_in_one_majority_ensemble_HI</t>
  </si>
  <si>
    <t>granite_zero_shot_granite_original_original_zero_shot_all_in_one_majority_ensemble_HI</t>
  </si>
  <si>
    <t>granite_zero_shot_gpt_original_original_zero_shot_all_in_one_inclusion_ensemble_HI</t>
  </si>
  <si>
    <t>calme_zero_shot_calme_only_title_3_steps_RU</t>
  </si>
  <si>
    <t>granite_zero_shot_granite_original_original_zero_shot_all_in_one_inclusion_ensemble_HI</t>
  </si>
  <si>
    <t>granite_zero_shot_gpt_original_original_zero_shot_all_in_one_majority_ensemble_RU</t>
  </si>
  <si>
    <t>granite_zero_shot_granite_original_original_zero_shot_all_in_one_majority_ensemble_RU</t>
  </si>
  <si>
    <t>granite_zero_shot_gpt_original_original_zero_shot_all_in_one_inclusion_ensemble_RU</t>
  </si>
  <si>
    <t>granite_zero_shot_granite_original_original_zero_shot_all_in_one_inclusion_ensemble_RU</t>
  </si>
  <si>
    <t>granite_zero_shot_gpt_original_original_zero_shot_all_in_one_majority_ensemble_BG</t>
  </si>
  <si>
    <t>granite_zero_shot_granite_original_original_zero_shot_all_in_one_majority_ensemble_BG</t>
  </si>
  <si>
    <t>granite_zero_shot_gpt_original_original_zero_shot_all_in_one_inclusion_ensemble_BG</t>
  </si>
  <si>
    <t>calme_zero_shot_gpt_title_description_complete_3_steps_BG</t>
  </si>
  <si>
    <t>granite_zero_shot_granite_original_original_zero_shot_all_in_one_inclusion_ensemble_BG</t>
  </si>
  <si>
    <t>granite_zero_shot_gpt_only_title_zero_shot_all_in_one_majority_ensemble_EN</t>
  </si>
  <si>
    <t>granite_zero_shot_granite_only_title_zero_shot_all_in_one_majority_ensemble_EN</t>
  </si>
  <si>
    <t>granite_zero_shot_gpt_only_title_zero_shot_all_in_one_inclusion_ensemble_EN</t>
  </si>
  <si>
    <t>granite_zero_shot_granite_only_title_zero_shot_all_in_one_inclusion_ensemble_EN</t>
  </si>
  <si>
    <t>granite_zero_shot_gpt_only_title_zero_shot_all_in_one_majority_ensemble_PT</t>
  </si>
  <si>
    <t>calme_zero_shot_calme_title_description_3_steps_RU</t>
  </si>
  <si>
    <t>granite_zero_shot_granite_only_title_zero_shot_all_in_one_majority_ensemble_PT</t>
  </si>
  <si>
    <t>granite_zero_shot_gpt_only_title_zero_shot_all_in_one_inclusion_ensemble_PT</t>
  </si>
  <si>
    <t>granite_zero_shot_granite_only_title_zero_shot_all_in_one_inclusion_ensemble_PT</t>
  </si>
  <si>
    <t>granite_zero_shot_gpt_only_title_zero_shot_all_in_one_majority_ensemble_HI</t>
  </si>
  <si>
    <t>granite_zero_shot_granite_only_title_zero_shot_all_in_one_majority_ensemble_HI</t>
  </si>
  <si>
    <t>granite_zero_shot_gpt_only_title_zero_shot_all_in_one_inclusion_ensemble_HI</t>
  </si>
  <si>
    <t>calme_zero_shot_calme_no_no_3_steps_EN</t>
  </si>
  <si>
    <t>granite_zero_shot_granite_only_title_zero_shot_all_in_one_inclusion_ensemble_HI</t>
  </si>
  <si>
    <t>granite_zero_shot_gpt_only_title_zero_shot_all_in_one_majority_ensemble_RU</t>
  </si>
  <si>
    <t>granite_zero_shot_granite_only_title_zero_shot_all_in_one_majority_ensemble_RU</t>
  </si>
  <si>
    <t>granite_zero_shot_gpt_only_title_zero_shot_all_in_one_inclusion_ensemble_RU</t>
  </si>
  <si>
    <t>calme_zero_shot_calme_title_description_complete_3_steps_RU</t>
  </si>
  <si>
    <t>granite_zero_shot_granite_only_title_zero_shot_all_in_one_inclusion_ensemble_RU</t>
  </si>
  <si>
    <t>granite_zero_shot_gpt_only_title_zero_shot_all_in_one_majority_ensemble_BG</t>
  </si>
  <si>
    <t>granite_zero_shot_granite_only_title_zero_shot_all_in_one_majority_ensemble_BG</t>
  </si>
  <si>
    <t>granite_zero_shot_gpt_only_title_zero_shot_all_in_one_inclusion_ensemble_BG</t>
  </si>
  <si>
    <t>granite_zero_shot_granite_only_title_zero_shot_all_in_one_inclusion_ensemble_BG</t>
  </si>
  <si>
    <t>granite_zero_shot_gpt_title_description_zero_shot_all_in_one_majority_ensemble_EN</t>
  </si>
  <si>
    <t>calme_zero_shot_calme_original_original_3_steps_HI</t>
  </si>
  <si>
    <t>granite_zero_shot_granite_title_description_zero_shot_all_in_one_majority_ensemble_EN</t>
  </si>
  <si>
    <t>granite_zero_shot_gpt_title_description_zero_shot_all_in_one_inclusion_ensemble_EN</t>
  </si>
  <si>
    <t>granite_zero_shot_granite_title_description_zero_shot_all_in_one_inclusion_ensemble_EN</t>
  </si>
  <si>
    <t>granite_zero_shot_gpt_title_description_zero_shot_all_in_one_majority_ensemble_PT</t>
  </si>
  <si>
    <t>granite_zero_shot_granite_title_description_zero_shot_all_in_one_majority_ensemble_PT</t>
  </si>
  <si>
    <t>granite_zero_shot_gpt_title_description_zero_shot_all_in_one_inclusion_ensemble_PT</t>
  </si>
  <si>
    <t>granite_zero_shot_granite_title_description_zero_shot_all_in_one_inclusion_ensemble_PT</t>
  </si>
  <si>
    <t>calme_zero_shot_calme_no_no_3_steps_BG</t>
  </si>
  <si>
    <t>granite_zero_shot_gpt_title_description_zero_shot_all_in_one_majority_ensemble_HI</t>
  </si>
  <si>
    <t>granite_zero_shot_granite_title_description_zero_shot_all_in_one_majority_ensemble_HI</t>
  </si>
  <si>
    <t>granite_zero_shot_gpt_title_description_zero_shot_all_in_one_inclusion_ensemble_HI</t>
  </si>
  <si>
    <t>granite_zero_shot_granite_title_description_zero_shot_all_in_one_inclusion_ensemble_HI</t>
  </si>
  <si>
    <t>granite_zero_shot_gpt_title_description_zero_shot_all_in_one_majority_ensemble_RU</t>
  </si>
  <si>
    <t>calme_zero_shot_calme_only_title_3_steps_HI</t>
  </si>
  <si>
    <t>granite_zero_shot_granite_title_description_zero_shot_all_in_one_majority_ensemble_RU</t>
  </si>
  <si>
    <t>granite_zero_shot_gpt_title_description_zero_shot_all_in_one_inclusion_ensemble_RU</t>
  </si>
  <si>
    <t>granite_zero_shot_granite_title_description_zero_shot_all_in_one_inclusion_ensemble_RU</t>
  </si>
  <si>
    <t>granite_zero_shot_gpt_title_description_zero_shot_all_in_one_majority_ensemble_BG</t>
  </si>
  <si>
    <t>granite_zero_shot_granite_title_description_zero_shot_all_in_one_majority_ensemble_BG</t>
  </si>
  <si>
    <t>calme_zero_shot_calme_original_original_3_steps_PT</t>
  </si>
  <si>
    <t>granite_zero_shot_gpt_title_description_zero_shot_all_in_one_inclusion_ensemble_BG</t>
  </si>
  <si>
    <t>granite_zero_shot_granite_title_description_zero_shot_all_in_one_inclusion_ensemble_BG</t>
  </si>
  <si>
    <t>granite_zero_shot_gpt_title_description_complete_zero_shot_all_in_one_majority_ensemble_EN</t>
  </si>
  <si>
    <t>granite_zero_shot_granite_title_description_complete_zero_shot_all_in_one_majority_ensemble_EN</t>
  </si>
  <si>
    <t>granite_zero_shot_gpt_title_description_complete_zero_shot_all_in_one_inclusion_ensemble_EN</t>
  </si>
  <si>
    <t>granite_zero_shot_granite_title_description_complete_zero_shot_all_in_one_inclusion_ensemble_EN</t>
  </si>
  <si>
    <t>calme_zero_shot_calme_title_description_3_steps_HI</t>
  </si>
  <si>
    <t>granite_zero_shot_gpt_title_description_complete_zero_shot_all_in_one_majority_ensemble_PT</t>
  </si>
  <si>
    <t>granite_zero_shot_granite_title_description_complete_zero_shot_all_in_one_majority_ensemble_PT</t>
  </si>
  <si>
    <t>granite_zero_shot_gpt_title_description_complete_zero_shot_all_in_one_inclusion_ensemble_PT</t>
  </si>
  <si>
    <t>granite_zero_shot_granite_title_description_complete_zero_shot_all_in_one_inclusion_ensemble_PT</t>
  </si>
  <si>
    <t>granite_zero_shot_gpt_title_description_complete_zero_shot_all_in_one_majority_ensemble_HI</t>
  </si>
  <si>
    <t>calme_zero_shot_calme_title_description_complete_3_steps_HI</t>
  </si>
  <si>
    <t>granite_zero_shot_granite_title_description_complete_zero_shot_all_in_one_majority_ensemble_HI</t>
  </si>
  <si>
    <t>granite_zero_shot_gpt_title_description_complete_zero_shot_all_in_one_inclusion_ensemble_HI</t>
  </si>
  <si>
    <t>granite_zero_shot_granite_title_description_complete_zero_shot_all_in_one_inclusion_ensemble_HI</t>
  </si>
  <si>
    <t>calme_zero_shot_calme_original_original_3_steps_EN</t>
  </si>
  <si>
    <t>granite_zero_shot_gpt_title_description_complete_zero_shot_all_in_one_majority_ensemble_RU</t>
  </si>
  <si>
    <t>granite_zero_shot_granite_title_description_complete_zero_shot_all_in_one_majority_ensemble_RU</t>
  </si>
  <si>
    <t>granite_zero_shot_gpt_title_description_complete_zero_shot_all_in_one_inclusion_ensemble_RU</t>
  </si>
  <si>
    <t>granite_zero_shot_granite_title_description_complete_zero_shot_all_in_one_inclusion_ensemble_RU</t>
  </si>
  <si>
    <t>granite_zero_shot_gpt_title_description_complete_zero_shot_all_in_one_majority_ensemble_BG</t>
  </si>
  <si>
    <t>calme_zero_shot_calme_original_original_3_steps_BG</t>
  </si>
  <si>
    <t>granite_zero_shot_granite_title_description_complete_zero_shot_all_in_one_majority_ensemble_BG</t>
  </si>
  <si>
    <t>granite_zero_shot_gpt_title_description_complete_zero_shot_all_in_one_inclusion_ensemble_BG</t>
  </si>
  <si>
    <t>granite_zero_shot_granite_title_description_complete_zero_shot_all_in_one_inclusion_ensemble_BG</t>
  </si>
  <si>
    <t>exaone_zero_shot_gpt_no_no_zero_shot_all_in_one_majority_ensemble_EN</t>
  </si>
  <si>
    <t>exaone_zero_shot_exaone_no_no_zero_shot_all_in_one_majority_ensemble_EN</t>
  </si>
  <si>
    <t>exaone_zero_shot_gpt_no_no_zero_shot_all_in_one_inclusion_ensemble_EN</t>
  </si>
  <si>
    <t>calme_zero_shot_calme_only_title_3_steps_PT</t>
  </si>
  <si>
    <t>exaone_zero_shot_exaone_no_no_zero_shot_all_in_one_inclusion_ensemble_EN</t>
  </si>
  <si>
    <t>exaone_zero_shot_gpt_no_no_zero_shot_all_in_one_majority_ensemble_PT</t>
  </si>
  <si>
    <t>exaone_zero_shot_exaone_no_no_zero_shot_all_in_one_majority_ensemble_PT</t>
  </si>
  <si>
    <t>exaone_zero_shot_gpt_no_no_zero_shot_all_in_one_inclusion_ensemble_PT</t>
  </si>
  <si>
    <t>exaone_zero_shot_exaone_no_no_zero_shot_all_in_one_inclusion_ensemble_PT</t>
  </si>
  <si>
    <t>exaone_zero_shot_gpt_no_no_zero_shot_all_in_one_majority_ensemble_HI</t>
  </si>
  <si>
    <t>exaone_zero_shot_exaone_no_no_zero_shot_all_in_one_majority_ensemble_HI</t>
  </si>
  <si>
    <t>exaone_zero_shot_gpt_no_no_zero_shot_all_in_one_inclusion_ensemble_HI</t>
  </si>
  <si>
    <t>calme_zero_shot_calme_only_title_3_steps_BG</t>
  </si>
  <si>
    <t>exaone_zero_shot_exaone_no_no_zero_shot_all_in_one_inclusion_ensemble_HI</t>
  </si>
  <si>
    <t>exaone_zero_shot_gpt_no_no_zero_shot_all_in_one_majority_ensemble_RU</t>
  </si>
  <si>
    <t>exaone_zero_shot_exaone_no_no_zero_shot_all_in_one_majority_ensemble_RU</t>
  </si>
  <si>
    <t>exaone_zero_shot_gpt_no_no_zero_shot_all_in_one_inclusion_ensemble_RU</t>
  </si>
  <si>
    <t>exaone_zero_shot_exaone_no_no_zero_shot_all_in_one_inclusion_ensemble_RU</t>
  </si>
  <si>
    <t>exaone_zero_shot_gpt_no_no_zero_shot_all_in_one_majority_ensemble_BG</t>
  </si>
  <si>
    <t>calme_zero_shot_calme_only_title_3_steps_EN</t>
  </si>
  <si>
    <t>exaone_zero_shot_exaone_no_no_zero_shot_all_in_one_majority_ensemble_BG</t>
  </si>
  <si>
    <t>exaone_zero_shot_gpt_no_no_zero_shot_all_in_one_inclusion_ensemble_BG</t>
  </si>
  <si>
    <t>exaone_zero_shot_exaone_no_no_zero_shot_all_in_one_inclusion_ensemble_BG</t>
  </si>
  <si>
    <t>exaone_zero_shot_gpt_original_original_zero_shot_all_in_one_majority_ensemble_EN</t>
  </si>
  <si>
    <t>exaone_zero_shot_exaone_original_original_zero_shot_all_in_one_majority_ensemble_EN</t>
  </si>
  <si>
    <t>calme_zero_shot_calme_title_description_3_steps_PT</t>
  </si>
  <si>
    <t>exaone_zero_shot_gpt_original_original_zero_shot_all_in_one_inclusion_ensemble_EN</t>
  </si>
  <si>
    <t>exaone_zero_shot_exaone_original_original_zero_shot_all_in_one_inclusion_ensemble_EN</t>
  </si>
  <si>
    <t>exaone_zero_shot_gpt_original_original_zero_shot_all_in_one_majority_ensemble_PT</t>
  </si>
  <si>
    <t>exaone_zero_shot_exaone_original_original_zero_shot_all_in_one_majority_ensemble_PT</t>
  </si>
  <si>
    <t>exaone_zero_shot_gpt_original_original_zero_shot_all_in_one_inclusion_ensemble_PT</t>
  </si>
  <si>
    <t>calme_zero_shot_calme_title_description_complete_3_steps_PT</t>
  </si>
  <si>
    <t>exaone_zero_shot_exaone_original_original_zero_shot_all_in_one_inclusion_ensemble_PT</t>
  </si>
  <si>
    <t>exaone_zero_shot_gpt_original_original_zero_shot_all_in_one_majority_ensemble_HI</t>
  </si>
  <si>
    <t>exaone_zero_shot_exaone_original_original_zero_shot_all_in_one_majority_ensemble_HI</t>
  </si>
  <si>
    <t>exaone_zero_shot_gpt_original_original_zero_shot_all_in_one_inclusion_ensemble_HI</t>
  </si>
  <si>
    <t>calme_zero_shot_calme_title_description_3_steps_BG</t>
  </si>
  <si>
    <t>exaone_zero_shot_exaone_original_original_zero_shot_all_in_one_inclusion_ensemble_HI</t>
  </si>
  <si>
    <t>exaone_zero_shot_gpt_original_original_zero_shot_all_in_one_majority_ensemble_RU</t>
  </si>
  <si>
    <t>exaone_zero_shot_exaone_original_original_zero_shot_all_in_one_majority_ensemble_RU</t>
  </si>
  <si>
    <t>exaone_zero_shot_gpt_original_original_zero_shot_all_in_one_inclusion_ensemble_RU</t>
  </si>
  <si>
    <t>exaone_zero_shot_exaone_original_original_zero_shot_all_in_one_inclusion_ensemble_RU</t>
  </si>
  <si>
    <t>calme_zero_shot_calme_title_description_3_steps_EN</t>
  </si>
  <si>
    <t>exaone_zero_shot_gpt_original_original_zero_shot_all_in_one_majority_ensemble_BG</t>
  </si>
  <si>
    <t>exaone_zero_shot_exaone_original_original_zero_shot_all_in_one_majority_ensemble_BG</t>
  </si>
  <si>
    <t>exaone_zero_shot_gpt_original_original_zero_shot_all_in_one_inclusion_ensemble_BG</t>
  </si>
  <si>
    <t>exaone_zero_shot_exaone_original_original_zero_shot_all_in_one_inclusion_ensemble_BG</t>
  </si>
  <si>
    <t>exaone_zero_shot_gpt_only_title_zero_shot_all_in_one_majority_ensemble_EN</t>
  </si>
  <si>
    <t>calme_zero_shot_calme_title_description_complete_3_steps_EN</t>
  </si>
  <si>
    <t>exaone_zero_shot_exaone_only_title_zero_shot_all_in_one_majority_ensemble_EN</t>
  </si>
  <si>
    <t>exaone_zero_shot_gpt_only_title_zero_shot_all_in_one_inclusion_ensemble_EN</t>
  </si>
  <si>
    <t>exaone_zero_shot_exaone_only_title_zero_shot_all_in_one_inclusion_ensemble_EN</t>
  </si>
  <si>
    <t>exaone_zero_shot_gpt_only_title_zero_shot_all_in_one_majority_ensemble_PT</t>
  </si>
  <si>
    <t>exaone_zero_shot_exaone_only_title_zero_shot_all_in_one_majority_ensemble_PT</t>
  </si>
  <si>
    <t>gemma_zero_shot_gpt_no_no_3_steps_RU</t>
  </si>
  <si>
    <t>exaone_zero_shot_gpt_only_title_zero_shot_all_in_one_inclusion_ensemble_PT</t>
  </si>
  <si>
    <t>exaone_zero_shot_exaone_only_title_zero_shot_all_in_one_inclusion_ensemble_PT</t>
  </si>
  <si>
    <t>exaone_zero_shot_gpt_only_title_zero_shot_all_in_one_majority_ensemble_HI</t>
  </si>
  <si>
    <t>exaone_zero_shot_exaone_only_title_zero_shot_all_in_one_majority_ensemble_HI</t>
  </si>
  <si>
    <t>exaone_zero_shot_gpt_only_title_zero_shot_all_in_one_inclusion_ensemble_HI</t>
  </si>
  <si>
    <t>gemma_zero_shot_gpt_original_original_3_steps_PT</t>
  </si>
  <si>
    <t>exaone_zero_shot_exaone_only_title_zero_shot_all_in_one_inclusion_ensemble_HI</t>
  </si>
  <si>
    <t>exaone_zero_shot_gpt_only_title_zero_shot_all_in_one_majority_ensemble_RU</t>
  </si>
  <si>
    <t>exaone_zero_shot_exaone_only_title_zero_shot_all_in_one_majority_ensemble_RU</t>
  </si>
  <si>
    <t>gemma_no_no</t>
  </si>
  <si>
    <t>exaone_zero_shot_gpt_only_title_zero_shot_all_in_one_inclusion_ensemble_RU</t>
  </si>
  <si>
    <t>exaone_zero_shot_exaone_only_title_zero_shot_all_in_one_inclusion_ensemble_RU</t>
  </si>
  <si>
    <t>gemma_zero_shot_gpt_original_original_3_steps_RU</t>
  </si>
  <si>
    <t>exaone_zero_shot_gpt_only_title_zero_shot_all_in_one_majority_ensemble_BG</t>
  </si>
  <si>
    <t>exaone_zero_shot_exaone_only_title_zero_shot_all_in_one_majority_ensemble_BG</t>
  </si>
  <si>
    <t>exaone_zero_shot_gpt_only_title_zero_shot_all_in_one_inclusion_ensemble_BG</t>
  </si>
  <si>
    <t>exaone_zero_shot_exaone_only_title_zero_shot_all_in_one_inclusion_ensemble_BG</t>
  </si>
  <si>
    <t>exaone_zero_shot_gpt_title_description_zero_shot_all_in_one_majority_ensemble_EN</t>
  </si>
  <si>
    <t>calme_zero_shot_calme_title_description_complete_3_steps_BG</t>
  </si>
  <si>
    <t>exaone_zero_shot_exaone_title_description_zero_shot_all_in_one_majority_ensemble_EN</t>
  </si>
  <si>
    <t>exaone_zero_shot_gpt_title_description_zero_shot_all_in_one_inclusion_ensemble_EN</t>
  </si>
  <si>
    <t>exaone_zero_shot_exaone_title_description_zero_shot_all_in_one_inclusion_ensemble_EN</t>
  </si>
  <si>
    <t>exaone_zero_shot_gpt_title_description_zero_shot_all_in_one_majority_ensemble_PT</t>
  </si>
  <si>
    <t>exaone_zero_shot_exaone_title_description_zero_shot_all_in_one_majority_ensemble_PT</t>
  </si>
  <si>
    <t>exaone_zero_shot_gpt_title_description_zero_shot_all_in_one_inclusion_ensemble_PT</t>
  </si>
  <si>
    <t>exaone_zero_shot_exaone_title_description_zero_shot_all_in_one_inclusion_ensemble_PT</t>
  </si>
  <si>
    <t>exaone_zero_shot_gpt_title_description_zero_shot_all_in_one_majority_ensemble_HI</t>
  </si>
  <si>
    <t>exaone_zero_shot_exaone_title_description_zero_shot_all_in_one_majority_ensemble_HI</t>
  </si>
  <si>
    <t>exaone_zero_shot_gpt_title_description_zero_shot_all_in_one_inclusion_ensemble_HI</t>
  </si>
  <si>
    <t>exaone_zero_shot_exaone_title_description_zero_shot_all_in_one_inclusion_ensemble_HI</t>
  </si>
  <si>
    <t>exaone_zero_shot_gpt_title_description_zero_shot_all_in_one_majority_ensemble_RU</t>
  </si>
  <si>
    <t>gemma_zero_shot_gpt_no_no_3_steps_HI</t>
  </si>
  <si>
    <t>exaone_zero_shot_exaone_title_description_zero_shot_all_in_one_majority_ensemble_RU</t>
  </si>
  <si>
    <t>exaone_zero_shot_gpt_title_description_zero_shot_all_in_one_inclusion_ensemble_RU</t>
  </si>
  <si>
    <t>exaone_zero_shot_exaone_title_description_zero_shot_all_in_one_inclusion_ensemble_RU</t>
  </si>
  <si>
    <t>exaone_zero_shot_gpt_title_description_zero_shot_all_in_one_majority_ensemble_BG</t>
  </si>
  <si>
    <t>exaone_zero_shot_exaone_title_description_zero_shot_all_in_one_majority_ensemble_BG</t>
  </si>
  <si>
    <t>gemma_zero_shot_gpt_only_title_3_steps_RU</t>
  </si>
  <si>
    <t>exaone_zero_shot_gpt_title_description_zero_shot_all_in_one_inclusion_ensemble_BG</t>
  </si>
  <si>
    <t>exaone_zero_shot_exaone_title_description_zero_shot_all_in_one_inclusion_ensemble_BG</t>
  </si>
  <si>
    <t>exaone_zero_shot_gpt_title_description_complete_zero_shot_all_in_one_majority_ensemble_EN</t>
  </si>
  <si>
    <t>exaone_zero_shot_exaone_title_description_complete_zero_shot_all_in_one_majority_ensemble_EN</t>
  </si>
  <si>
    <t>exaone_zero_shot_gpt_title_description_complete_zero_shot_all_in_one_inclusion_ensemble_EN</t>
  </si>
  <si>
    <t>exaone_zero_shot_exaone_title_description_complete_zero_shot_all_in_one_inclusion_ensemble_EN</t>
  </si>
  <si>
    <t>gemma_zero_shot_gpt_no_no_3_steps_EN</t>
  </si>
  <si>
    <t>exaone_zero_shot_gpt_title_description_complete_zero_shot_all_in_one_majority_ensemble_PT</t>
  </si>
  <si>
    <t>exaone_zero_shot_exaone_title_description_complete_zero_shot_all_in_one_majority_ensemble_PT</t>
  </si>
  <si>
    <t>exaone_zero_shot_gpt_title_description_complete_zero_shot_all_in_one_inclusion_ensemble_PT</t>
  </si>
  <si>
    <t>exaone_zero_shot_exaone_title_description_complete_zero_shot_all_in_one_inclusion_ensemble_PT</t>
  </si>
  <si>
    <t>exaone_zero_shot_gpt_title_description_complete_zero_shot_all_in_one_majority_ensemble_HI</t>
  </si>
  <si>
    <t>exaone_zero_shot_exaone_title_description_complete_zero_shot_all_in_one_majority_ensemble_HI</t>
  </si>
  <si>
    <t>gemma_zero_shot_gpt_title_description_complete_3_steps_PT</t>
  </si>
  <si>
    <t>exaone_zero_shot_gpt_title_description_complete_zero_shot_all_in_one_inclusion_ensemble_HI</t>
  </si>
  <si>
    <t>exaone_zero_shot_exaone_title_description_complete_zero_shot_all_in_one_inclusion_ensemble_HI</t>
  </si>
  <si>
    <t>exaone_zero_shot_gpt_title_description_complete_zero_shot_all_in_one_majority_ensemble_RU</t>
  </si>
  <si>
    <t>exaone_zero_shot_exaone_title_description_complete_zero_shot_all_in_one_majority_ensemble_RU</t>
  </si>
  <si>
    <t>exaone_zero_shot_gpt_title_description_complete_zero_shot_all_in_one_inclusion_ensemble_RU</t>
  </si>
  <si>
    <t>exaone_zero_shot_exaone_title_description_complete_zero_shot_all_in_one_inclusion_ensemble_RU</t>
  </si>
  <si>
    <t>exaone_zero_shot_gpt_title_description_complete_zero_shot_all_in_one_majority_ensemble_BG</t>
  </si>
  <si>
    <t>gemma_zero_shot_gpt_no_no_3_steps_PT</t>
  </si>
  <si>
    <t>exaone_zero_shot_exaone_title_description_complete_zero_shot_all_in_one_majority_ensemble_BG</t>
  </si>
  <si>
    <t>exaone_zero_shot_gpt_title_description_complete_zero_shot_all_in_one_inclusion_ensemble_BG</t>
  </si>
  <si>
    <t>exaone_zero_shot_exaone_title_description_complete_zero_shot_all_in_one_inclusion_ensemble_BG</t>
  </si>
  <si>
    <t>gemma_zero_shot_gpt_no_no_zero_shot_all_in_one_majority_ensemble_EN</t>
  </si>
  <si>
    <t>gemma_zero_shot_gpt_title_description_3_steps_RU</t>
  </si>
  <si>
    <t>gemma_zero_shot_gemma_no_no_zero_shot_all_in_one_majority_ensemble_EN</t>
  </si>
  <si>
    <t>gemma_zero_shot_gpt_no_no_zero_shot_all_in_one_inclusion_ensemble_EN</t>
  </si>
  <si>
    <t>gemma_zero_shot_gemma_no_no_zero_shot_all_in_one_inclusion_ensemble_EN</t>
  </si>
  <si>
    <t>gemma_zero_shot_gpt_no_no_zero_shot_all_in_one_majority_ensemble_PT</t>
  </si>
  <si>
    <t>gemma_zero_shot_gpt_no_no_3_steps_BG</t>
  </si>
  <si>
    <t>gemma_zero_shot_gemma_no_no_zero_shot_all_in_one_majority_ensemble_PT</t>
  </si>
  <si>
    <t>gemma_zero_shot_gpt_no_no_zero_shot_all_in_one_inclusion_ensemble_PT</t>
  </si>
  <si>
    <t>gemma_zero_shot_gemma_no_no_zero_shot_all_in_one_inclusion_ensemble_PT</t>
  </si>
  <si>
    <t>gemma_zero_shot_gpt_no_no_zero_shot_all_in_one_majority_ensemble_HI</t>
  </si>
  <si>
    <t>gemma_zero_shot_gemma_no_no_zero_shot_all_in_one_majority_ensemble_HI</t>
  </si>
  <si>
    <t>gemma_zero_shot_gpt_original_original_3_steps_EN</t>
  </si>
  <si>
    <t>gemma_zero_shot_gpt_no_no_zero_shot_all_in_one_inclusion_ensemble_HI</t>
  </si>
  <si>
    <t>gemma_zero_shot_gemma_no_no_zero_shot_all_in_one_inclusion_ensemble_HI</t>
  </si>
  <si>
    <t>gemma_zero_shot_gpt_no_no_zero_shot_all_in_one_majority_ensemble_RU</t>
  </si>
  <si>
    <t>gemma_zero_shot_gemma_no_no_zero_shot_all_in_one_majority_ensemble_RU</t>
  </si>
  <si>
    <t>gemma_zero_shot_gpt_no_no_zero_shot_all_in_one_inclusion_ensemble_RU</t>
  </si>
  <si>
    <t>gemma_zero_shot_gpt_title_description_complete_3_steps_RU</t>
  </si>
  <si>
    <t>gemma_zero_shot_gemma_no_no_zero_shot_all_in_one_inclusion_ensemble_RU</t>
  </si>
  <si>
    <t>gemma_zero_shot_gpt_no_no_zero_shot_all_in_one_majority_ensemble_BG</t>
  </si>
  <si>
    <t>gemma_zero_shot_gemma_no_no_zero_shot_all_in_one_majority_ensemble_BG</t>
  </si>
  <si>
    <t>gemma_zero_shot_gpt_no_no_zero_shot_all_in_one_inclusion_ensemble_BG</t>
  </si>
  <si>
    <t>gemma_zero_shot_gemma_no_no_zero_shot_all_in_one_inclusion_ensemble_BG</t>
  </si>
  <si>
    <t>gemma_zero_shot_gpt_original_original_3_steps_HI</t>
  </si>
  <si>
    <t>gemma_zero_shot_gpt_original_original_zero_shot_all_in_one_majority_ensemble_EN</t>
  </si>
  <si>
    <t>gemma_zero_shot_gemma_original_original_zero_shot_all_in_one_majority_ensemble_EN</t>
  </si>
  <si>
    <t>gemma_zero_shot_gpt_original_original_zero_shot_all_in_one_inclusion_ensemble_EN</t>
  </si>
  <si>
    <t>gemma_zero_shot_gpt_only_title_3_steps_HI</t>
  </si>
  <si>
    <t>gemma_zero_shot_gemma_original_original_zero_shot_all_in_one_inclusion_ensemble_EN</t>
  </si>
  <si>
    <t>gemma_zero_shot_gpt_original_original_zero_shot_all_in_one_majority_ensemble_PT</t>
  </si>
  <si>
    <t>gemma_zero_shot_gemma_original_original_zero_shot_all_in_one_majority_ensemble_PT</t>
  </si>
  <si>
    <t>gemma_zero_shot_gpt_original_original_zero_shot_all_in_one_inclusion_ensemble_PT</t>
  </si>
  <si>
    <t>gemma_zero_shot_gpt_title_description_3_steps_HI</t>
  </si>
  <si>
    <t>gemma_zero_shot_gemma_original_original_zero_shot_all_in_one_inclusion_ensemble_PT</t>
  </si>
  <si>
    <t>gemma_zero_shot_gpt_original_original_zero_shot_all_in_one_majority_ensemble_HI</t>
  </si>
  <si>
    <t>gemma_zero_shot_gemma_original_original_zero_shot_all_in_one_majority_ensemble_HI</t>
  </si>
  <si>
    <t>gemma_zero_shot_gpt_original_original_zero_shot_all_in_one_inclusion_ensemble_HI</t>
  </si>
  <si>
    <t>gemma_zero_shot_gpt_original_original_3_steps_BG</t>
  </si>
  <si>
    <t>gemma_zero_shot_gemma_original_original_zero_shot_all_in_one_inclusion_ensemble_HI</t>
  </si>
  <si>
    <t>gemma_zero_shot_gpt_original_original_zero_shot_all_in_one_majority_ensemble_RU</t>
  </si>
  <si>
    <t>gemma_zero_shot_gemma_original_original_zero_shot_all_in_one_majority_ensemble_RU</t>
  </si>
  <si>
    <t>gemma_zero_shot_gpt_original_original_zero_shot_all_in_one_inclusion_ensemble_RU</t>
  </si>
  <si>
    <t>gemma_zero_shot_gpt_only_title_3_steps_PT</t>
  </si>
  <si>
    <t>gemma_zero_shot_gemma_original_original_zero_shot_all_in_one_inclusion_ensemble_RU</t>
  </si>
  <si>
    <t>gemma_zero_shot_gpt_original_original_zero_shot_all_in_one_majority_ensemble_BG</t>
  </si>
  <si>
    <t>gemma_zero_shot_gemma_original_original_zero_shot_all_in_one_majority_ensemble_BG</t>
  </si>
  <si>
    <t>gemma_zero_shot_gpt_original_original_zero_shot_all_in_one_inclusion_ensemble_BG</t>
  </si>
  <si>
    <t>gemma_zero_shot_gemma_original_original_zero_shot_all_in_one_inclusion_ensemble_BG</t>
  </si>
  <si>
    <t>gemma_zero_shot_gpt_only_title_3_steps_EN</t>
  </si>
  <si>
    <t>gemma_zero_shot_gpt_only_title_zero_shot_all_in_one_majority_ensemble_EN</t>
  </si>
  <si>
    <t>gemma_zero_shot_gemma_only_title_zero_shot_all_in_one_majority_ensemble_EN</t>
  </si>
  <si>
    <t>gemma_zero_shot_gpt_only_title_zero_shot_all_in_one_inclusion_ensemble_EN</t>
  </si>
  <si>
    <t>gemma_zero_shot_gemma_only_title_zero_shot_all_in_one_inclusion_ensemble_EN</t>
  </si>
  <si>
    <t>gemma_zero_shot_gpt_only_title_zero_shot_all_in_one_majority_ensemble_PT</t>
  </si>
  <si>
    <t>gemma_zero_shot_gpt_title_description_complete_3_steps_HI</t>
  </si>
  <si>
    <t>gemma_zero_shot_gemma_only_title_zero_shot_all_in_one_majority_ensemble_PT</t>
  </si>
  <si>
    <t>gemma_zero_shot_gpt_only_title_zero_shot_all_in_one_inclusion_ensemble_PT</t>
  </si>
  <si>
    <t>gemma_zero_shot_gemma_only_title_zero_shot_all_in_one_inclusion_ensemble_PT</t>
  </si>
  <si>
    <t>gemma_zero_shot_gpt_only_title_zero_shot_all_in_one_majority_ensemble_HI</t>
  </si>
  <si>
    <t>gemma_zero_shot_gpt_only_title_3_steps_BG</t>
  </si>
  <si>
    <t>gemma_zero_shot_gemma_only_title_zero_shot_all_in_one_majority_ensemble_HI</t>
  </si>
  <si>
    <t>gemma_zero_shot_gpt_only_title_zero_shot_all_in_one_inclusion_ensemble_HI</t>
  </si>
  <si>
    <t>gemma_zero_shot_gemma_only_title_zero_shot_all_in_one_inclusion_ensemble_HI</t>
  </si>
  <si>
    <t>gemma_zero_shot_gpt_only_title_zero_shot_all_in_one_majority_ensemble_RU</t>
  </si>
  <si>
    <t>gemma_zero_shot_gemma_only_title_zero_shot_all_in_one_majority_ensemble_RU</t>
  </si>
  <si>
    <t>gemma_zero_shot_gpt_title_description_3_steps_PT</t>
  </si>
  <si>
    <t>gemma_zero_shot_gpt_only_title_zero_shot_all_in_one_inclusion_ensemble_RU</t>
  </si>
  <si>
    <t>gemma_zero_shot_gemma_only_title_zero_shot_all_in_one_inclusion_ensemble_RU</t>
  </si>
  <si>
    <t>gemma_zero_shot_gpt_only_title_zero_shot_all_in_one_majority_ensemble_BG</t>
  </si>
  <si>
    <t>gemma_zero_shot_gemma_only_title_zero_shot_all_in_one_majority_ensemble_BG</t>
  </si>
  <si>
    <t>gemma_zero_shot_gpt_only_title_zero_shot_all_in_one_inclusion_ensemble_BG</t>
  </si>
  <si>
    <t>gemma_zero_shot_gpt_title_description_3_steps_EN</t>
  </si>
  <si>
    <t>gemma_zero_shot_gemma_only_title_zero_shot_all_in_one_inclusion_ensemble_BG</t>
  </si>
  <si>
    <t>gemma_zero_shot_gpt_title_description_zero_shot_all_in_one_majority_ensemble_EN</t>
  </si>
  <si>
    <t>gemma_zero_shot_gemma_title_description_zero_shot_all_in_one_majority_ensemble_EN</t>
  </si>
  <si>
    <t>gemma_zero_shot_gpt_title_description_zero_shot_all_in_one_inclusion_ensemble_EN</t>
  </si>
  <si>
    <t>gemma_zero_shot_gemma_title_description_zero_shot_all_in_one_inclusion_ensemble_EN</t>
  </si>
  <si>
    <t>gemma_zero_shot_gpt_title_description_zero_shot_all_in_one_majority_ensemble_PT</t>
  </si>
  <si>
    <t>gemma_zero_shot_gpt_title_description_3_steps_BG</t>
  </si>
  <si>
    <t>gemma_zero_shot_gemma_title_description_zero_shot_all_in_one_majority_ensemble_PT</t>
  </si>
  <si>
    <t>gemma_zero_shot_gpt_title_description_zero_shot_all_in_one_inclusion_ensemble_PT</t>
  </si>
  <si>
    <t>gemma_zero_shot_gemma_title_description_zero_shot_all_in_one_inclusion_ensemble_PT</t>
  </si>
  <si>
    <t>gemma_zero_shot_gpt_title_description_zero_shot_all_in_one_majority_ensemble_HI</t>
  </si>
  <si>
    <t>gemma_zero_shot_gemma_title_description_zero_shot_all_in_one_majority_ensemble_HI</t>
  </si>
  <si>
    <t>gemma_zero_shot_gpt_title_description_complete_3_steps_EN</t>
  </si>
  <si>
    <t>gemma_zero_shot_gpt_title_description_zero_shot_all_in_one_inclusion_ensemble_HI</t>
  </si>
  <si>
    <t>gemma_zero_shot_gemma_title_description_zero_shot_all_in_one_inclusion_ensemble_HI</t>
  </si>
  <si>
    <t>gemma_zero_shot_gpt_title_description_zero_shot_all_in_one_majority_ensemble_RU</t>
  </si>
  <si>
    <t>gemma_zero_shot_gemma_title_description_zero_shot_all_in_one_majority_ensemble_RU</t>
  </si>
  <si>
    <t>gemma_zero_shot_gpt_title_description_zero_shot_all_in_one_inclusion_ensemble_RU</t>
  </si>
  <si>
    <t>gemma_zero_shot_gemma_title_description_zero_shot_all_in_one_inclusion_ensemble_RU</t>
  </si>
  <si>
    <t>gemma_zero_shot_gemma_no_no_3_steps_RU</t>
  </si>
  <si>
    <t>gemma_zero_shot_gpt_title_description_zero_shot_all_in_one_majority_ensemble_BG</t>
  </si>
  <si>
    <t>gemma_zero_shot_gemma_title_description_zero_shot_all_in_one_majority_ensemble_BG</t>
  </si>
  <si>
    <t>gemma_zero_shot_gpt_title_description_zero_shot_all_in_one_inclusion_ensemble_BG</t>
  </si>
  <si>
    <t>gemma_zero_shot_gemma_title_description_zero_shot_all_in_one_inclusion_ensemble_BG</t>
  </si>
  <si>
    <t>gemma_zero_shot_gpt_title_description_complete_zero_shot_all_in_one_majority_ensemble_EN</t>
  </si>
  <si>
    <t>gemma_zero_shot_gemma_title_description_complete_zero_shot_all_in_one_majority_ensemble_EN</t>
  </si>
  <si>
    <t>gemma_zero_shot_gpt_title_description_complete_zero_shot_all_in_one_inclusion_ensemble_EN</t>
  </si>
  <si>
    <t>gemma_zero_shot_gemma_original_original_3_steps_PT</t>
  </si>
  <si>
    <t>gemma_zero_shot_gemma_title_description_complete_zero_shot_all_in_one_inclusion_ensemble_EN</t>
  </si>
  <si>
    <t>gemma_zero_shot_gpt_title_description_complete_zero_shot_all_in_one_majority_ensemble_PT</t>
  </si>
  <si>
    <t>gemma_zero_shot_gemma_title_description_complete_zero_shot_all_in_one_majority_ensemble_PT</t>
  </si>
  <si>
    <t>gemma_zero_shot_gpt_title_description_complete_zero_shot_all_in_one_inclusion_ensemble_PT</t>
  </si>
  <si>
    <t>gemma_zero_shot_gemma_title_description_complete_zero_shot_all_in_one_inclusion_ensemble_PT</t>
  </si>
  <si>
    <t>gemma_zero_shot_gpt_title_description_complete_zero_shot_all_in_one_majority_ensemble_HI</t>
  </si>
  <si>
    <t>gemma_zero_shot_gemma_title_description_complete_zero_shot_all_in_one_majority_ensemble_HI</t>
  </si>
  <si>
    <t>gemma_zero_shot_gemma_original_original_3_steps_RU</t>
  </si>
  <si>
    <t>gemma_zero_shot_gpt_title_description_complete_zero_shot_all_in_one_inclusion_ensemble_HI</t>
  </si>
  <si>
    <t>gemma_zero_shot_gemma_title_description_complete_zero_shot_all_in_one_inclusion_ensemble_HI</t>
  </si>
  <si>
    <t>gemma_zero_shot_gpt_title_description_complete_zero_shot_all_in_one_majority_ensemble_RU</t>
  </si>
  <si>
    <t>gemma_zero_shot_gemma_title_description_complete_zero_shot_all_in_one_majority_ensemble_RU</t>
  </si>
  <si>
    <t>gemma_zero_shot_gpt_title_description_complete_zero_shot_all_in_one_inclusion_ensemble_RU</t>
  </si>
  <si>
    <t>gemma_zero_shot_gemma_title_description_complete_zero_shot_all_in_one_inclusion_ensemble_RU</t>
  </si>
  <si>
    <t>gemma_zero_shot_gpt_title_description_complete_zero_shot_all_in_one_majority_ensemble_BG</t>
  </si>
  <si>
    <t>gemma_zero_shot_gemma_title_description_complete_zero_shot_all_in_one_majority_ensemble_BG</t>
  </si>
  <si>
    <t>gemma_zero_shot_gpt_title_description_complete_zero_shot_all_in_one_inclusion_ensemble_BG</t>
  </si>
  <si>
    <t>gemma_zero_shot_gpt_title_description_complete_3_steps_BG</t>
  </si>
  <si>
    <t>gemma_zero_shot_gemma_title_description_complete_zero_shot_all_in_one_inclusion_ensemble_BG</t>
  </si>
  <si>
    <t>calme_zero_shot_gpt_no_no_hybrid_model_majority_ensemble_EN</t>
  </si>
  <si>
    <t>calme_zero_shot_calme_no_no_hybrid_model_majority_ensemble_EN</t>
  </si>
  <si>
    <t>calme_zero_shot_gpt_no_no_hybrid_model_inclusion_ensemble_EN</t>
  </si>
  <si>
    <t>calme_zero_shot_calme_no_no_hybrid_model_inclusion_ensemble_EN</t>
  </si>
  <si>
    <t>gemma_zero_shot_gemma_only_title_3_steps_PT</t>
  </si>
  <si>
    <t>calme_zero_shot_gpt_no_no_hybrid_model_majority_ensemble_PT</t>
  </si>
  <si>
    <t>calme_zero_shot_calme_no_no_hybrid_model_majority_ensemble_PT</t>
  </si>
  <si>
    <t>calme_zero_shot_gpt_no_no_hybrid_model_inclusion_ensemble_PT</t>
  </si>
  <si>
    <t>calme_zero_shot_calme_no_no_hybrid_model_inclusion_ensemble_PT</t>
  </si>
  <si>
    <t>gemma_zero_shot_gemma_no_no_3_steps_HI</t>
  </si>
  <si>
    <t>calme_zero_shot_gpt_no_no_hybrid_model_majority_ensemble_HI</t>
  </si>
  <si>
    <t>calme_zero_shot_calme_no_no_hybrid_model_majority_ensemble_HI</t>
  </si>
  <si>
    <t>calme_zero_shot_gpt_no_no_hybrid_model_inclusion_ensemble_HI</t>
  </si>
  <si>
    <t>calme_zero_shot_calme_no_no_hybrid_model_inclusion_ensemble_HI</t>
  </si>
  <si>
    <t>calme_zero_shot_gpt_no_no_hybrid_model_majority_ensemble_RU</t>
  </si>
  <si>
    <t>calme_zero_shot_calme_no_no_hybrid_model_majority_ensemble_RU</t>
  </si>
  <si>
    <t>gemma_zero_shot_gemma_only_title_3_steps_RU</t>
  </si>
  <si>
    <t>calme_zero_shot_gpt_no_no_hybrid_model_inclusion_ensemble_RU</t>
  </si>
  <si>
    <t>calme_zero_shot_calme_no_no_hybrid_model_inclusion_ensemble_RU</t>
  </si>
  <si>
    <t>calme_zero_shot_gpt_no_no_hybrid_model_majority_ensemble_BG</t>
  </si>
  <si>
    <t>calme_zero_shot_calme_no_no_hybrid_model_majority_ensemble_BG</t>
  </si>
  <si>
    <t>calme_zero_shot_gpt_no_no_hybrid_model_inclusion_ensemble_BG</t>
  </si>
  <si>
    <t>calme_zero_shot_calme_no_no_hybrid_model_inclusion_ensemble_BG</t>
  </si>
  <si>
    <t>calme_zero_shot_gpt_original_original_hybrid_model_majority_ensemble_EN</t>
  </si>
  <si>
    <t>gemma_zero_shot_gemma_no_no_3_steps_PT</t>
  </si>
  <si>
    <t>calme_zero_shot_calme_original_original_hybrid_model_majority_ensemble_EN</t>
  </si>
  <si>
    <t>calme_zero_shot_gpt_original_original_hybrid_model_inclusion_ensemble_EN</t>
  </si>
  <si>
    <t>calme_zero_shot_calme_original_original_hybrid_model_inclusion_ensemble_EN</t>
  </si>
  <si>
    <t>calme_zero_shot_gpt_original_original_hybrid_model_majority_ensemble_PT</t>
  </si>
  <si>
    <t>calme_zero_shot_calme_original_original_hybrid_model_majority_ensemble_PT</t>
  </si>
  <si>
    <t>calme_zero_shot_gpt_original_original_hybrid_model_inclusion_ensemble_PT</t>
  </si>
  <si>
    <t>calme_zero_shot_calme_original_original_hybrid_model_inclusion_ensemble_PT</t>
  </si>
  <si>
    <t>gemma_zero_shot_gemma_original_original_3_steps_HI</t>
  </si>
  <si>
    <t>calme_zero_shot_gpt_original_original_hybrid_model_majority_ensemble_HI</t>
  </si>
  <si>
    <t>calme_zero_shot_calme_original_original_hybrid_model_majority_ensemble_HI</t>
  </si>
  <si>
    <t>calme_zero_shot_gpt_original_original_hybrid_model_inclusion_ensemble_HI</t>
  </si>
  <si>
    <t>calme_zero_shot_calme_original_original_hybrid_model_inclusion_ensemble_HI</t>
  </si>
  <si>
    <t>calme_zero_shot_gpt_original_original_hybrid_model_majority_ensemble_RU</t>
  </si>
  <si>
    <t>calme_zero_shot_calme_original_original_hybrid_model_majority_ensemble_RU</t>
  </si>
  <si>
    <t>calme_zero_shot_gpt_original_original_hybrid_model_inclusion_ensemble_RU</t>
  </si>
  <si>
    <t>gemma_zero_shot_gemma_no_no_3_steps_EN</t>
  </si>
  <si>
    <t>calme_zero_shot_calme_original_original_hybrid_model_inclusion_ensemble_RU</t>
  </si>
  <si>
    <t>calme_zero_shot_gpt_original_original_hybrid_model_majority_ensemble_BG</t>
  </si>
  <si>
    <t>calme_zero_shot_calme_original_original_hybrid_model_majority_ensemble_BG</t>
  </si>
  <si>
    <t>calme_zero_shot_gpt_original_original_hybrid_model_inclusion_ensemble_BG</t>
  </si>
  <si>
    <t>calme_zero_shot_calme_original_original_hybrid_model_inclusion_ensemble_BG</t>
  </si>
  <si>
    <t>gemma_zero_shot_gemma_no_no_3_steps_BG</t>
  </si>
  <si>
    <t>calme_zero_shot_gpt_only_title_hybrid_model_majority_ensemble_EN</t>
  </si>
  <si>
    <t>calme_zero_shot_calme_only_title_hybrid_model_majority_ensemble_EN</t>
  </si>
  <si>
    <t>calme_zero_shot_gpt_only_title_hybrid_model_inclusion_ensemble_EN</t>
  </si>
  <si>
    <t>gemma_original_original</t>
  </si>
  <si>
    <t>calme_zero_shot_calme_only_title_hybrid_model_inclusion_ensemble_EN</t>
  </si>
  <si>
    <t>calme_zero_shot_gpt_only_title_hybrid_model_majority_ensemble_PT</t>
  </si>
  <si>
    <t>calme_zero_shot_calme_only_title_hybrid_model_majority_ensemble_PT</t>
  </si>
  <si>
    <t>calme_zero_shot_gpt_only_title_hybrid_model_inclusion_ensemble_PT</t>
  </si>
  <si>
    <t>calme_zero_shot_calme_only_title_hybrid_model_inclusion_ensemble_PT</t>
  </si>
  <si>
    <t>gemma_zero_shot_gemma_title_description_3_steps_RU</t>
  </si>
  <si>
    <t>calme_zero_shot_gpt_only_title_hybrid_model_majority_ensemble_HI</t>
  </si>
  <si>
    <t>gemma_zero_shot_gemma_original_original_3_steps_EN</t>
  </si>
  <si>
    <t>calme_zero_shot_calme_only_title_hybrid_model_majority_ensemble_HI</t>
  </si>
  <si>
    <t>calme_zero_shot_gpt_only_title_hybrid_model_inclusion_ensemble_HI</t>
  </si>
  <si>
    <t>calme_zero_shot_calme_only_title_hybrid_model_inclusion_ensemble_HI</t>
  </si>
  <si>
    <t>gemma_zero_shot_gemma_original_original_3_steps_BG</t>
  </si>
  <si>
    <t>calme_zero_shot_gpt_only_title_hybrid_model_majority_ensemble_RU</t>
  </si>
  <si>
    <t>calme_zero_shot_calme_only_title_hybrid_model_majority_ensemble_RU</t>
  </si>
  <si>
    <t>calme_zero_shot_gpt_only_title_hybrid_model_inclusion_ensemble_RU</t>
  </si>
  <si>
    <t>calme_zero_shot_calme_only_title_hybrid_model_inclusion_ensemble_RU</t>
  </si>
  <si>
    <t>gemma_zero_shot_gemma_title_description_complete_3_steps_RU</t>
  </si>
  <si>
    <t>calme_zero_shot_gpt_only_title_hybrid_model_majority_ensemble_BG</t>
  </si>
  <si>
    <t>calme_zero_shot_calme_only_title_hybrid_model_majority_ensemble_BG</t>
  </si>
  <si>
    <t>calme_zero_shot_gpt_only_title_hybrid_model_inclusion_ensemble_BG</t>
  </si>
  <si>
    <t>calme_zero_shot_calme_only_title_hybrid_model_inclusion_ensemble_BG</t>
  </si>
  <si>
    <t>calme_zero_shot_gpt_title_description_hybrid_model_majority_ensemble_EN</t>
  </si>
  <si>
    <t>gemma_zero_shot_gemma_only_title_3_steps_EN</t>
  </si>
  <si>
    <t>calme_zero_shot_calme_title_description_hybrid_model_majority_ensemble_EN</t>
  </si>
  <si>
    <t>calme_zero_shot_gpt_title_description_hybrid_model_inclusion_ensemble_EN</t>
  </si>
  <si>
    <t>calme_zero_shot_calme_title_description_hybrid_model_inclusion_ensemble_EN</t>
  </si>
  <si>
    <t>calme_zero_shot_gpt_title_description_hybrid_model_majority_ensemble_PT</t>
  </si>
  <si>
    <t>calme_zero_shot_calme_title_description_hybrid_model_majority_ensemble_PT</t>
  </si>
  <si>
    <t>calme_zero_shot_gpt_title_description_hybrid_model_inclusion_ensemble_PT</t>
  </si>
  <si>
    <t>gemma_zero_shot_gemma_only_title_3_steps_HI</t>
  </si>
  <si>
    <t>calme_zero_shot_calme_title_description_hybrid_model_inclusion_ensemble_PT</t>
  </si>
  <si>
    <t>calme_zero_shot_gpt_title_description_hybrid_model_majority_ensemble_HI</t>
  </si>
  <si>
    <t>calme_zero_shot_calme_title_description_hybrid_model_majority_ensemble_HI</t>
  </si>
  <si>
    <t>calme_zero_shot_gpt_title_description_hybrid_model_inclusion_ensemble_HI</t>
  </si>
  <si>
    <t>calme_zero_shot_calme_title_description_hybrid_model_inclusion_ensemble_HI</t>
  </si>
  <si>
    <t>calme_zero_shot_gpt_title_description_hybrid_model_majority_ensemble_RU</t>
  </si>
  <si>
    <t>gemma_zero_shot_gemma_title_description_3_steps_HI</t>
  </si>
  <si>
    <t>calme_zero_shot_calme_title_description_hybrid_model_majority_ensemble_RU</t>
  </si>
  <si>
    <t>calme_zero_shot_gpt_title_description_hybrid_model_inclusion_ensemble_RU</t>
  </si>
  <si>
    <t>calme_zero_shot_calme_title_description_hybrid_model_inclusion_ensemble_RU</t>
  </si>
  <si>
    <t>calme_zero_shot_gpt_title_description_hybrid_model_majority_ensemble_BG</t>
  </si>
  <si>
    <t>calme_zero_shot_calme_title_description_hybrid_model_majority_ensemble_BG</t>
  </si>
  <si>
    <t>calme_zero_shot_gpt_title_description_hybrid_model_inclusion_ensemble_BG</t>
  </si>
  <si>
    <t>calme_zero_shot_calme_title_description_hybrid_model_inclusion_ensemble_BG</t>
  </si>
  <si>
    <t>gemma_zero_shot_gemma_only_title_3_steps_BG</t>
  </si>
  <si>
    <t>calme_zero_shot_gpt_title_description_complete_hybrid_model_majority_ensemble_EN</t>
  </si>
  <si>
    <t>calme_zero_shot_calme_title_description_complete_hybrid_model_majority_ensemble_EN</t>
  </si>
  <si>
    <t>calme_zero_shot_gpt_title_description_complete_hybrid_model_inclusion_ensemble_EN</t>
  </si>
  <si>
    <t>calme_zero_shot_calme_title_description_complete_hybrid_model_inclusion_ensemble_EN</t>
  </si>
  <si>
    <t>calme_zero_shot_gpt_title_description_complete_hybrid_model_majority_ensemble_PT</t>
  </si>
  <si>
    <t>gemma_zero_shot_gemma_title_description_complete_3_steps_HI</t>
  </si>
  <si>
    <t>calme_zero_shot_calme_title_description_complete_hybrid_model_majority_ensemble_PT</t>
  </si>
  <si>
    <t>calme_zero_shot_gpt_title_description_complete_hybrid_model_inclusion_ensemble_PT</t>
  </si>
  <si>
    <t>calme_zero_shot_calme_title_description_complete_hybrid_model_inclusion_ensemble_PT</t>
  </si>
  <si>
    <t>calme_zero_shot_gpt_title_description_complete_hybrid_model_majority_ensemble_HI</t>
  </si>
  <si>
    <t>calme_zero_shot_calme_title_description_complete_hybrid_model_majority_ensemble_HI</t>
  </si>
  <si>
    <t>calme_zero_shot_gpt_title_description_complete_hybrid_model_inclusion_ensemble_HI</t>
  </si>
  <si>
    <t>gemma_zero_shot_gemma_title_description_3_steps_EN</t>
  </si>
  <si>
    <t>calme_zero_shot_calme_title_description_complete_hybrid_model_inclusion_ensemble_HI</t>
  </si>
  <si>
    <t>calme_zero_shot_gpt_title_description_complete_hybrid_model_majority_ensemble_RU</t>
  </si>
  <si>
    <t>calme_zero_shot_calme_title_description_complete_hybrid_model_majority_ensemble_RU</t>
  </si>
  <si>
    <t>calme_zero_shot_gpt_title_description_complete_hybrid_model_inclusion_ensemble_RU</t>
  </si>
  <si>
    <t>calme_zero_shot_calme_title_description_complete_hybrid_model_inclusion_ensemble_RU</t>
  </si>
  <si>
    <t>calme_zero_shot_gpt_title_description_complete_hybrid_model_majority_ensemble_BG</t>
  </si>
  <si>
    <t>calme_zero_shot_calme_title_description_complete_hybrid_model_majority_ensemble_BG</t>
  </si>
  <si>
    <t>gemma_zero_shot_gemma_title_description_3_steps_PT</t>
  </si>
  <si>
    <t>calme_zero_shot_gpt_title_description_complete_hybrid_model_inclusion_ensemble_BG</t>
  </si>
  <si>
    <t>calme_zero_shot_calme_title_description_complete_hybrid_model_inclusion_ensemble_BG</t>
  </si>
  <si>
    <t>granite_zero_shot_gpt_no_no_hybrid_model_majority_ensemble_EN</t>
  </si>
  <si>
    <t>granite_zero_shot_granite_no_no_hybrid_model_majority_ensemble_EN</t>
  </si>
  <si>
    <t>granite_zero_shot_gpt_no_no_hybrid_model_inclusion_ensemble_EN</t>
  </si>
  <si>
    <t>granite_zero_shot_granite_no_no_hybrid_model_inclusion_ensemble_EN</t>
  </si>
  <si>
    <t>exaone_zero_shot_gpt_no_no_3_steps_RU</t>
  </si>
  <si>
    <t>granite_zero_shot_gpt_no_no_hybrid_model_majority_ensemble_PT</t>
  </si>
  <si>
    <t>granite_zero_shot_granite_no_no_hybrid_model_majority_ensemble_PT</t>
  </si>
  <si>
    <t>granite_zero_shot_gpt_no_no_hybrid_model_inclusion_ensemble_PT</t>
  </si>
  <si>
    <t>granite_zero_shot_granite_no_no_hybrid_model_inclusion_ensemble_PT</t>
  </si>
  <si>
    <t>gemma_zero_shot_gemma_title_description_3_steps_BG</t>
  </si>
  <si>
    <t>granite_zero_shot_gpt_no_no_hybrid_model_majority_ensemble_HI</t>
  </si>
  <si>
    <t>granite_zero_shot_granite_no_no_hybrid_model_majority_ensemble_HI</t>
  </si>
  <si>
    <t>granite_zero_shot_gpt_no_no_hybrid_model_inclusion_ensemble_HI</t>
  </si>
  <si>
    <t>granite_zero_shot_granite_no_no_hybrid_model_inclusion_ensemble_HI</t>
  </si>
  <si>
    <t>gemma_zero_shot_gemma_title_description_complete_3_steps_PT</t>
  </si>
  <si>
    <t>granite_zero_shot_gpt_no_no_hybrid_model_majority_ensemble_RU</t>
  </si>
  <si>
    <t>granite_zero_shot_granite_no_no_hybrid_model_majority_ensemble_RU</t>
  </si>
  <si>
    <t>granite_zero_shot_gpt_no_no_hybrid_model_inclusion_ensemble_RU</t>
  </si>
  <si>
    <t>granite_zero_shot_granite_no_no_hybrid_model_inclusion_ensemble_RU</t>
  </si>
  <si>
    <t>granite_zero_shot_gpt_no_no_hybrid_model_majority_ensemble_BG</t>
  </si>
  <si>
    <t>gemma_zero_shot_gemma_title_description_complete_3_steps_EN</t>
  </si>
  <si>
    <t>granite_zero_shot_granite_no_no_hybrid_model_majority_ensemble_BG</t>
  </si>
  <si>
    <t>granite_zero_shot_gpt_no_no_hybrid_model_inclusion_ensemble_BG</t>
  </si>
  <si>
    <t>granite_zero_shot_granite_no_no_hybrid_model_inclusion_ensemble_BG</t>
  </si>
  <si>
    <t>exaone_zero_shot_gpt_original_original_3_steps_RU</t>
  </si>
  <si>
    <t>granite_zero_shot_gpt_original_original_hybrid_model_majority_ensemble_EN</t>
  </si>
  <si>
    <t>granite_zero_shot_granite_original_original_hybrid_model_majority_ensemble_EN</t>
  </si>
  <si>
    <t>granite_zero_shot_gpt_original_original_hybrid_model_inclusion_ensemble_EN</t>
  </si>
  <si>
    <t>granite_zero_shot_granite_original_original_hybrid_model_inclusion_ensemble_EN</t>
  </si>
  <si>
    <t>granite_zero_shot_gpt_original_original_hybrid_model_majority_ensemble_PT</t>
  </si>
  <si>
    <t>gemma_zero_shot_gemma_title_description_complete_3_steps_BG</t>
  </si>
  <si>
    <t>granite_zero_shot_granite_original_original_hybrid_model_majority_ensemble_PT</t>
  </si>
  <si>
    <t>granite_zero_shot_gpt_original_original_hybrid_model_inclusion_ensemble_PT</t>
  </si>
  <si>
    <t>granite_zero_shot_granite_original_original_hybrid_model_inclusion_ensemble_PT</t>
  </si>
  <si>
    <t>granite_zero_shot_gpt_original_original_hybrid_model_majority_ensemble_HI</t>
  </si>
  <si>
    <t>exaone_zero_shot_gpt_no_no_3_steps_EN</t>
  </si>
  <si>
    <t>granite_zero_shot_granite_original_original_hybrid_model_majority_ensemble_HI</t>
  </si>
  <si>
    <t>granite_zero_shot_gpt_original_original_hybrid_model_inclusion_ensemble_HI</t>
  </si>
  <si>
    <t>granite_zero_shot_granite_original_original_hybrid_model_inclusion_ensemble_HI</t>
  </si>
  <si>
    <t>exaone_zero_shot_gpt_no_no_3_steps_HI</t>
  </si>
  <si>
    <t>granite_zero_shot_gpt_original_original_hybrid_model_majority_ensemble_RU</t>
  </si>
  <si>
    <t>granite_zero_shot_granite_original_original_hybrid_model_majority_ensemble_RU</t>
  </si>
  <si>
    <t>granite_zero_shot_gpt_original_original_hybrid_model_inclusion_ensemble_RU</t>
  </si>
  <si>
    <t>granite_zero_shot_granite_original_original_hybrid_model_inclusion_ensemble_RU</t>
  </si>
  <si>
    <t>granite_zero_shot_gpt_original_original_hybrid_model_majority_ensemble_BG</t>
  </si>
  <si>
    <t>exaone_zero_shot_gpt_no_no_3_steps_PT</t>
  </si>
  <si>
    <t>granite_zero_shot_granite_original_original_hybrid_model_majority_ensemble_BG</t>
  </si>
  <si>
    <t>granite_zero_shot_gpt_original_original_hybrid_model_inclusion_ensemble_BG</t>
  </si>
  <si>
    <t>granite_zero_shot_granite_original_original_hybrid_model_inclusion_ensemble_BG</t>
  </si>
  <si>
    <t>granite_zero_shot_gpt_only_title_hybrid_model_majority_ensemble_EN</t>
  </si>
  <si>
    <t>exaone_zero_shot_gpt_only_title_3_steps_RU</t>
  </si>
  <si>
    <t>granite_zero_shot_granite_only_title_hybrid_model_majority_ensemble_EN</t>
  </si>
  <si>
    <t>granite_zero_shot_gpt_only_title_hybrid_model_inclusion_ensemble_EN</t>
  </si>
  <si>
    <t>granite_zero_shot_granite_only_title_hybrid_model_inclusion_ensemble_EN</t>
  </si>
  <si>
    <t>granite_zero_shot_gpt_only_title_hybrid_model_majority_ensemble_PT</t>
  </si>
  <si>
    <t>granite_zero_shot_granite_only_title_hybrid_model_majority_ensemble_PT</t>
  </si>
  <si>
    <t>exaone_zero_shot_gpt_original_original_3_steps_HI</t>
  </si>
  <si>
    <t>granite_zero_shot_gpt_only_title_hybrid_model_inclusion_ensemble_PT</t>
  </si>
  <si>
    <t>granite_zero_shot_granite_only_title_hybrid_model_inclusion_ensemble_PT</t>
  </si>
  <si>
    <t>granite_zero_shot_gpt_only_title_hybrid_model_majority_ensemble_HI</t>
  </si>
  <si>
    <t>granite_zero_shot_granite_only_title_hybrid_model_majority_ensemble_HI</t>
  </si>
  <si>
    <t>granite_zero_shot_gpt_only_title_hybrid_model_inclusion_ensemble_HI</t>
  </si>
  <si>
    <t>exaone_zero_shot_gpt_no_no_3_steps_BG</t>
  </si>
  <si>
    <t>granite_zero_shot_granite_only_title_hybrid_model_inclusion_ensemble_HI</t>
  </si>
  <si>
    <t>granite_zero_shot_gpt_only_title_hybrid_model_majority_ensemble_RU</t>
  </si>
  <si>
    <t>granite_zero_shot_granite_only_title_hybrid_model_majority_ensemble_RU</t>
  </si>
  <si>
    <t>granite_zero_shot_gpt_only_title_hybrid_model_inclusion_ensemble_RU</t>
  </si>
  <si>
    <t>granite_zero_shot_granite_only_title_hybrid_model_inclusion_ensemble_RU</t>
  </si>
  <si>
    <t>exaone_zero_shot_gpt_original_original_3_steps_PT</t>
  </si>
  <si>
    <t>granite_zero_shot_gpt_only_title_hybrid_model_majority_ensemble_BG</t>
  </si>
  <si>
    <t>granite_zero_shot_granite_only_title_hybrid_model_majority_ensemble_BG</t>
  </si>
  <si>
    <t>granite_zero_shot_gpt_only_title_hybrid_model_inclusion_ensemble_BG</t>
  </si>
  <si>
    <t>granite_zero_shot_granite_only_title_hybrid_model_inclusion_ensemble_BG</t>
  </si>
  <si>
    <t>exaone_zero_shot_gpt_title_description_3_steps_RU</t>
  </si>
  <si>
    <t>granite_zero_shot_gpt_title_description_hybrid_model_majority_ensemble_EN</t>
  </si>
  <si>
    <t>granite_zero_shot_granite_title_description_hybrid_model_majority_ensemble_EN</t>
  </si>
  <si>
    <t>granite_zero_shot_gpt_title_description_hybrid_model_inclusion_ensemble_EN</t>
  </si>
  <si>
    <t>granite_zero_shot_granite_title_description_hybrid_model_inclusion_ensemble_EN</t>
  </si>
  <si>
    <t>granite_zero_shot_gpt_title_description_hybrid_model_majority_ensemble_PT</t>
  </si>
  <si>
    <t>exaone_zero_shot_gpt_original_original_3_steps_EN</t>
  </si>
  <si>
    <t>granite_zero_shot_granite_title_description_hybrid_model_majority_ensemble_PT</t>
  </si>
  <si>
    <t>granite_zero_shot_gpt_title_description_hybrid_model_inclusion_ensemble_PT</t>
  </si>
  <si>
    <t>granite_zero_shot_granite_title_description_hybrid_model_inclusion_ensemble_PT</t>
  </si>
  <si>
    <t>granite_zero_shot_gpt_title_description_hybrid_model_majority_ensemble_HI</t>
  </si>
  <si>
    <t>exaone_zero_shot_gpt_only_title_3_steps_HI</t>
  </si>
  <si>
    <t>granite_zero_shot_granite_title_description_hybrid_model_majority_ensemble_HI</t>
  </si>
  <si>
    <t>granite_zero_shot_gpt_title_description_hybrid_model_inclusion_ensemble_HI</t>
  </si>
  <si>
    <t>exaone_zero_shot_gpt_original_original_3_steps_BG</t>
  </si>
  <si>
    <t>granite_zero_shot_granite_title_description_hybrid_model_inclusion_ensemble_HI</t>
  </si>
  <si>
    <t>granite_zero_shot_gpt_title_description_hybrid_model_majority_ensemble_RU</t>
  </si>
  <si>
    <t>granite_zero_shot_granite_title_description_hybrid_model_majority_ensemble_RU</t>
  </si>
  <si>
    <t>exaone_zero_shot_gpt_title_description_complete_3_steps_RU</t>
  </si>
  <si>
    <t>granite_zero_shot_gpt_title_description_hybrid_model_inclusion_ensemble_RU</t>
  </si>
  <si>
    <t>granite_zero_shot_granite_title_description_hybrid_model_inclusion_ensemble_RU</t>
  </si>
  <si>
    <t>granite_zero_shot_gpt_title_description_hybrid_model_majority_ensemble_BG</t>
  </si>
  <si>
    <t>exaone_zero_shot_gpt_only_title_3_steps_EN</t>
  </si>
  <si>
    <t>granite_zero_shot_granite_title_description_hybrid_model_majority_ensemble_BG</t>
  </si>
  <si>
    <t>granite_zero_shot_gpt_title_description_hybrid_model_inclusion_ensemble_BG</t>
  </si>
  <si>
    <t>granite_zero_shot_granite_title_description_hybrid_model_inclusion_ensemble_BG</t>
  </si>
  <si>
    <t>exaone_zero_shot_gpt_only_title_3_steps_PT</t>
  </si>
  <si>
    <t>granite_zero_shot_gpt_title_description_complete_hybrid_model_majority_ensemble_EN</t>
  </si>
  <si>
    <t>granite_zero_shot_granite_title_description_complete_hybrid_model_majority_ensemble_EN</t>
  </si>
  <si>
    <t>granite_zero_shot_gpt_title_description_complete_hybrid_model_inclusion_ensemble_EN</t>
  </si>
  <si>
    <t>exaone_zero_shot_gpt_only_title_3_steps_BG</t>
  </si>
  <si>
    <t>granite_zero_shot_granite_title_description_complete_hybrid_model_inclusion_ensemble_EN</t>
  </si>
  <si>
    <t>granite_zero_shot_gpt_title_description_complete_hybrid_model_majority_ensemble_PT</t>
  </si>
  <si>
    <t>granite_zero_shot_granite_title_description_complete_hybrid_model_majority_ensemble_PT</t>
  </si>
  <si>
    <t>exaone_zero_shot_exaone_no_no_3_steps_RU</t>
  </si>
  <si>
    <t>granite_zero_shot_gpt_title_description_complete_hybrid_model_inclusion_ensemble_PT</t>
  </si>
  <si>
    <t>granite_zero_shot_granite_title_description_complete_hybrid_model_inclusion_ensemble_PT</t>
  </si>
  <si>
    <t>granite_zero_shot_gpt_title_description_complete_hybrid_model_majority_ensemble_HI</t>
  </si>
  <si>
    <t>exaone_zero_shot_gpt_title_description_3_steps_HI</t>
  </si>
  <si>
    <t>granite_zero_shot_granite_title_description_complete_hybrid_model_majority_ensemble_HI</t>
  </si>
  <si>
    <t>granite_zero_shot_gpt_title_description_complete_hybrid_model_inclusion_ensemble_HI</t>
  </si>
  <si>
    <t>exaone_zero_shot_gpt_title_description_3_steps_EN</t>
  </si>
  <si>
    <t>granite_zero_shot_granite_title_description_complete_hybrid_model_inclusion_ensemble_HI</t>
  </si>
  <si>
    <t>granite_zero_shot_gpt_title_description_complete_hybrid_model_majority_ensemble_RU</t>
  </si>
  <si>
    <t>granite_zero_shot_granite_title_description_complete_hybrid_model_majority_ensemble_RU</t>
  </si>
  <si>
    <t>exaone_zero_shot_gpt_title_description_3_steps_PT</t>
  </si>
  <si>
    <t>granite_zero_shot_gpt_title_description_complete_hybrid_model_inclusion_ensemble_RU</t>
  </si>
  <si>
    <t>granite_zero_shot_granite_title_description_complete_hybrid_model_inclusion_ensemble_RU</t>
  </si>
  <si>
    <t>gemma_only_title</t>
  </si>
  <si>
    <t>granite_zero_shot_gpt_title_description_complete_hybrid_model_majority_ensemble_BG</t>
  </si>
  <si>
    <t>granite_zero_shot_granite_title_description_complete_hybrid_model_majority_ensemble_BG</t>
  </si>
  <si>
    <t>granite_zero_shot_gpt_title_description_complete_hybrid_model_inclusion_ensemble_BG</t>
  </si>
  <si>
    <t>exaone_zero_shot_gpt_title_description_complete_3_steps_HI</t>
  </si>
  <si>
    <t>granite_zero_shot_granite_title_description_complete_hybrid_model_inclusion_ensemble_BG</t>
  </si>
  <si>
    <t>exaone_zero_shot_gpt_no_no_hybrid_model_majority_ensemble_EN</t>
  </si>
  <si>
    <t>exaone_zero_shot_exaone_no_no_hybrid_model_majority_ensemble_EN</t>
  </si>
  <si>
    <t>exaone_zero_shot_gpt_no_no_hybrid_model_inclusion_ensemble_EN</t>
  </si>
  <si>
    <t>exaone_zero_shot_exaone_no_no_hybrid_model_inclusion_ensemble_EN</t>
  </si>
  <si>
    <t>exaone_zero_shot_gpt_no_no_hybrid_model_majority_ensemble_PT</t>
  </si>
  <si>
    <t>exaone_zero_shot_exaone_no_no_hybrid_model_majority_ensemble_PT</t>
  </si>
  <si>
    <t>exaone_zero_shot_gpt_title_description_3_steps_BG</t>
  </si>
  <si>
    <t>exaone_zero_shot_gpt_no_no_hybrid_model_inclusion_ensemble_PT</t>
  </si>
  <si>
    <t>exaone_zero_shot_exaone_no_no_hybrid_model_inclusion_ensemble_PT</t>
  </si>
  <si>
    <t>exaone_zero_shot_gpt_no_no_hybrid_model_majority_ensemble_HI</t>
  </si>
  <si>
    <t>exaone_zero_shot_exaone_no_no_hybrid_model_majority_ensemble_HI</t>
  </si>
  <si>
    <t>exaone_zero_shot_gpt_title_description_complete_3_steps_PT</t>
  </si>
  <si>
    <t>exaone_zero_shot_gpt_no_no_hybrid_model_inclusion_ensemble_HI</t>
  </si>
  <si>
    <t>exaone_zero_shot_exaone_no_no_hybrid_model_inclusion_ensemble_HI</t>
  </si>
  <si>
    <t>exaone_zero_shot_gpt_no_no_hybrid_model_majority_ensemble_RU</t>
  </si>
  <si>
    <t>exaone_zero_shot_exaone_no_no_hybrid_model_majority_ensemble_RU</t>
  </si>
  <si>
    <t>exaone_zero_shot_gpt_title_description_complete_3_steps_EN</t>
  </si>
  <si>
    <t>exaone_zero_shot_gpt_no_no_hybrid_model_inclusion_ensemble_RU</t>
  </si>
  <si>
    <t>exaone_zero_shot_exaone_no_no_hybrid_model_inclusion_ensemble_RU</t>
  </si>
  <si>
    <t>exaone_zero_shot_gpt_no_no_hybrid_model_majority_ensemble_BG</t>
  </si>
  <si>
    <t>exaone_zero_shot_exaone_no_no_hybrid_model_majority_ensemble_BG</t>
  </si>
  <si>
    <t>exaone_zero_shot_exaone_original_original_3_steps_RU</t>
  </si>
  <si>
    <t>exaone_zero_shot_gpt_no_no_hybrid_model_inclusion_ensemble_BG</t>
  </si>
  <si>
    <t>exaone_zero_shot_exaone_no_no_hybrid_model_inclusion_ensemble_BG</t>
  </si>
  <si>
    <t>exaone_zero_shot_gpt_original_original_hybrid_model_majority_ensemble_EN</t>
  </si>
  <si>
    <t>exaone_zero_shot_gpt_title_description_complete_3_steps_BG</t>
  </si>
  <si>
    <t>exaone_zero_shot_exaone_original_original_hybrid_model_majority_ensemble_EN</t>
  </si>
  <si>
    <t>exaone_zero_shot_gpt_original_original_hybrid_model_inclusion_ensemble_EN</t>
  </si>
  <si>
    <t>exaone_zero_shot_exaone_original_original_hybrid_model_inclusion_ensemble_EN</t>
  </si>
  <si>
    <t>exaone_zero_shot_gpt_original_original_hybrid_model_majority_ensemble_PT</t>
  </si>
  <si>
    <t>exaone_zero_shot_exaone_original_original_hybrid_model_majority_ensemble_PT</t>
  </si>
  <si>
    <t>exaone_zero_shot_exaone_no_no_3_steps_EN</t>
  </si>
  <si>
    <t>exaone_zero_shot_gpt_original_original_hybrid_model_inclusion_ensemble_PT</t>
  </si>
  <si>
    <t>exaone_zero_shot_exaone_original_original_hybrid_model_inclusion_ensemble_PT</t>
  </si>
  <si>
    <t>exaone_zero_shot_gpt_original_original_hybrid_model_majority_ensemble_HI</t>
  </si>
  <si>
    <t>exaone_zero_shot_exaone_original_original_hybrid_model_majority_ensemble_HI</t>
  </si>
  <si>
    <t>exaone_zero_shot_exaone_no_no_3_steps_HI</t>
  </si>
  <si>
    <t>exaone_zero_shot_gpt_original_original_hybrid_model_inclusion_ensemble_HI</t>
  </si>
  <si>
    <t>exaone_zero_shot_exaone_original_original_hybrid_model_inclusion_ensemble_HI</t>
  </si>
  <si>
    <t>exaone_zero_shot_gpt_original_original_hybrid_model_majority_ensemble_RU</t>
  </si>
  <si>
    <t>exaone_zero_shot_exaone_original_original_hybrid_model_majority_ensemble_RU</t>
  </si>
  <si>
    <t>exaone_zero_shot_exaone_no_no_3_steps_PT</t>
  </si>
  <si>
    <t>exaone_zero_shot_gpt_original_original_hybrid_model_inclusion_ensemble_RU</t>
  </si>
  <si>
    <t>exaone_zero_shot_exaone_original_original_hybrid_model_inclusion_ensemble_RU</t>
  </si>
  <si>
    <t>exaone_zero_shot_gpt_original_original_hybrid_model_majority_ensemble_BG</t>
  </si>
  <si>
    <t>exaone_zero_shot_exaone_only_title_3_steps_RU</t>
  </si>
  <si>
    <t>exaone_zero_shot_exaone_original_original_hybrid_model_majority_ensemble_BG</t>
  </si>
  <si>
    <t>exaone_zero_shot_gpt_original_original_hybrid_model_inclusion_ensemble_BG</t>
  </si>
  <si>
    <t>exaone_zero_shot_exaone_original_original_hybrid_model_inclusion_ensemble_BG</t>
  </si>
  <si>
    <t>exaone_zero_shot_gpt_only_title_hybrid_model_majority_ensemble_EN</t>
  </si>
  <si>
    <t>exaone_zero_shot_exaone_no_no_3_steps_BG</t>
  </si>
  <si>
    <t>exaone_zero_shot_exaone_only_title_hybrid_model_majority_ensemble_EN</t>
  </si>
  <si>
    <t>exaone_zero_shot_gpt_only_title_hybrid_model_inclusion_ensemble_EN</t>
  </si>
  <si>
    <t>exaone_zero_shot_exaone_only_title_hybrid_model_inclusion_ensemble_EN</t>
  </si>
  <si>
    <t>exaone_zero_shot_gpt_only_title_hybrid_model_majority_ensemble_PT</t>
  </si>
  <si>
    <t>exaone_zero_shot_exaone_only_title_hybrid_model_majority_ensemble_PT</t>
  </si>
  <si>
    <t>exaone_zero_shot_exaone_original_original_3_steps_HI</t>
  </si>
  <si>
    <t>exaone_zero_shot_gpt_only_title_hybrid_model_inclusion_ensemble_PT</t>
  </si>
  <si>
    <t>exaone_zero_shot_exaone_only_title_hybrid_model_inclusion_ensemble_PT</t>
  </si>
  <si>
    <t>exaone_zero_shot_gpt_only_title_hybrid_model_majority_ensemble_HI</t>
  </si>
  <si>
    <t>exaone_zero_shot_exaone_only_title_hybrid_model_majority_ensemble_HI</t>
  </si>
  <si>
    <t>exaone_zero_shot_exaone_original_original_3_steps_EN</t>
  </si>
  <si>
    <t>exaone_zero_shot_gpt_only_title_hybrid_model_inclusion_ensemble_HI</t>
  </si>
  <si>
    <t>exaone_zero_shot_exaone_only_title_hybrid_model_inclusion_ensemble_HI</t>
  </si>
  <si>
    <t>exaone_zero_shot_gpt_only_title_hybrid_model_majority_ensemble_RU</t>
  </si>
  <si>
    <t>exaone_zero_shot_exaone_only_title_hybrid_model_majority_ensemble_RU</t>
  </si>
  <si>
    <t>exaone_zero_shot_exaone_title_description_3_steps_RU</t>
  </si>
  <si>
    <t>exaone_zero_shot_gpt_only_title_hybrid_model_inclusion_ensemble_RU</t>
  </si>
  <si>
    <t>exaone_zero_shot_exaone_only_title_hybrid_model_inclusion_ensemble_RU</t>
  </si>
  <si>
    <t>exaone_zero_shot_gpt_only_title_hybrid_model_majority_ensemble_BG</t>
  </si>
  <si>
    <t>exaone_zero_shot_exaone_only_title_hybrid_model_majority_ensemble_BG</t>
  </si>
  <si>
    <t>exaone_zero_shot_gpt_only_title_hybrid_model_inclusion_ensemble_BG</t>
  </si>
  <si>
    <t>exaone_zero_shot_exaone_original_original_3_steps_PT</t>
  </si>
  <si>
    <t>exaone_zero_shot_exaone_only_title_hybrid_model_inclusion_ensemble_BG</t>
  </si>
  <si>
    <t>exaone_zero_shot_gpt_title_description_hybrid_model_majority_ensemble_EN</t>
  </si>
  <si>
    <t>exaone_zero_shot_exaone_title_description_hybrid_model_majority_ensemble_EN</t>
  </si>
  <si>
    <t>exaone_zero_shot_gpt_title_description_hybrid_model_inclusion_ensemble_EN</t>
  </si>
  <si>
    <t>exaone_zero_shot_exaone_title_description_hybrid_model_inclusion_ensemble_EN</t>
  </si>
  <si>
    <t>exaone_zero_shot_exaone_only_title_3_steps_HI</t>
  </si>
  <si>
    <t>exaone_zero_shot_gpt_title_description_hybrid_model_majority_ensemble_PT</t>
  </si>
  <si>
    <t>exaone_zero_shot_exaone_title_description_hybrid_model_majority_ensemble_PT</t>
  </si>
  <si>
    <t>exaone_zero_shot_gpt_title_description_hybrid_model_inclusion_ensemble_PT</t>
  </si>
  <si>
    <t>exaone_zero_shot_exaone_title_description_hybrid_model_inclusion_ensemble_PT</t>
  </si>
  <si>
    <t>exaone_zero_shot_exaone_original_original_3_steps_BG</t>
  </si>
  <si>
    <t>exaone_zero_shot_gpt_title_description_hybrid_model_majority_ensemble_HI</t>
  </si>
  <si>
    <t>exaone_zero_shot_exaone_title_description_hybrid_model_majority_ensemble_HI</t>
  </si>
  <si>
    <t>exaone_zero_shot_gpt_title_description_hybrid_model_inclusion_ensemble_HI</t>
  </si>
  <si>
    <t>exaone_zero_shot_exaone_only_title_3_steps_PT</t>
  </si>
  <si>
    <t>exaone_zero_shot_exaone_title_description_hybrid_model_inclusion_ensemble_HI</t>
  </si>
  <si>
    <t>exaone_zero_shot_gpt_title_description_hybrid_model_majority_ensemble_RU</t>
  </si>
  <si>
    <t>exaone_zero_shot_exaone_title_description_hybrid_model_majority_ensemble_RU</t>
  </si>
  <si>
    <t>exaone_zero_shot_gpt_title_description_hybrid_model_inclusion_ensemble_RU</t>
  </si>
  <si>
    <t>exaone_zero_shot_exaone_title_description_complete_3_steps_RU</t>
  </si>
  <si>
    <t>exaone_zero_shot_exaone_title_description_hybrid_model_inclusion_ensemble_RU</t>
  </si>
  <si>
    <t>exaone_zero_shot_gpt_title_description_hybrid_model_majority_ensemble_BG</t>
  </si>
  <si>
    <t>exaone_zero_shot_exaone_title_description_hybrid_model_majority_ensemble_BG</t>
  </si>
  <si>
    <t>exaone_zero_shot_gpt_title_description_hybrid_model_inclusion_ensemble_BG</t>
  </si>
  <si>
    <t>exaone_zero_shot_exaone_only_title_3_steps_EN</t>
  </si>
  <si>
    <t>exaone_zero_shot_exaone_title_description_hybrid_model_inclusion_ensemble_BG</t>
  </si>
  <si>
    <t>exaone_zero_shot_gpt_title_description_complete_hybrid_model_majority_ensemble_EN</t>
  </si>
  <si>
    <t>exaone_zero_shot_exaone_title_description_complete_hybrid_model_majority_ensemble_EN</t>
  </si>
  <si>
    <t>exaone_zero_shot_gpt_title_description_complete_hybrid_model_inclusion_ensemble_EN</t>
  </si>
  <si>
    <t>exaone_zero_shot_exaone_only_title_3_steps_BG</t>
  </si>
  <si>
    <t>exaone_zero_shot_exaone_title_description_complete_hybrid_model_inclusion_ensemble_EN</t>
  </si>
  <si>
    <t>exaone_zero_shot_gpt_title_description_complete_hybrid_model_majority_ensemble_PT</t>
  </si>
  <si>
    <t>exaone_zero_shot_exaone_title_description_complete_hybrid_model_majority_ensemble_PT</t>
  </si>
  <si>
    <t>exaone_zero_shot_gpt_title_description_complete_hybrid_model_inclusion_ensemble_PT</t>
  </si>
  <si>
    <t>granite_zero_shot_gpt_no_no_3_steps_RU</t>
  </si>
  <si>
    <t>exaone_zero_shot_exaone_title_description_complete_hybrid_model_inclusion_ensemble_PT</t>
  </si>
  <si>
    <t>exaone_zero_shot_gpt_title_description_complete_hybrid_model_majority_ensemble_HI</t>
  </si>
  <si>
    <t>exaone_zero_shot_exaone_title_description_complete_hybrid_model_majority_ensemble_HI</t>
  </si>
  <si>
    <t>exaone_zero_shot_gpt_title_description_complete_hybrid_model_inclusion_ensemble_HI</t>
  </si>
  <si>
    <t>exaone_zero_shot_exaone_title_description_complete_hybrid_model_inclusion_ensemble_HI</t>
  </si>
  <si>
    <t>exaone_zero_shot_exaone_title_description_3_steps_HI</t>
  </si>
  <si>
    <t>exaone_zero_shot_gpt_title_description_complete_hybrid_model_majority_ensemble_RU</t>
  </si>
  <si>
    <t>exaone_zero_shot_exaone_title_description_complete_hybrid_model_majority_ensemble_RU</t>
  </si>
  <si>
    <t>exaone_zero_shot_gpt_title_description_complete_hybrid_model_inclusion_ensemble_RU</t>
  </si>
  <si>
    <t>exaone_zero_shot_exaone_title_description_complete_hybrid_model_inclusion_ensemble_RU</t>
  </si>
  <si>
    <t>exaone_zero_shot_exaone_title_description_3_steps_EN</t>
  </si>
  <si>
    <t>exaone_zero_shot_gpt_title_description_complete_hybrid_model_majority_ensemble_BG</t>
  </si>
  <si>
    <t>exaone_zero_shot_exaone_title_description_complete_hybrid_model_majority_ensemble_BG</t>
  </si>
  <si>
    <t>exaone_zero_shot_gpt_title_description_complete_hybrid_model_inclusion_ensemble_BG</t>
  </si>
  <si>
    <t>exaone_zero_shot_exaone_title_description_complete_hybrid_model_inclusion_ensemble_BG</t>
  </si>
  <si>
    <t>exaone_zero_shot_exaone_title_description_3_steps_PT</t>
  </si>
  <si>
    <t>gemma_zero_shot_gpt_no_no_hybrid_model_majority_ensemble_EN</t>
  </si>
  <si>
    <t>gemma_zero_shot_gemma_no_no_hybrid_model_majority_ensemble_EN</t>
  </si>
  <si>
    <t>gemma_zero_shot_gpt_no_no_hybrid_model_inclusion_ensemble_EN</t>
  </si>
  <si>
    <t>gemma_zero_shot_gemma_no_no_hybrid_model_inclusion_ensemble_EN</t>
  </si>
  <si>
    <t>gemma_zero_shot_gpt_no_no_hybrid_model_majority_ensemble_PT</t>
  </si>
  <si>
    <t>gemma_zero_shot_gemma_no_no_hybrid_model_majority_ensemble_PT</t>
  </si>
  <si>
    <t>exaone_zero_shot_exaone_title_description_complete_3_steps_HI</t>
  </si>
  <si>
    <t>gemma_zero_shot_gpt_no_no_hybrid_model_inclusion_ensemble_PT</t>
  </si>
  <si>
    <t>gemma_zero_shot_gemma_no_no_hybrid_model_inclusion_ensemble_PT</t>
  </si>
  <si>
    <t>gemma_zero_shot_gpt_no_no_hybrid_model_majority_ensemble_HI</t>
  </si>
  <si>
    <t>gemma_zero_shot_gemma_no_no_hybrid_model_majority_ensemble_HI</t>
  </si>
  <si>
    <t>exaone_zero_shot_exaone_title_description_3_steps_BG</t>
  </si>
  <si>
    <t>gemma_zero_shot_gpt_no_no_hybrid_model_inclusion_ensemble_HI</t>
  </si>
  <si>
    <t>gemma_zero_shot_gemma_no_no_hybrid_model_inclusion_ensemble_HI</t>
  </si>
  <si>
    <t>gemma_zero_shot_gpt_no_no_hybrid_model_majority_ensemble_RU</t>
  </si>
  <si>
    <t>gemma_zero_shot_gemma_no_no_hybrid_model_majority_ensemble_RU</t>
  </si>
  <si>
    <t>exaone_zero_shot_exaone_title_description_complete_3_steps_PT</t>
  </si>
  <si>
    <t>gemma_zero_shot_gpt_no_no_hybrid_model_inclusion_ensemble_RU</t>
  </si>
  <si>
    <t>gemma_zero_shot_gemma_no_no_hybrid_model_inclusion_ensemble_RU</t>
  </si>
  <si>
    <t>gemma_zero_shot_gpt_no_no_hybrid_model_majority_ensemble_BG</t>
  </si>
  <si>
    <t>gemma_zero_shot_gemma_no_no_hybrid_model_majority_ensemble_BG</t>
  </si>
  <si>
    <t>exaone_zero_shot_exaone_title_description_complete_3_steps_EN</t>
  </si>
  <si>
    <t>gemma_zero_shot_gpt_no_no_hybrid_model_inclusion_ensemble_BG</t>
  </si>
  <si>
    <t>gemma_zero_shot_gemma_no_no_hybrid_model_inclusion_ensemble_BG</t>
  </si>
  <si>
    <t>gemma_zero_shot_gpt_original_original_hybrid_model_majority_ensemble_EN</t>
  </si>
  <si>
    <t>gemma_zero_shot_gemma_original_original_hybrid_model_majority_ensemble_EN</t>
  </si>
  <si>
    <t>granite_zero_shot_gpt_original_original_3_steps_RU</t>
  </si>
  <si>
    <t>gemma_zero_shot_gpt_original_original_hybrid_model_inclusion_ensemble_EN</t>
  </si>
  <si>
    <t>gemma_zero_shot_gemma_original_original_hybrid_model_inclusion_ensemble_EN</t>
  </si>
  <si>
    <t>gemma_zero_shot_gpt_original_original_hybrid_model_majority_ensemble_PT</t>
  </si>
  <si>
    <t>gemma_zero_shot_gemma_original_original_hybrid_model_majority_ensemble_PT</t>
  </si>
  <si>
    <t>exaone_zero_shot_exaone_title_description_complete_3_steps_BG</t>
  </si>
  <si>
    <t>gemma_zero_shot_gpt_original_original_hybrid_model_inclusion_ensemble_PT</t>
  </si>
  <si>
    <t>gemma_zero_shot_gemma_original_original_hybrid_model_inclusion_ensemble_PT</t>
  </si>
  <si>
    <t>gemma_zero_shot_gpt_original_original_hybrid_model_majority_ensemble_HI</t>
  </si>
  <si>
    <t>gemma_zero_shot_gemma_original_original_hybrid_model_majority_ensemble_HI</t>
  </si>
  <si>
    <t>gemma_zero_shot_gpt_original_original_hybrid_model_inclusion_ensemble_HI</t>
  </si>
  <si>
    <t>granite_zero_shot_gpt_no_no_3_steps_HI</t>
  </si>
  <si>
    <t>gemma_zero_shot_gemma_original_original_hybrid_model_inclusion_ensemble_HI</t>
  </si>
  <si>
    <t>gemma_zero_shot_gpt_original_original_hybrid_model_majority_ensemble_RU</t>
  </si>
  <si>
    <t>gemma_zero_shot_gemma_original_original_hybrid_model_majority_ensemble_RU</t>
  </si>
  <si>
    <t>granite_zero_shot_gpt_no_no_3_steps_EN</t>
  </si>
  <si>
    <t>gemma_zero_shot_gpt_original_original_hybrid_model_inclusion_ensemble_RU</t>
  </si>
  <si>
    <t>gemma_zero_shot_gemma_original_original_hybrid_model_inclusion_ensemble_RU</t>
  </si>
  <si>
    <t>gemma_zero_shot_gpt_original_original_hybrid_model_majority_ensemble_BG</t>
  </si>
  <si>
    <t>gemma_zero_shot_gemma_original_original_hybrid_model_majority_ensemble_BG</t>
  </si>
  <si>
    <t>granite_zero_shot_gpt_no_no_3_steps_PT</t>
  </si>
  <si>
    <t>gemma_zero_shot_gpt_original_original_hybrid_model_inclusion_ensemble_BG</t>
  </si>
  <si>
    <t>gemma_zero_shot_gemma_original_original_hybrid_model_inclusion_ensemble_BG</t>
  </si>
  <si>
    <t>gemma_zero_shot_gpt_only_title_hybrid_model_majority_ensemble_EN</t>
  </si>
  <si>
    <t>gemma_zero_shot_gemma_only_title_hybrid_model_majority_ensemble_EN</t>
  </si>
  <si>
    <t>granite_zero_shot_gpt_only_title_3_steps_RU</t>
  </si>
  <si>
    <t>gemma_zero_shot_gpt_only_title_hybrid_model_inclusion_ensemble_EN</t>
  </si>
  <si>
    <t>gemma_zero_shot_gemma_only_title_hybrid_model_inclusion_ensemble_EN</t>
  </si>
  <si>
    <t>gemma_zero_shot_gpt_only_title_hybrid_model_majority_ensemble_PT</t>
  </si>
  <si>
    <t>gemma_zero_shot_gemma_only_title_hybrid_model_majority_ensemble_PT</t>
  </si>
  <si>
    <t>granite_zero_shot_gpt_no_no_3_steps_BG</t>
  </si>
  <si>
    <t>gemma_zero_shot_gpt_only_title_hybrid_model_inclusion_ensemble_PT</t>
  </si>
  <si>
    <t>gemma_zero_shot_gemma_only_title_hybrid_model_inclusion_ensemble_PT</t>
  </si>
  <si>
    <t>gemma_zero_shot_gpt_only_title_hybrid_model_majority_ensemble_HI</t>
  </si>
  <si>
    <t>gemma_zero_shot_gemma_only_title_hybrid_model_majority_ensemble_HI</t>
  </si>
  <si>
    <t>gemma_zero_shot_gpt_only_title_hybrid_model_inclusion_ensemble_HI</t>
  </si>
  <si>
    <t>gemma_zero_shot_gemma_only_title_hybrid_model_inclusion_ensemble_HI</t>
  </si>
  <si>
    <t>granite_zero_shot_gpt_original_original_3_steps_EN</t>
  </si>
  <si>
    <t>gemma_zero_shot_gpt_only_title_hybrid_model_majority_ensemble_RU</t>
  </si>
  <si>
    <t>gemma_zero_shot_gemma_only_title_hybrid_model_majority_ensemble_RU</t>
  </si>
  <si>
    <t>gemma_zero_shot_gpt_only_title_hybrid_model_inclusion_ensemble_RU</t>
  </si>
  <si>
    <t>gemma_title_description</t>
  </si>
  <si>
    <t>gemma_zero_shot_gemma_only_title_hybrid_model_inclusion_ensemble_RU</t>
  </si>
  <si>
    <t>granite_zero_shot_gpt_title_description_3_steps_RU</t>
  </si>
  <si>
    <t>gemma_zero_shot_gpt_only_title_hybrid_model_majority_ensemble_BG</t>
  </si>
  <si>
    <t>gemma_zero_shot_gemma_only_title_hybrid_model_majority_ensemble_BG</t>
  </si>
  <si>
    <t>gemma_zero_shot_gpt_only_title_hybrid_model_inclusion_ensemble_BG</t>
  </si>
  <si>
    <t>gemma_zero_shot_gemma_only_title_hybrid_model_inclusion_ensemble_BG</t>
  </si>
  <si>
    <t>granite_zero_shot_gpt_original_original_3_steps_HI</t>
  </si>
  <si>
    <t>gemma_zero_shot_gpt_title_description_hybrid_model_majority_ensemble_EN</t>
  </si>
  <si>
    <t>gemma_zero_shot_gemma_title_description_hybrid_model_majority_ensemble_EN</t>
  </si>
  <si>
    <t>gemma_zero_shot_gpt_title_description_hybrid_model_inclusion_ensemble_EN</t>
  </si>
  <si>
    <t>gemma_zero_shot_gemma_title_description_hybrid_model_inclusion_ensemble_EN</t>
  </si>
  <si>
    <t>gemma_zero_shot_gpt_title_description_hybrid_model_majority_ensemble_PT</t>
  </si>
  <si>
    <t>granite_zero_shot_gpt_original_original_3_steps_PT</t>
  </si>
  <si>
    <t>gemma_zero_shot_gemma_title_description_hybrid_model_majority_ensemble_PT</t>
  </si>
  <si>
    <t>gemma_zero_shot_gpt_title_description_hybrid_model_inclusion_ensemble_PT</t>
  </si>
  <si>
    <t>gemma_zero_shot_gemma_title_description_hybrid_model_inclusion_ensemble_PT</t>
  </si>
  <si>
    <t>gemma_zero_shot_gpt_title_description_hybrid_model_majority_ensemble_HI</t>
  </si>
  <si>
    <t>granite_zero_shot_gpt_original_original_3_steps_BG</t>
  </si>
  <si>
    <t>gemma_zero_shot_gemma_title_description_hybrid_model_majority_ensemble_HI</t>
  </si>
  <si>
    <t>gemma_zero_shot_gpt_title_description_hybrid_model_inclusion_ensemble_HI</t>
  </si>
  <si>
    <t>gemma_zero_shot_gemma_title_description_hybrid_model_inclusion_ensemble_HI</t>
  </si>
  <si>
    <t>gemma_zero_shot_gpt_title_description_hybrid_model_majority_ensemble_RU</t>
  </si>
  <si>
    <t>granite_zero_shot_gpt_only_title_3_steps_HI</t>
  </si>
  <si>
    <t>gemma_zero_shot_gemma_title_description_hybrid_model_majority_ensemble_RU</t>
  </si>
  <si>
    <t>gemma_zero_shot_gpt_title_description_hybrid_model_inclusion_ensemble_RU</t>
  </si>
  <si>
    <t>gemma_zero_shot_gemma_title_description_hybrid_model_inclusion_ensemble_RU</t>
  </si>
  <si>
    <t>gemma_zero_shot_gpt_title_description_hybrid_model_majority_ensemble_BG</t>
  </si>
  <si>
    <t>granite_zero_shot_gpt_only_title_3_steps_PT</t>
  </si>
  <si>
    <t>gemma_zero_shot_gemma_title_description_hybrid_model_majority_ensemble_BG</t>
  </si>
  <si>
    <t>gemma_zero_shot_gpt_title_description_hybrid_model_inclusion_ensemble_BG</t>
  </si>
  <si>
    <t>granite_zero_shot_gpt_title_description_complete_3_steps_RU</t>
  </si>
  <si>
    <t>gemma_zero_shot_gemma_title_description_hybrid_model_inclusion_ensemble_BG</t>
  </si>
  <si>
    <t>gemma_zero_shot_gpt_title_description_complete_hybrid_model_majority_ensemble_EN</t>
  </si>
  <si>
    <t>gemma_zero_shot_gemma_title_description_complete_hybrid_model_majority_ensemble_EN</t>
  </si>
  <si>
    <t>gemma_zero_shot_gpt_title_description_complete_hybrid_model_inclusion_ensemble_EN</t>
  </si>
  <si>
    <t>granite_zero_shot_gpt_only_title_3_steps_EN</t>
  </si>
  <si>
    <t>gemma_zero_shot_gemma_title_description_complete_hybrid_model_inclusion_ensemble_EN</t>
  </si>
  <si>
    <t>gemma_zero_shot_gpt_title_description_complete_hybrid_model_majority_ensemble_PT</t>
  </si>
  <si>
    <t>gemma_zero_shot_gemma_title_description_complete_hybrid_model_majority_ensemble_PT</t>
  </si>
  <si>
    <t>gemma_zero_shot_gpt_title_description_complete_hybrid_model_inclusion_ensemble_PT</t>
  </si>
  <si>
    <t>granite_zero_shot_gpt_only_title_3_steps_BG</t>
  </si>
  <si>
    <t>gemma_zero_shot_gemma_title_description_complete_hybrid_model_inclusion_ensemble_PT</t>
  </si>
  <si>
    <t>gemma_zero_shot_gpt_title_description_complete_hybrid_model_majority_ensemble_HI</t>
  </si>
  <si>
    <t>gemma_zero_shot_gemma_title_description_complete_hybrid_model_majority_ensemble_HI</t>
  </si>
  <si>
    <t>gemma_zero_shot_gpt_title_description_complete_hybrid_model_inclusion_ensemble_HI</t>
  </si>
  <si>
    <t>granite_zero_shot_gpt_title_description_3_steps_EN</t>
  </si>
  <si>
    <t>gemma_zero_shot_gemma_title_description_complete_hybrid_model_inclusion_ensemble_HI</t>
  </si>
  <si>
    <t>gemma_zero_shot_gpt_title_description_complete_hybrid_model_majority_ensemble_RU</t>
  </si>
  <si>
    <t>gemma_zero_shot_gemma_title_description_complete_hybrid_model_majority_ensemble_RU</t>
  </si>
  <si>
    <t>gemma_zero_shot_gpt_title_description_complete_hybrid_model_inclusion_ensemble_RU</t>
  </si>
  <si>
    <t>granite_zero_shot_gpt_title_description_3_steps_HI</t>
  </si>
  <si>
    <t>gemma_zero_shot_gemma_title_description_complete_hybrid_model_inclusion_ensemble_RU</t>
  </si>
  <si>
    <t>gemma_zero_shot_gpt_title_description_complete_hybrid_model_majority_ensemble_BG</t>
  </si>
  <si>
    <t>gemma_zero_shot_gemma_title_description_complete_hybrid_model_majority_ensemble_BG</t>
  </si>
  <si>
    <t>gemma_zero_shot_gpt_title_description_complete_hybrid_model_inclusion_ensemble_BG</t>
  </si>
  <si>
    <t>granite_zero_shot_granite_no_no_3_steps_RU</t>
  </si>
  <si>
    <t>gemma_zero_shot_gemma_title_description_complete_hybrid_model_inclusion_ensemble_BG</t>
  </si>
  <si>
    <t>granite_zero_shot_gpt_title_description_3_steps_PT</t>
  </si>
  <si>
    <t>granite_zero_shot_gpt_title_description_3_steps_BG</t>
  </si>
  <si>
    <t>granite_zero_shot_gpt_title_description_complete_3_steps_HI</t>
  </si>
  <si>
    <t>granite_zero_shot_granite_original_original_3_steps_RU</t>
  </si>
  <si>
    <t>granite_zero_shot_gpt_title_description_complete_3_steps_PT</t>
  </si>
  <si>
    <t>granite_zero_shot_gpt_title_description_complete_3_steps_EN</t>
  </si>
  <si>
    <t>granite_zero_shot_granite_no_no_3_steps_HI</t>
  </si>
  <si>
    <t>granite_zero_shot_gpt_title_description_complete_3_steps_BG</t>
  </si>
  <si>
    <t>granite_zero_shot_granite_only_title_3_steps_RU</t>
  </si>
  <si>
    <t>granite_zero_shot_granite_no_no_3_steps_EN</t>
  </si>
  <si>
    <t>granite_zero_shot_granite_no_no_3_steps_PT</t>
  </si>
  <si>
    <t>granite_zero_shot_granite_no_no_3_steps_BG</t>
  </si>
  <si>
    <t>granite_zero_shot_granite_original_original_3_steps_EN</t>
  </si>
  <si>
    <t>granite_zero_shot_granite_title_description_3_steps_RU</t>
  </si>
  <si>
    <t>granite_zero_shot_granite_original_original_3_steps_PT</t>
  </si>
  <si>
    <t>granite_zero_shot_granite_original_original_3_steps_HI</t>
  </si>
  <si>
    <t>granite_zero_shot_granite_only_title_3_steps_HI</t>
  </si>
  <si>
    <t>granite_zero_shot_granite_original_original_3_steps_BG</t>
  </si>
  <si>
    <t>granite_zero_shot_granite_only_title_3_steps_EN</t>
  </si>
  <si>
    <t>granite_zero_shot_granite_only_title_3_steps_PT</t>
  </si>
  <si>
    <t>granite_zero_shot_granite_title_description_3_steps_EN</t>
  </si>
  <si>
    <t>granite_zero_shot_granite_title_description_complete_3_steps_RU</t>
  </si>
  <si>
    <t>granite_zero_shot_granite_title_description_3_steps_HI</t>
  </si>
  <si>
    <t>granite_zero_shot_granite_only_title_3_steps_BG</t>
  </si>
  <si>
    <t>granite_zero_shot_granite_title_description_3_steps_BG</t>
  </si>
  <si>
    <t>granite_zero_shot_granite_title_description_3_steps_PT</t>
  </si>
  <si>
    <t>granite_zero_shot_granite_title_description_complete_3_steps_PT</t>
  </si>
  <si>
    <t>granite_zero_shot_granite_title_description_complete_3_steps_HI</t>
  </si>
  <si>
    <t>granite_zero_shot_granite_title_description_complete_3_steps_EN</t>
  </si>
  <si>
    <t>gemma_title_description_complete</t>
  </si>
  <si>
    <t>granite_zero_shot_granite_title_description_complete_3_steps_BG</t>
  </si>
  <si>
    <t>calme_zero_shot_gpt_title_description_hybrid_model_RU</t>
  </si>
  <si>
    <t>calme_zero_shot_gpt_no_no_hybrid_model_RU</t>
  </si>
  <si>
    <t>calme_zero_shot_gpt_title_description_complete_hybrid_model_RU</t>
  </si>
  <si>
    <t>calme_zero_shot_gpt_original_original_hybrid_model_RU</t>
  </si>
  <si>
    <t>calme_zero_shot_gpt_only_title_hybrid_model_RU</t>
  </si>
  <si>
    <t>calme_zero_shot_gpt_original_original_hybrid_model_HI</t>
  </si>
  <si>
    <t>calme_zero_shot_gpt_title_description_hybrid_model_HI</t>
  </si>
  <si>
    <t>calme_zero_shot_gpt_title_description_complete_hybrid_model_HI</t>
  </si>
  <si>
    <t>calme_zero_shot_gpt_only_title_hybrid_model_HI</t>
  </si>
  <si>
    <t>calme_zero_shot_gpt_no_no_hybrid_model_HI</t>
  </si>
  <si>
    <t>calme_zero_shot_gpt_no_no_hybrid_model_PT</t>
  </si>
  <si>
    <t>calme_zero_shot_gpt_only_title_hybrid_model_PT</t>
  </si>
  <si>
    <t>calme_zero_shot_gpt_title_description_hybrid_model_BG</t>
  </si>
  <si>
    <t>calme_zero_shot_gpt_title_description_complete_hybrid_model_PT</t>
  </si>
  <si>
    <t>calme_zero_shot_gpt_no_no_hybrid_model_BG</t>
  </si>
  <si>
    <t>calme_zero_shot_gpt_title_description_hybrid_model_PT</t>
  </si>
  <si>
    <t>calme_zero_shot_gpt_original_original_hybrid_model_PT</t>
  </si>
  <si>
    <t>calme_zero_shot_gpt_only_title_hybrid_model_BG</t>
  </si>
  <si>
    <t>calme_zero_shot_gpt_original_original_hybrid_model_BG</t>
  </si>
  <si>
    <t>calme_zero_shot_gpt_no_no_hybrid_model_EN</t>
  </si>
  <si>
    <t>calme_zero_shot_gpt_title_description_hybrid_model_EN</t>
  </si>
  <si>
    <t>calme_zero_shot_gpt_only_title_hybrid_model_EN</t>
  </si>
  <si>
    <t>calme_zero_shot_gpt_original_original_hybrid_model_EN</t>
  </si>
  <si>
    <t>calme_zero_shot_gpt_title_description_complete_hybrid_model_EN</t>
  </si>
  <si>
    <t>calme_zero_shot_calme_no_no_hybrid_model_RU</t>
  </si>
  <si>
    <t>calme_zero_shot_calme_no_no_hybrid_model_HI</t>
  </si>
  <si>
    <t>calme_zero_shot_calme_original_original_hybrid_model_RU</t>
  </si>
  <si>
    <t>calme_zero_shot_calme_no_no_hybrid_model_PT</t>
  </si>
  <si>
    <t>calme_zero_shot_gpt_title_description_complete_hybrid_model_BG</t>
  </si>
  <si>
    <t>calme_zero_shot_calme_only_title_hybrid_model_RU</t>
  </si>
  <si>
    <t>calme_zero_shot_calme_title_description_hybrid_model_RU</t>
  </si>
  <si>
    <t>calme_zero_shot_calme_no_no_hybrid_model_EN</t>
  </si>
  <si>
    <t>calme_zero_shot_calme_title_description_complete_hybrid_model_RU</t>
  </si>
  <si>
    <t>calme_zero_shot_calme_original_original_hybrid_model_HI</t>
  </si>
  <si>
    <t>calme_zero_shot_calme_no_no_hybrid_model_BG</t>
  </si>
  <si>
    <t>calme_zero_shot_calme_original_original_hybrid_model_PT</t>
  </si>
  <si>
    <t>calme_zero_shot_calme_title_description_hybrid_model_HI</t>
  </si>
  <si>
    <t>calme_zero_shot_calme_original_original_hybrid_model_EN</t>
  </si>
  <si>
    <t>calme_zero_shot_calme_only_title_hybrid_model_HI</t>
  </si>
  <si>
    <t>calme_zero_shot_calme_title_description_complete_hybrid_model_HI</t>
  </si>
  <si>
    <t>calme_zero_shot_calme_original_original_hybrid_model_BG</t>
  </si>
  <si>
    <t>calme_zero_shot_calme_title_description_hybrid_model_PT</t>
  </si>
  <si>
    <t>calme_zero_shot_calme_only_title_hybrid_model_PT</t>
  </si>
  <si>
    <t>calme_zero_shot_calme_only_title_hybrid_model_BG</t>
  </si>
  <si>
    <t>calme_zero_shot_calme_title_description_complete_hybrid_model_PT</t>
  </si>
  <si>
    <t>calme_zero_shot_calme_only_title_hybrid_model_EN</t>
  </si>
  <si>
    <t>calme_zero_shot_calme_title_description_hybrid_model_BG</t>
  </si>
  <si>
    <t>calme_zero_shot_calme_title_description_hybrid_model_EN</t>
  </si>
  <si>
    <t>calme_zero_shot_calme_title_description_complete_hybrid_model_EN</t>
  </si>
  <si>
    <t>gemma_zero_shot_gpt_no_no_hybrid_model_RU</t>
  </si>
  <si>
    <t>gemma_zero_shot_gpt_no_no_hybrid_model_PT</t>
  </si>
  <si>
    <t>gemma_zero_shot_gpt_original_original_hybrid_model_PT</t>
  </si>
  <si>
    <t>gemma_zero_shot_gpt_original_original_hybrid_model_RU</t>
  </si>
  <si>
    <t>calme_zero_shot_calme_title_description_complete_hybrid_model_BG</t>
  </si>
  <si>
    <t>gemma_zero_shot_gpt_no_no_hybrid_model_HI</t>
  </si>
  <si>
    <t>gemma_zero_shot_gpt_no_no_hybrid_model_EN</t>
  </si>
  <si>
    <t>gemma_zero_shot_gpt_only_title_hybrid_model_RU</t>
  </si>
  <si>
    <t>gemma_zero_shot_gpt_no_no_hybrid_model_BG</t>
  </si>
  <si>
    <t>gemma_zero_shot_gpt_title_description_hybrid_model_RU</t>
  </si>
  <si>
    <t>gemma_zero_shot_gpt_original_original_hybrid_model_EN</t>
  </si>
  <si>
    <t>gemma_zero_shot_gpt_title_description_hybrid_model_PT</t>
  </si>
  <si>
    <t>gemma_zero_shot_gpt_title_description_complete_hybrid_model_RU</t>
  </si>
  <si>
    <t>gemma_zero_shot_gpt_original_original_hybrid_model_HI</t>
  </si>
  <si>
    <t>gemma_zero_shot_gpt_only_title_hybrid_model_HI</t>
  </si>
  <si>
    <t>gemma_zero_shot_gpt_only_title_hybrid_model_PT</t>
  </si>
  <si>
    <t>gemma_zero_shot_gpt_original_original_hybrid_model_BG</t>
  </si>
  <si>
    <t>gemma_zero_shot_gpt_title_description_hybrid_model_HI</t>
  </si>
  <si>
    <t>gemma_zero_shot_gpt_only_title_hybrid_model_EN</t>
  </si>
  <si>
    <t>gemma_zero_shot_gpt_title_description_complete_hybrid_model_HI</t>
  </si>
  <si>
    <t>gemma_zero_shot_gpt_only_title_hybrid_model_BG</t>
  </si>
  <si>
    <t>gemma_zero_shot_gpt_title_description_hybrid_model_BG</t>
  </si>
  <si>
    <t>gemma_zero_shot_gpt_title_description</t>
  </si>
  <si>
    <t>gemma_zero_shot_gpt_title_description_complete_hybrid_model_PT</t>
  </si>
  <si>
    <t>gemma_zero_shot_gpt_title_description_hybrid_model_EN</t>
  </si>
  <si>
    <t>gemma_zero_shot_gpt_title_description_complete_hybrid_model_EN</t>
  </si>
  <si>
    <t>gemma_zero_shot_gemma_no_no_hybrid_model_RU</t>
  </si>
  <si>
    <t>gemma_zero_shot_gemma_no_no_hybrid_model_PT</t>
  </si>
  <si>
    <t>gemma_zero_shot_gemma_original_original_hybrid_model_RU</t>
  </si>
  <si>
    <t>gemma_zero_shot_gpt_title_description_complete_hybrid_model_BG</t>
  </si>
  <si>
    <t>gemma_zero_shot_gemma_original_original_hybrid_model_PT</t>
  </si>
  <si>
    <t>gemma_zero_shot_gemma_no_no_hybrid_model_EN</t>
  </si>
  <si>
    <t>gemma_zero_shot_gemma_no_no_hybrid_model_HI</t>
  </si>
  <si>
    <t>gemma_zero_shot_gemma_original_original_hybrid_model_HI</t>
  </si>
  <si>
    <t>gemma_zero_shot_gemma_only_title_hybrid_model_RU</t>
  </si>
  <si>
    <t>gemma_zero_shot_gemma_no_no_hybrid_model_BG</t>
  </si>
  <si>
    <t>gemma_zero_shot_gemma_original_original_hybrid_model_EN</t>
  </si>
  <si>
    <t>gemma_zero_shot_gemma_title_description_hybrid_model_RU</t>
  </si>
  <si>
    <t>gemma_zero_shot_gemma_original_original_hybrid_model_BG</t>
  </si>
  <si>
    <t>gemma_zero_shot_gemma_title_description_complete_hybrid_model_RU</t>
  </si>
  <si>
    <t>gemma_zero_shot_gemma_only_title_hybrid_model_EN</t>
  </si>
  <si>
    <t>gemma_zero_shot_gemma_only_title_hybrid_model_PT</t>
  </si>
  <si>
    <t>gemma_zero_shot_gemma_only_title_hybrid_model_HI</t>
  </si>
  <si>
    <t>gemma_zero_shot_gemma_title_description_hybrid_model_HI</t>
  </si>
  <si>
    <t>gemma_zero_shot_gemma_only_title_hybrid_model_BG</t>
  </si>
  <si>
    <t>gemma_zero_shot_gemma_title_description_hybrid_model_PT</t>
  </si>
  <si>
    <t>gemma_zero_shot_gemma_title_description_hybrid_model_EN</t>
  </si>
  <si>
    <t>gemma_zero_shot_gemma_title_description_complete_hybrid_model_HI</t>
  </si>
  <si>
    <t>exaone_zero_shot_gpt_no_no_hybrid_model_RU</t>
  </si>
  <si>
    <t>gemma_zero_shot_gemma_title_description_hybrid_model_BG</t>
  </si>
  <si>
    <t>gemma_zero_shot_gemma_title_description_complete_hybrid_model_PT</t>
  </si>
  <si>
    <t>calme_gpt_only_title</t>
  </si>
  <si>
    <t>gemma_zero_shot_gemma_title_description_complete_hybrid_model_EN</t>
  </si>
  <si>
    <t>gemma_zero_shot_gemma_title_description_complete_hybrid_model_BG</t>
  </si>
  <si>
    <t>exaone_zero_shot_gpt_original_original_hybrid_model_RU</t>
  </si>
  <si>
    <t>exaone_zero_shot_gpt_no_no_hybrid_model_HI</t>
  </si>
  <si>
    <t>exaone_zero_shot_gpt_no_no_hybrid_model_EN</t>
  </si>
  <si>
    <t>exaone_zero_shot_gpt_no_no_hybrid_model_PT</t>
  </si>
  <si>
    <t>exaone_zero_shot_gpt_only_title_hybrid_model_RU</t>
  </si>
  <si>
    <t>exaone_zero_shot_gpt_no_no_hybrid_model_BG</t>
  </si>
  <si>
    <t>exaone_zero_shot_gpt_original_original_hybrid_model_HI</t>
  </si>
  <si>
    <t>exaone_zero_shot_gpt_original_original_hybrid_model_PT</t>
  </si>
  <si>
    <t>exaone_zero_shot_gpt_original_original_hybrid_model_EN</t>
  </si>
  <si>
    <t>exaone_zero_shot_gpt_title_description_hybrid_model_RU</t>
  </si>
  <si>
    <t>exaone_zero_shot_gpt_original_original_hybrid_model_BG</t>
  </si>
  <si>
    <t>exaone_zero_shot_gpt_title_description_complete_hybrid_model_RU</t>
  </si>
  <si>
    <t>gemma_zero_shot_gpt_title_description_complete</t>
  </si>
  <si>
    <t>exaone_zero_shot_gpt_only_title_hybrid_model_EN</t>
  </si>
  <si>
    <t>exaone_zero_shot_gpt_only_title_hybrid_model_PT</t>
  </si>
  <si>
    <t>exaone_zero_shot_gpt_only_title_hybrid_model_HI</t>
  </si>
  <si>
    <t>exaone_zero_shot_exaone_no_no_hybrid_model_RU</t>
  </si>
  <si>
    <t>exaone_zero_shot_gpt_only_title_hybrid_model_BG</t>
  </si>
  <si>
    <t>exaone_zero_shot_gpt_title_description_hybrid_model_HI</t>
  </si>
  <si>
    <t>exaone_zero_shot_gpt_title_description_hybrid_model_EN</t>
  </si>
  <si>
    <t>exaone_zero_shot_gpt_title_description_hybrid_model_PT</t>
  </si>
  <si>
    <t>exaone_zero_shot_gpt_title_description_complete_hybrid_model_HI</t>
  </si>
  <si>
    <t>exaone_zero_shot_gpt_title_description_hybrid_model_BG</t>
  </si>
  <si>
    <t>exaone_zero_shot_gpt_title_description_complete_hybrid_model_EN</t>
  </si>
  <si>
    <t>calme_gpt_title_description</t>
  </si>
  <si>
    <t>exaone_zero_shot_gpt_title_description_complete_hybrid_model_PT</t>
  </si>
  <si>
    <t>exaone_zero_shot_exaone_original_original_hybrid_model_RU</t>
  </si>
  <si>
    <t>exaone_zero_shot_exaone_no_no_hybrid_model_HI</t>
  </si>
  <si>
    <t>exaone_zero_shot_gpt_title_description_complete_hybrid_model_BG</t>
  </si>
  <si>
    <t>exaone_zero_shot_exaone_no_no_hybrid_model_EN</t>
  </si>
  <si>
    <t>exaone_zero_shot_exaone_no_no_hybrid_model_PT</t>
  </si>
  <si>
    <t>exaone_zero_shot_exaone_only_title_hybrid_model_RU</t>
  </si>
  <si>
    <t>exaone_zero_shot_exaone_no_no_hybrid_model_BG</t>
  </si>
  <si>
    <t>exaone_zero_shot_exaone_original_original_hybrid_model_HI</t>
  </si>
  <si>
    <t>exaone_zero_shot_exaone_original_original_hybrid_model_PT</t>
  </si>
  <si>
    <t>exaone_zero_shot_exaone_original_original_hybrid_model_EN</t>
  </si>
  <si>
    <t>exaone_zero_shot_exaone_title_description_hybrid_model_RU</t>
  </si>
  <si>
    <t>exaone_zero_shot_exaone_original_original_hybrid_model_BG</t>
  </si>
  <si>
    <t>exaone_zero_shot_exaone_only_title_hybrid_model_HI</t>
  </si>
  <si>
    <t>exaone_zero_shot_exaone_only_title_hybrid_model_EN</t>
  </si>
  <si>
    <t>exaone_zero_shot_exaone_title_description_complete_hybrid_model_RU</t>
  </si>
  <si>
    <t>exaone_zero_shot_exaone_only_title_hybrid_model_PT</t>
  </si>
  <si>
    <t>exaone_zero_shot_exaone_only_title_hybrid_model_BG</t>
  </si>
  <si>
    <t>granite_zero_shot_gpt_no_no_hybrid_model_RU</t>
  </si>
  <si>
    <t>exaone_zero_shot_exaone_title_description_hybrid_model_EN</t>
  </si>
  <si>
    <t>exaone_zero_shot_exaone_title_description_hybrid_model_HI</t>
  </si>
  <si>
    <t>exaone_zero_shot_exaone_title_description_hybrid_model_PT</t>
  </si>
  <si>
    <t>exaone_zero_shot_exaone_title_description_complete_hybrid_model_HI</t>
  </si>
  <si>
    <t>exaone_zero_shot_exaone_title_description_hybrid_model_BG</t>
  </si>
  <si>
    <t>exaone_zero_shot_exaone_title_description_complete_hybrid_model_EN</t>
  </si>
  <si>
    <t>exaone_zero_shot_exaone_title_description_complete_hybrid_model_PT</t>
  </si>
  <si>
    <t>granite_zero_shot_gpt_original_original_hybrid_model_RU</t>
  </si>
  <si>
    <t>granite_zero_shot_gpt_no_no_hybrid_model_HI</t>
  </si>
  <si>
    <t>exaone_zero_shot_exaone_title_description_complete_hybrid_model_BG</t>
  </si>
  <si>
    <t>granite_zero_shot_gpt_no_no_hybrid_model_PT</t>
  </si>
  <si>
    <t>granite_zero_shot_gpt_no_no_hybrid_model_EN</t>
  </si>
  <si>
    <t>granite_zero_shot_gpt_only_title_hybrid_model_RU</t>
  </si>
  <si>
    <t>granite_zero_shot_gpt_no_no_hybrid_model_BG</t>
  </si>
  <si>
    <t>granite_zero_shot_gpt_original_original_hybrid_model_HI</t>
  </si>
  <si>
    <t>granite_zero_shot_gpt_title_description_hybrid_model_RU</t>
  </si>
  <si>
    <t>granite_zero_shot_gpt_original_original_hybrid_model_EN</t>
  </si>
  <si>
    <t>calme_gpt_title_description_complete</t>
  </si>
  <si>
    <t>exaone_no_no</t>
  </si>
  <si>
    <t>granite_zero_shot_gpt_original_original_hybrid_model_PT</t>
  </si>
  <si>
    <t>granite_zero_shot_gpt_original_original_hybrid_model_BG</t>
  </si>
  <si>
    <t>granite_zero_shot_gpt_only_title_hybrid_model_HI</t>
  </si>
  <si>
    <t>granite_zero_shot_gpt_only_title_hybrid_model_EN</t>
  </si>
  <si>
    <t>granite_zero_shot_gpt_title_description_complete_hybrid_model_RU</t>
  </si>
  <si>
    <t>granite_zero_shot_gpt_only_title_hybrid_model_PT</t>
  </si>
  <si>
    <t>granite_zero_shot_gpt_only_title_hybrid_model_BG</t>
  </si>
  <si>
    <t>granite_zero_shot_gpt_title_description_hybrid_model_EN</t>
  </si>
  <si>
    <t>granite_zero_shot_granite_no_no_hybrid_model_RU</t>
  </si>
  <si>
    <t>granite_zero_shot_gpt_title_description_hybrid_model_HI</t>
  </si>
  <si>
    <t>granite_zero_shot_gpt_title_description_hybrid_model_PT</t>
  </si>
  <si>
    <t>granite_zero_shot_gpt_title_description_hybrid_model_BG</t>
  </si>
  <si>
    <t>granite_zero_shot_gpt_title_description_complete_hybrid_model_HI</t>
  </si>
  <si>
    <t>granite_zero_shot_gpt_title_description_complete_hybrid_model_EN</t>
  </si>
  <si>
    <t>granite_zero_shot_granite_original_original_hybrid_model_RU</t>
  </si>
  <si>
    <t>granite_zero_shot_gpt_title_description_complete_hybrid_model_PT</t>
  </si>
  <si>
    <t>granite_zero_shot_gpt_title_description_complete_hybrid_model_BG</t>
  </si>
  <si>
    <t>granite_zero_shot_granite_no_no_hybrid_model_HI</t>
  </si>
  <si>
    <t>granite_zero_shot_granite_no_no_hybrid_model_EN</t>
  </si>
  <si>
    <t>granite_zero_shot_granite_no_no_hybrid_model_PT</t>
  </si>
  <si>
    <t>granite_zero_shot_granite_only_title_hybrid_model_RU</t>
  </si>
  <si>
    <t>granite_zero_shot_granite_no_no_hybrid_model_BG</t>
  </si>
  <si>
    <t>granite_zero_shot_granite_original_original_hybrid_model_HI</t>
  </si>
  <si>
    <t>granite_zero_shot_granite_original_original_hybrid_model_EN</t>
  </si>
  <si>
    <t>granite_zero_shot_granite_title_description_hybrid_model_RU</t>
  </si>
  <si>
    <t>granite_zero_shot_granite_original_original_hybrid_model_PT</t>
  </si>
  <si>
    <t>granite_zero_shot_granite_original_original_hybrid_model_BG</t>
  </si>
  <si>
    <t>granite_zero_shot_granite_only_title_hybrid_model_EN</t>
  </si>
  <si>
    <t>granite_zero_shot_granite_title_description_complete_hybrid_model_RU</t>
  </si>
  <si>
    <t>granite_zero_shot_granite_only_title_hybrid_model_PT</t>
  </si>
  <si>
    <t>granite_zero_shot_granite_only_title_hybrid_model_HI</t>
  </si>
  <si>
    <t>granite_zero_shot_granite_title_description_hybrid_model_EN</t>
  </si>
  <si>
    <t>granite_zero_shot_granite_title_description_hybrid_model_PT</t>
  </si>
  <si>
    <t>exaone_original_original</t>
  </si>
  <si>
    <t>granite_zero_shot_granite_only_title_hybrid_model_BG</t>
  </si>
  <si>
    <t>granite_zero_shot_granite_title_description_hybrid_model_HI</t>
  </si>
  <si>
    <t>granite_zero_shot_granite_title_description_complete_hybrid_model_EN</t>
  </si>
  <si>
    <t>granite_zero_shot_granite_title_description_hybrid_model_BG</t>
  </si>
  <si>
    <t>granite_zero_shot_granite_title_description_complete_hybrid_model_HI</t>
  </si>
  <si>
    <t>granite_zero_shot_granite_title_description_complete_hybrid_model_PT</t>
  </si>
  <si>
    <t>granite_zero_shot_granite_title_description_complete_hybrid_model_BG</t>
  </si>
  <si>
    <t>exaone_only_title</t>
  </si>
  <si>
    <t>f1_coarse_mean</t>
  </si>
  <si>
    <t>f1_coarse_std</t>
  </si>
  <si>
    <t>std_coarse_mean</t>
  </si>
  <si>
    <t>std_coarse_std</t>
  </si>
  <si>
    <t>f1_fine_mean</t>
  </si>
  <si>
    <t>f1_fine_std</t>
  </si>
  <si>
    <t>std_fine_mean</t>
  </si>
  <si>
    <t>std_fine_std</t>
  </si>
  <si>
    <t>test_set_EN_calme_zero_shot_calme_only_title_3_steps</t>
  </si>
  <si>
    <t>exaone_title_description</t>
  </si>
  <si>
    <t>test_set_EN_calme_zero_shot_calme_only_title_3_steps_inclusion_ensemble_submission.txt</t>
  </si>
  <si>
    <t>test_set_EN_calme_zero_shot_calme_only_title_3_steps_majority_ensemble_submission.txt</t>
  </si>
  <si>
    <t>test_set_EN_calme_zero_shot_calme_title_description_3_steps</t>
  </si>
  <si>
    <t>test_set_EN_calme_zero_shot_calme_title_description_3_steps_inclusion_ensemble_submission.txt</t>
  </si>
  <si>
    <t>test_set_EN_calme_zero_shot_calme_title_description_3_steps_majority_ensemble_submission.txt</t>
  </si>
  <si>
    <t>test_set_EN_calme_zero_shot_calme_title_description_complete_3_steps</t>
  </si>
  <si>
    <t>test_set_EN_calme_zero_shot_calme_title_description_complete_3_steps_inclusion_ensemble_submission.txt</t>
  </si>
  <si>
    <t>test_set_EN_calme_zero_shot_calme_title_description_complete_3_steps_majority_ensemble_submission.txt</t>
  </si>
  <si>
    <t>test_set_EN_calme_zero_shot_gpt_only_title_3_steps</t>
  </si>
  <si>
    <t>test_set_EN_calme_zero_shot_gpt_only_title_3_steps_inclusion_ensemble_submission.txt</t>
  </si>
  <si>
    <t>test_set_EN_calme_zero_shot_gpt_only_title_3_steps_majority_ensemble_submission.txt</t>
  </si>
  <si>
    <t>test_set_EN_calme_zero_shot_gpt_title_description_3_steps</t>
  </si>
  <si>
    <t>test_set_EN_calme_zero_shot_gpt_title_description_3_steps_inclusion_ensemble_submission.txt</t>
  </si>
  <si>
    <t>test_set_EN_calme_zero_shot_gpt_title_description_3_steps_majority_ensemble_submission.txt</t>
  </si>
  <si>
    <t>test_set_EN_calme_zero_shot_gpt_title_description_complete_3_steps</t>
  </si>
  <si>
    <t>test_set_EN_calme_zero_shot_gpt_title_description_complete_3_steps_inclusion_ensemble_submission.txt</t>
  </si>
  <si>
    <t>test_set_EN_calme_zero_shot_gpt_title_description_complete_3_steps_majority_ensemble_submission.txt</t>
  </si>
  <si>
    <t>test_set_EN_calme_zero_shot_no_no_3_steps</t>
  </si>
  <si>
    <t>test_set_EN_calme_zero_shot_no_no_3_steps_inclusion_ensemble_submission.txt</t>
  </si>
  <si>
    <t>test_set_EN_calme_zero_shot_no_no_3_steps_majority_ensemble_submission.txt</t>
  </si>
  <si>
    <t>test_set_EN_calme_zero_shot_original_original_3_steps</t>
  </si>
  <si>
    <t>test_set_EN_calme_zero_shot_original_original_3_steps_inclusion_ensemble_submission.txt</t>
  </si>
  <si>
    <t>test_set_EN_calme_zero_shot_original_original_3_steps_majority_ensemble_submission.txt</t>
  </si>
  <si>
    <t>test_set_EN_exaone_zero_shot_exaone_only_title_3_steps</t>
  </si>
  <si>
    <t>test_set_EN_exaone_zero_shot_exaone_only_title_3_steps_inclusion_ensemble_submission.txt</t>
  </si>
  <si>
    <t>test_set_EN_exaone_zero_shot_exaone_only_title_3_steps_majority_ensemble_submission.txt</t>
  </si>
  <si>
    <t>test_set_EN_exaone_zero_shot_exaone_title_description_3_steps</t>
  </si>
  <si>
    <t>test_set_EN_exaone_zero_shot_exaone_title_description_3_steps_inclusion_ensemble_submission.txt</t>
  </si>
  <si>
    <t>test_set_EN_exaone_zero_shot_exaone_title_description_3_steps_majority_ensemble_submission.txt</t>
  </si>
  <si>
    <t>test_set_EN_exaone_zero_shot_exaone_title_description_complete_3_steps</t>
  </si>
  <si>
    <t>test_set_EN_exaone_zero_shot_exaone_title_description_complete_3_steps_inclusion_ensemble_submission.txt</t>
  </si>
  <si>
    <t>test_set_EN_exaone_zero_shot_exaone_title_description_complete_3_steps_majority_ensemble_submission.txt</t>
  </si>
  <si>
    <t>test_set_EN_exaone_zero_shot_gpt_only_title_3_steps</t>
  </si>
  <si>
    <t>test_set_EN_exaone_zero_shot_gpt_only_title_3_steps_inclusion_ensemble_submission.txt</t>
  </si>
  <si>
    <t>test_set_EN_exaone_zero_shot_gpt_only_title_3_steps_majority_ensemble_submission.txt</t>
  </si>
  <si>
    <t>test_set_EN_exaone_zero_shot_gpt_title_description_3_steps</t>
  </si>
  <si>
    <t>test_set_EN_exaone_zero_shot_gpt_title_description_3_steps_inclusion_ensemble_submission.txt</t>
  </si>
  <si>
    <t>test_set_EN_exaone_zero_shot_gpt_title_description_3_steps_majority_ensemble_submission.txt</t>
  </si>
  <si>
    <t>test_set_EN_exaone_zero_shot_gpt_title_description_complete_3_steps</t>
  </si>
  <si>
    <t>test_set_EN_exaone_zero_shot_gpt_title_description_complete_3_steps_inclusion_ensemble_submission.txt</t>
  </si>
  <si>
    <t>test_set_EN_exaone_zero_shot_gpt_title_description_complete_3_steps_majority_ensemble_submission.txt</t>
  </si>
  <si>
    <t>test_set_EN_exaone_zero_shot_no_no_3_steps</t>
  </si>
  <si>
    <t>test_set_EN_exaone_zero_shot_no_no_3_steps_inclusion_ensemble_submission.txt</t>
  </si>
  <si>
    <t>test_set_EN_exaone_zero_shot_no_no_3_steps_majority_ensemble_submission.txt</t>
  </si>
  <si>
    <t>test_set_EN_exaone_zero_shot_original_original_3_steps</t>
  </si>
  <si>
    <t>test_set_EN_exaone_zero_shot_original_original_3_steps_inclusion_ensemble_submission.txt</t>
  </si>
  <si>
    <t>test_set_EN_exaone_zero_shot_original_original_3_steps_majority_ensemble_submission.txt</t>
  </si>
  <si>
    <t>test_set_EN_gemma_zero_shot_gemma_only_title_3_steps</t>
  </si>
  <si>
    <t>test_set_EN_gemma_zero_shot_gemma_only_title_3_steps_inclusion_ensemble_submission.txt</t>
  </si>
  <si>
    <t>test_set_EN_gemma_zero_shot_gemma_only_title_3_steps_majority_ensemble_submission.txt</t>
  </si>
  <si>
    <t>test_set_EN_gemma_zero_shot_gemma_title_description_3_steps</t>
  </si>
  <si>
    <t>test_set_EN_gemma_zero_shot_gemma_title_description_3_steps_inclusion_ensemble_submission.txt</t>
  </si>
  <si>
    <t>test_set_EN_gemma_zero_shot_gemma_title_description_3_steps_majority_ensemble_submission.txt</t>
  </si>
  <si>
    <t>test_set_EN_gemma_zero_shot_gemma_title_description_complete_3_steps</t>
  </si>
  <si>
    <t>test_set_EN_gemma_zero_shot_gemma_title_description_complete_3_steps_inclusion_ensemble_submission.txt</t>
  </si>
  <si>
    <t>gemma_gpt_only_title</t>
  </si>
  <si>
    <t>test_set_EN_gemma_zero_shot_gemma_title_description_complete_3_steps_majority_ensemble_submission.txt</t>
  </si>
  <si>
    <t>test_set_EN_gemma_zero_shot_gpt_only_title_3_steps</t>
  </si>
  <si>
    <t>test_set_EN_gemma_zero_shot_gpt_only_title_3_steps_inclusion_ensemble_submission.txt</t>
  </si>
  <si>
    <t>test_set_EN_gemma_zero_shot_gpt_only_title_3_steps_majority_ensemble_submission.txt</t>
  </si>
  <si>
    <t>test_set_EN_gemma_zero_shot_gpt_title_description_3_steps</t>
  </si>
  <si>
    <t>test_set_EN_gemma_zero_shot_gpt_title_description_3_steps_inclusion_ensemble_submission.txt</t>
  </si>
  <si>
    <t>test_set_EN_gemma_zero_shot_gpt_title_description_3_steps_majority_ensemble_submission.txt</t>
  </si>
  <si>
    <t>test_set_EN_gemma_zero_shot_gpt_title_description_complete_3_steps</t>
  </si>
  <si>
    <t>test_set_EN_gemma_zero_shot_gpt_title_description_complete_3_steps_inclusion_ensemble_submission.txt</t>
  </si>
  <si>
    <t>test_set_EN_gemma_zero_shot_gpt_title_description_complete_3_steps_majority_ensemble_submission.txt</t>
  </si>
  <si>
    <t>test_set_EN_gemma_zero_shot_no_no_3_steps</t>
  </si>
  <si>
    <t>test_set_EN_gemma_zero_shot_no_no_3_steps_inclusion_ensemble_submission.txt</t>
  </si>
  <si>
    <t>test_set_EN_gemma_zero_shot_no_no_3_steps_majority_ensemble_submission.txt</t>
  </si>
  <si>
    <t>test_set_EN_gemma_zero_shot_original_original_3_steps</t>
  </si>
  <si>
    <t>test_set_EN_gemma_zero_shot_original_original_3_steps_inclusion_ensemble_submission.txt</t>
  </si>
  <si>
    <t>test_set_EN_gemma_zero_shot_original_original_3_steps_majority_ensemble_submission.txt</t>
  </si>
  <si>
    <t>test_set_EN_granite_zero_shot_gpt_only_title_3_steps</t>
  </si>
  <si>
    <t>test_set_EN_granite_zero_shot_gpt_only_title_3_steps_inclusion_ensemble_submission.txt</t>
  </si>
  <si>
    <t>test_set_EN_granite_zero_shot_gpt_only_title_3_steps_majority_ensemble_submission.txt</t>
  </si>
  <si>
    <t>test_set_EN_granite_zero_shot_gpt_title_description_3_steps</t>
  </si>
  <si>
    <t>test_set_EN_granite_zero_shot_gpt_title_description_3_steps_inclusion_ensemble_submission.txt</t>
  </si>
  <si>
    <t>test_set_EN_granite_zero_shot_gpt_title_description_3_steps_majority_ensemble_submission.txt</t>
  </si>
  <si>
    <t>test_set_EN_granite_zero_shot_gpt_title_description_complete_3_steps</t>
  </si>
  <si>
    <t>test_set_EN_granite_zero_shot_gpt_title_description_complete_3_steps_inclusion_ensemble_submission.txt</t>
  </si>
  <si>
    <t>test_set_EN_granite_zero_shot_gpt_title_description_complete_3_steps_majority_ensemble_submission.txt</t>
  </si>
  <si>
    <t>test_set_EN_granite_zero_shot_granite_only_title_3_steps</t>
  </si>
  <si>
    <t>test_set_EN_granite_zero_shot_granite_only_title_3_steps_inclusion_ensemble_submission.txt</t>
  </si>
  <si>
    <t>test_set_EN_granite_zero_shot_granite_only_title_3_steps_majority_ensemble_submission.txt</t>
  </si>
  <si>
    <t>test_set_EN_granite_zero_shot_granite_title_description_3_steps</t>
  </si>
  <si>
    <t>test_set_EN_granite_zero_shot_granite_title_description_3_steps_inclusion_ensemble_submission.txt</t>
  </si>
  <si>
    <t>test_set_EN_granite_zero_shot_granite_title_description_3_steps_majority_ensemble_submission.txt</t>
  </si>
  <si>
    <t>test_set_EN_granite_zero_shot_granite_title_description_complete_3_steps</t>
  </si>
  <si>
    <t>test_set_EN_granite_zero_shot_granite_title_description_complete_3_steps_inclusion_ensemble_submission.txt</t>
  </si>
  <si>
    <t>test_set_EN_granite_zero_shot_granite_title_description_complete_3_steps_majority_ensemble_submission.txt</t>
  </si>
  <si>
    <t>test_set_EN_granite_zero_shot_no_no_3_steps</t>
  </si>
  <si>
    <t>test_set_EN_granite_zero_shot_no_no_3_steps_inclusion_ensemble_submission.txt</t>
  </si>
  <si>
    <t>test_set_EN_granite_zero_shot_no_no_3_steps_majority_ensemble_submission.txt</t>
  </si>
  <si>
    <t>test_set_EN_granite_zero_shot_original_original_3_steps</t>
  </si>
  <si>
    <t>test_set_EN_granite_zero_shot_original_original_3_steps_inclusion_ensemble_submission.txt</t>
  </si>
  <si>
    <t>test_set_EN_granite_zero_shot_original_original_3_steps_majority_ensemble_submission.txt</t>
  </si>
  <si>
    <t>exaone_title_description_complete</t>
  </si>
  <si>
    <t>test_set_EN_calme_zero_shot_calme_only_title_hybrid</t>
  </si>
  <si>
    <t>test_set_EN_calme_zero_shot_calme_only_title_hybrid_inclusion_ensemble_submission.txt</t>
  </si>
  <si>
    <t>test_set_EN_calme_zero_shot_calme_only_title_hybrid_majority_ensemble_submission.txt</t>
  </si>
  <si>
    <t>test_set_EN_calme_zero_shot_calme_title_description_complete_hybrid</t>
  </si>
  <si>
    <t>test_set_EN_calme_zero_shot_calme_title_description_complete_hybrid_inclusion_ensemble_submission.txt</t>
  </si>
  <si>
    <t>test_set_EN_calme_zero_shot_calme_title_description_complete_hybrid_majority_ensemble_submission.txt</t>
  </si>
  <si>
    <t>test_set_EN_calme_zero_shot_calme_title_description_hybrid</t>
  </si>
  <si>
    <t>test_set_EN_calme_zero_shot_calme_title_description_hybrid_inclusion_ensemble_submission.txt</t>
  </si>
  <si>
    <t>test_set_EN_calme_zero_shot_calme_title_description_hybrid_majority_ensemble_submission.txt</t>
  </si>
  <si>
    <t>test_set_EN_calme_zero_shot_gpt_only_title_hybrid</t>
  </si>
  <si>
    <t>test_set_EN_calme_zero_shot_gpt_only_title_hybrid_inclusion_ensemble_submission.txt</t>
  </si>
  <si>
    <t>test_set_EN_calme_zero_shot_gpt_only_title_hybrid_majority_ensemble_submission.txt</t>
  </si>
  <si>
    <t>test_set_EN_calme_zero_shot_gpt_title_description_complete_hybrid</t>
  </si>
  <si>
    <t>test_set_EN_calme_zero_shot_gpt_title_description_complete_hybrid_inclusion_ensemble_submission.txt</t>
  </si>
  <si>
    <t>test_set_EN_calme_zero_shot_gpt_title_description_complete_hybrid_majority_ensemble_submission.txt</t>
  </si>
  <si>
    <t>test_set_EN_calme_zero_shot_gpt_title_description_hybrid</t>
  </si>
  <si>
    <t>test_set_EN_calme_zero_shot_gpt_title_description_hybrid_inclusion_ensemble_submission.txt</t>
  </si>
  <si>
    <t>gemma_gpt_title_description</t>
  </si>
  <si>
    <t>test_set_EN_calme_zero_shot_gpt_title_description_hybrid_majority_ensemble_submission.txt</t>
  </si>
  <si>
    <t>test_set_EN_calme_zero_shot_no_no_hybrid</t>
  </si>
  <si>
    <t>test_set_EN_calme_zero_shot_no_no_hybrid_inclusion_ensemble_submission.txt</t>
  </si>
  <si>
    <t>test_set_EN_calme_zero_shot_no_no_hybrid_majority_ensemble_submission.txt</t>
  </si>
  <si>
    <t>test_set_EN_calme_zero_shot_original_original_hybrid</t>
  </si>
  <si>
    <t>test_set_EN_calme_zero_shot_original_original_hybrid_inclusion_ensemble_submission.txt</t>
  </si>
  <si>
    <t>test_set_EN_calme_zero_shot_original_original_hybrid_majority_ensemble_submission.txt</t>
  </si>
  <si>
    <t>test_set_EN_exaone_zero_shot_exaone_only_title_hybrid</t>
  </si>
  <si>
    <t>test_set_EN_exaone_zero_shot_exaone_only_title_hybrid_inclusion_ensemble_submission.txt</t>
  </si>
  <si>
    <t>test_set_EN_exaone_zero_shot_exaone_only_title_hybrid_majority_ensemble_submission.txt</t>
  </si>
  <si>
    <t>test_set_EN_exaone_zero_shot_exaone_title_description_complete_hybrid</t>
  </si>
  <si>
    <t>test_set_EN_exaone_zero_shot_exaone_title_description_complete_hybrid_inclusion_ensemble_submission.txt</t>
  </si>
  <si>
    <t>test_set_EN_exaone_zero_shot_exaone_title_description_complete_hybrid_majority_ensemble_submission.txt</t>
  </si>
  <si>
    <t>test_set_EN_exaone_zero_shot_exaone_title_description_hybrid</t>
  </si>
  <si>
    <t>test_set_EN_exaone_zero_shot_exaone_title_description_hybrid_inclusion_ensemble_submission.txt</t>
  </si>
  <si>
    <t>test_set_EN_exaone_zero_shot_exaone_title_description_hybrid_majority_ensemble_submission.txt</t>
  </si>
  <si>
    <t>test_set_EN_exaone_zero_shot_gpt_only_title_hybrid</t>
  </si>
  <si>
    <t>test_set_EN_exaone_zero_shot_gpt_only_title_hybrid_inclusion_ensemble_submission.txt</t>
  </si>
  <si>
    <t>test_set_EN_exaone_zero_shot_gpt_only_title_hybrid_majority_ensemble_submission.txt</t>
  </si>
  <si>
    <t>test_set_EN_exaone_zero_shot_gpt_title_description_complete_hybrid</t>
  </si>
  <si>
    <t>test_set_EN_exaone_zero_shot_gpt_title_description_complete_hybrid_inclusion_ensemble_submission.txt</t>
  </si>
  <si>
    <t>test_set_EN_exaone_zero_shot_gpt_title_description_complete_hybrid_majority_ensemble_submission.txt</t>
  </si>
  <si>
    <t>test_set_EN_exaone_zero_shot_gpt_title_description_hybrid</t>
  </si>
  <si>
    <t>test_set_EN_exaone_zero_shot_gpt_title_description_hybrid_inclusion_ensemble_submission.txt</t>
  </si>
  <si>
    <t>test_set_EN_exaone_zero_shot_gpt_title_description_hybrid_majority_ensemble_submission.txt</t>
  </si>
  <si>
    <t>test_set_EN_exaone_zero_shot_no_no_hybrid</t>
  </si>
  <si>
    <t>test_set_EN_exaone_zero_shot_no_no_hybrid_inclusion_ensemble_submission.txt</t>
  </si>
  <si>
    <t>test_set_EN_exaone_zero_shot_no_no_hybrid_majority_ensemble_submission.txt</t>
  </si>
  <si>
    <t>test_set_EN_exaone_zero_shot_original_original_hybrid</t>
  </si>
  <si>
    <t>test_set_EN_exaone_zero_shot_original_original_hybrid_inclusion_ensemble_submission.txt</t>
  </si>
  <si>
    <t>test_set_EN_exaone_zero_shot_original_original_hybrid_majority_ensemble_submission.txt</t>
  </si>
  <si>
    <t>test_set_EN_gemma_zero_shot_gemma_only_title_hybrid</t>
  </si>
  <si>
    <t>test_set_EN_gemma_zero_shot_gemma_only_title_hybrid_inclusion_ensemble_submission.txt</t>
  </si>
  <si>
    <t>test_set_EN_gemma_zero_shot_gemma_only_title_hybrid_majority_ensemble_submission.txt</t>
  </si>
  <si>
    <t>test_set_EN_gemma_zero_shot_gemma_title_description_complete_hybrid</t>
  </si>
  <si>
    <t>test_set_EN_gemma_zero_shot_gemma_title_description_complete_hybrid_inclusion_ensemble_submission.txt</t>
  </si>
  <si>
    <t>test_set_EN_gemma_zero_shot_gemma_title_description_complete_hybrid_majority_ensemble_submission.txt</t>
  </si>
  <si>
    <t>test_set_EN_gemma_zero_shot_gemma_title_description_hybrid</t>
  </si>
  <si>
    <t>test_set_EN_gemma_zero_shot_gemma_title_description_hybrid_inclusion_ensemble_submission.txt</t>
  </si>
  <si>
    <t>test_set_EN_gemma_zero_shot_gemma_title_description_hybrid_majority_ensemble_submission.txt</t>
  </si>
  <si>
    <t>test_set_EN_gemma_zero_shot_gpt_only_title_hybrid</t>
  </si>
  <si>
    <t>test_set_EN_gemma_zero_shot_gpt_only_title_hybrid_inclusion_ensemble_submission.txt</t>
  </si>
  <si>
    <t>test_set_EN_gemma_zero_shot_gpt_only_title_hybrid_majority_ensemble_submission.txt</t>
  </si>
  <si>
    <t>test_set_EN_gemma_zero_shot_gpt_title_description_complete_hybrid</t>
  </si>
  <si>
    <t>test_set_EN_gemma_zero_shot_gpt_title_description_complete_hybrid_inclusion_ensemble_submission.txt</t>
  </si>
  <si>
    <t>test_set_EN_gemma_zero_shot_gpt_title_description_complete_hybrid_majority_ensemble_submission.txt</t>
  </si>
  <si>
    <t>test_set_EN_gemma_zero_shot_gpt_title_description_hybrid</t>
  </si>
  <si>
    <t>test_set_EN_gemma_zero_shot_gpt_title_description_hybrid_inclusion_ensemble_submission.txt</t>
  </si>
  <si>
    <t>test_set_EN_gemma_zero_shot_gpt_title_description_hybrid_majority_ensemble_submission.txt</t>
  </si>
  <si>
    <t>test_set_EN_gemma_zero_shot_no_no_hybrid</t>
  </si>
  <si>
    <t>test_set_EN_gemma_zero_shot_no_no_hybrid_inclusion_ensemble_submission.txt</t>
  </si>
  <si>
    <t>test_set_EN_gemma_zero_shot_no_no_hybrid_majority_ensemble_submission.txt</t>
  </si>
  <si>
    <t>gemma_gpt_title_description_complete</t>
  </si>
  <si>
    <t>test_set_EN_gemma_zero_shot_original_original_hybrid</t>
  </si>
  <si>
    <t>test_set_EN_gemma_zero_shot_original_original_hybrid_inclusion_ensemble_submission.txt</t>
  </si>
  <si>
    <t>test_set_EN_gemma_zero_shot_original_original_hybrid_majority_ensemble_submission.txt</t>
  </si>
  <si>
    <t>test_set_EN_granite_zero_shot_gpt_only_title_hybrid</t>
  </si>
  <si>
    <t>test_set_EN_granite_zero_shot_gpt_only_title_hybrid_inclusion_ensemble_submission.txt</t>
  </si>
  <si>
    <t>test_set_EN_granite_zero_shot_gpt_only_title_hybrid_majority_ensemble_submission.txt</t>
  </si>
  <si>
    <t>test_set_EN_granite_zero_shot_gpt_title_description_complete_hybrid</t>
  </si>
  <si>
    <t>test_set_EN_granite_zero_shot_gpt_title_description_complete_hybrid_inclusion_ensemble_submission.txt</t>
  </si>
  <si>
    <t>test_set_EN_granite_zero_shot_gpt_title_description_complete_hybrid_majority_ensemble_submission.txt</t>
  </si>
  <si>
    <t>test_set_EN_granite_zero_shot_gpt_title_description_hybrid</t>
  </si>
  <si>
    <t>test_set_EN_granite_zero_shot_gpt_title_description_hybrid_inclusion_ensemble_submission.txt</t>
  </si>
  <si>
    <t>test_set_EN_granite_zero_shot_gpt_title_description_hybrid_majority_ensemble_submission.txt</t>
  </si>
  <si>
    <t>test_set_EN_granite_zero_shot_granite_only_title_hybrid</t>
  </si>
  <si>
    <t>test_set_EN_granite_zero_shot_granite_only_title_hybrid_inclusion_ensemble_submission.txt</t>
  </si>
  <si>
    <t>test_set_EN_granite_zero_shot_granite_only_title_hybrid_majority_ensemble_submission.txt</t>
  </si>
  <si>
    <t>test_set_EN_granite_zero_shot_granite_title_description_complete_hybrid</t>
  </si>
  <si>
    <t>test_set_EN_granite_zero_shot_granite_title_description_complete_hybrid_inclusion_ensemble_submission.txt</t>
  </si>
  <si>
    <t>test_set_EN_granite_zero_shot_granite_title_description_complete_hybrid_majority_ensemble_submission.txt</t>
  </si>
  <si>
    <t>test_set_EN_granite_zero_shot_granite_title_description_hybrid</t>
  </si>
  <si>
    <t>test_set_EN_granite_zero_shot_granite_title_description_hybrid_inclusion_ensemble_submission.txt</t>
  </si>
  <si>
    <t>test_set_EN_granite_zero_shot_granite_title_description_hybrid_majority_ensemble_submission.txt</t>
  </si>
  <si>
    <t>test_set_EN_granite_zero_shot_no_no_hybrid</t>
  </si>
  <si>
    <t>test_set_EN_granite_zero_shot_no_no_hybrid_inclusion_ensemble_submission.txt</t>
  </si>
  <si>
    <t>test_set_EN_granite_zero_shot_no_no_hybrid_majority_ensemble_submission.txt</t>
  </si>
  <si>
    <t>test_set_EN_granite_zero_shot_original_original_hybrid</t>
  </si>
  <si>
    <t>test_set_EN_granite_zero_shot_original_original_hybrid_inclusion_ensemble_submission.txt</t>
  </si>
  <si>
    <t>test_set_EN_granite_zero_shot_original_original_hybrid_majority_ensemble_submission.txt</t>
  </si>
  <si>
    <t>test_set_EN_calme_zero_shot_calme_only_title_all_in_one</t>
  </si>
  <si>
    <t>test_set_EN_calme_zero_shot_calme_only_title_all_in_one_inclusion_ensemble_submission.txt</t>
  </si>
  <si>
    <t>test_set_EN_calme_zero_shot_calme_only_title_all_in_one_majority_ensemble_submission.txt</t>
  </si>
  <si>
    <t>test_set_EN_calme_zero_shot_gpt_only_title_all_in_one</t>
  </si>
  <si>
    <t>test_set_EN_calme_zero_shot_gpt_only_title_all_in_one_inclusion_ensemble_submission.txt</t>
  </si>
  <si>
    <t>test_set_EN_calme_zero_shot_gpt_only_title_all_in_one_majority_ensemble_submission.txt</t>
  </si>
  <si>
    <t>test_set_EN_calme_zero_shot_gpt_title_description_all_in_one</t>
  </si>
  <si>
    <t>test_set_EN_calme_zero_shot_gpt_title_description_all_in_one_inclusion_ensemble_submission.txt</t>
  </si>
  <si>
    <t>test_set_EN_calme_zero_shot_gpt_title_description_all_in_one_majority_ensemble_submission.txt</t>
  </si>
  <si>
    <t>test_set_EN_calme_zero_shot_no_no_all_in_one</t>
  </si>
  <si>
    <t>test_set_EN_calme_zero_shot_no_no_all_in_one_inclusion_ensemble_submission.txt</t>
  </si>
  <si>
    <t>test_set_EN_calme_zero_shot_no_no_all_in_one_majority_ensemble_submission.txt</t>
  </si>
  <si>
    <t>test_set_EN_calme_zero_shot_original_original_all_in_one</t>
  </si>
  <si>
    <t>test_set_EN_calme_zero_shot_original_original_all_in_one_inclusion_ensemble_submission.txt</t>
  </si>
  <si>
    <t>test_set_EN_calme_zero_shot_original_original_all_in_one_majority_ensemble_submission.txt</t>
  </si>
  <si>
    <t>test_set_EN_exaone_zero_shot_exaone_only_title_all_in_one</t>
  </si>
  <si>
    <t>test_set_EN_exaone_zero_shot_exaone_only_title_all_in_one_inclusion_ensemble_submission.txt</t>
  </si>
  <si>
    <t>test_set_EN_exaone_zero_shot_exaone_only_title_all_in_one_majority_ensemble_submission.txt</t>
  </si>
  <si>
    <t>test_set_EN_exaone_zero_shot_exaone_title_description_all_in_one</t>
  </si>
  <si>
    <t>test_set_EN_exaone_zero_shot_exaone_title_description_all_in_one_inclusion_ensemble_submission.txt</t>
  </si>
  <si>
    <t>test_set_EN_exaone_zero_shot_exaone_title_description_all_in_one_majority_ensemble_submission.txt</t>
  </si>
  <si>
    <t>test_set_EN_exaone_zero_shot_gpt_only_title_all_in_one</t>
  </si>
  <si>
    <t>test_set_EN_exaone_zero_shot_gpt_only_title_all_in_one_inclusion_ensemble_submission.txt</t>
  </si>
  <si>
    <t>test_set_EN_exaone_zero_shot_gpt_only_title_all_in_one_majority_ensemble_submission.txt</t>
  </si>
  <si>
    <t>test_set_EN_exaone_zero_shot_gpt_title_description_all_in_one</t>
  </si>
  <si>
    <t>test_set_EN_exaone_zero_shot_gpt_title_description_all_in_one_inclusion_ensemble_submission.txt</t>
  </si>
  <si>
    <t>test_set_EN_exaone_zero_shot_gpt_title_description_all_in_one_majority_ensemble_submission.txt</t>
  </si>
  <si>
    <t>test_set_EN_exaone_zero_shot_no_no_all_in_one</t>
  </si>
  <si>
    <t>test_set_EN_exaone_zero_shot_no_no_all_in_one_inclusion_ensemble_submission.txt</t>
  </si>
  <si>
    <t>test_set_EN_exaone_zero_shot_no_no_all_in_one_majority_ensemble_submission.txt</t>
  </si>
  <si>
    <t>test_set_EN_exaone_zero_shot_original_original_all_in_one</t>
  </si>
  <si>
    <t>test_set_EN_exaone_zero_shot_original_original_all_in_one_inclusion_ensemble_submission.txt</t>
  </si>
  <si>
    <t>test_set_EN_exaone_zero_shot_original_original_all_in_one_majority_ensemble_submission.txt</t>
  </si>
  <si>
    <t>test_set_EN_gemma_zero_shot_gemma_only_title_all_in_one</t>
  </si>
  <si>
    <t>test_set_EN_gemma_zero_shot_gemma_only_title_all_in_one_inclusion_ensemble_submission.txt</t>
  </si>
  <si>
    <t>test_set_EN_gemma_zero_shot_gemma_only_title_all_in_one_majority_ensemble_submission.txt</t>
  </si>
  <si>
    <t>test_set_EN_gemma_zero_shot_gemma_title_description_all_in_one</t>
  </si>
  <si>
    <t>test_set_EN_gemma_zero_shot_gemma_title_description_all_in_one_inclusion_ensemble_submission.txt</t>
  </si>
  <si>
    <t>test_set_EN_gemma_zero_shot_gemma_title_description_all_in_one_majority_ensemble_submission.txt</t>
  </si>
  <si>
    <t>test_set_EN_gemma_zero_shot_gpt_only_title_all_in_one</t>
  </si>
  <si>
    <t>test_set_EN_gemma_zero_shot_gpt_only_title_all_in_one_inclusion_ensemble_submission.txt</t>
  </si>
  <si>
    <t>test_set_EN_gemma_zero_shot_gpt_only_title_all_in_one_majority_ensemble_submission.txt</t>
  </si>
  <si>
    <t>test_set_EN_gemma_zero_shot_gpt_title_description_all_in_one</t>
  </si>
  <si>
    <t>test_set_EN_gemma_zero_shot_gpt_title_description_all_in_one_inclusion_ensemble_submission.txt</t>
  </si>
  <si>
    <t>test_set_EN_gemma_zero_shot_gpt_title_description_all_in_one_majority_ensemble_submission.txt</t>
  </si>
  <si>
    <t>test_set_EN_gemma_zero_shot_no_no_all_in_one</t>
  </si>
  <si>
    <t>test_set_EN_gemma_zero_shot_no_no_all_in_one_inclusion_ensemble_submission.txt</t>
  </si>
  <si>
    <t>test_set_EN_gemma_zero_shot_no_no_all_in_one_majority_ensemble_submission.txt</t>
  </si>
  <si>
    <t>test_set_EN_gemma_zero_shot_original_original_all_in_one</t>
  </si>
  <si>
    <t>test_set_EN_gemma_zero_shot_original_original_all_in_one_inclusion_ensemble_submission.txt</t>
  </si>
  <si>
    <t>test_set_EN_gemma_zero_shot_original_original_all_in_one_majority_ensemble_submission.txt</t>
  </si>
  <si>
    <t>test_set_EN_granite_zero_shot_gpt_only_title_all_in_one</t>
  </si>
  <si>
    <t>test_set_EN_granite_zero_shot_gpt_only_title_all_in_one_inclusion_ensemble_submission.txt</t>
  </si>
  <si>
    <t>test_set_EN_granite_zero_shot_gpt_only_title_all_in_one_majority_ensemble_submission.txt</t>
  </si>
  <si>
    <t>test_set_EN_granite_zero_shot_gpt_title_description_all_in_one</t>
  </si>
  <si>
    <t>test_set_EN_granite_zero_shot_gpt_title_description_all_in_one_inclusion_ensemble_submission.txt</t>
  </si>
  <si>
    <t>test_set_EN_granite_zero_shot_gpt_title_description_all_in_one_majority_ensemble_submission.txt</t>
  </si>
  <si>
    <t>test_set_EN_granite_zero_shot_gpt_title_description_complete_all_in_one</t>
  </si>
  <si>
    <t>exaone_zero_shot_gpt_title_description</t>
  </si>
  <si>
    <t>test_set_EN_granite_zero_shot_gpt_title_description_complete_all_in_one_inclusion_ensemble_submission.txt</t>
  </si>
  <si>
    <t>test_set_EN_granite_zero_shot_gpt_title_description_complete_all_in_one_majority_ensemble_submission.txt</t>
  </si>
  <si>
    <t>test_set_EN_granite_zero_shot_granite_only_title_all_in_one</t>
  </si>
  <si>
    <t>test_set_EN_granite_zero_shot_granite_only_title_all_in_one_inclusion_ensemble_submission.txt</t>
  </si>
  <si>
    <t>test_set_EN_granite_zero_shot_granite_only_title_all_in_one_majority_ensemble_submission.txt</t>
  </si>
  <si>
    <t>test_set_EN_granite_zero_shot_granite_title_description_all_in_one</t>
  </si>
  <si>
    <t>test_set_EN_granite_zero_shot_granite_title_description_all_in_one_inclusion_ensemble_submission.txt</t>
  </si>
  <si>
    <t>test_set_EN_granite_zero_shot_granite_title_description_all_in_one_majority_ensemble_submission.txt</t>
  </si>
  <si>
    <t>test_set_EN_granite_zero_shot_granite_title_description_complete_all_in_one</t>
  </si>
  <si>
    <t>test_set_EN_granite_zero_shot_granite_title_description_complete_all_in_one_inclusion_ensemble_submission.txt</t>
  </si>
  <si>
    <t>test_set_EN_granite_zero_shot_granite_title_description_complete_all_in_one_majority_ensemble_submission.txt</t>
  </si>
  <si>
    <t>test_set_EN_granite_zero_shot_no_no_all_in_one</t>
  </si>
  <si>
    <t>test_set_EN_granite_zero_shot_no_no_all_in_one_inclusion_ensemble_submission.txt</t>
  </si>
  <si>
    <t>test_set_EN_granite_zero_shot_no_no_all_in_one_majority_ensemble_submission.txt</t>
  </si>
  <si>
    <t>test_set_EN_granite_zero_shot_original_original_all_in_one</t>
  </si>
  <si>
    <t>test_set_EN_granite_zero_shot_original_original_all_in_one_inclusion_ensemble_submission.txt</t>
  </si>
  <si>
    <t>test_set_EN_granite_zero_shot_original_original_all_in_one_majority_ensemble_submission.txt</t>
  </si>
  <si>
    <t>exaone_zero_shot_gpt_title_description_complete</t>
  </si>
  <si>
    <t>granite_no_no</t>
  </si>
  <si>
    <t>exaone_gpt_only_title</t>
  </si>
  <si>
    <t>granite_original_original</t>
  </si>
  <si>
    <t>exaone_gpt_title_description</t>
  </si>
  <si>
    <t>exaone_gpt_title_description_complete</t>
  </si>
  <si>
    <t>granite_only_title</t>
  </si>
  <si>
    <t>granite_title_description</t>
  </si>
  <si>
    <t>granite_title_description_complete</t>
  </si>
  <si>
    <t>test_set_EN_inclusion_ensemble_all_in_one_no_no_all_models_except_granite_submission.txt</t>
  </si>
  <si>
    <t>test_set_EN_inclusion_ensemble_all_in_one_no_no_all_models_submission.txt</t>
  </si>
  <si>
    <t>test_set_EN_inclusion_ensemble_all_in_one_original_original_all_models_except_granite_submission.txt</t>
  </si>
  <si>
    <t>test_set_EN_inclusion_ensemble_all_in_one_original_original_all_models_submission.txt</t>
  </si>
  <si>
    <t>test_set_EN_majority_ensemble_all_in_one_no_no_all_models_except_granite_submission.txt</t>
  </si>
  <si>
    <t>test_set_EN_majority_ensemble_all_in_one_no_no_all_models_submission.txt</t>
  </si>
  <si>
    <t>test_set_EN_majority_ensemble_all_in_one_original_original_all_models_except_granite_submission.txt</t>
  </si>
  <si>
    <t>test_set_EN_majority_ensemble_all_in_one_original_original_all_models_submission.txt</t>
  </si>
  <si>
    <t>test_set_EN_inclusion_ensemble_3_steps_no_no_all_models_except_granite_submission.txt</t>
  </si>
  <si>
    <t>test_set_EN_inclusion_ensemble_3_steps_no_no_all_models_submission.txt</t>
  </si>
  <si>
    <t>test_set_EN_inclusion_ensemble_3_steps_original_original_all_models_except_granite_submission.txt</t>
  </si>
  <si>
    <t>test_set_EN_inclusion_ensemble_3_steps_original_original_all_models_submission.txt</t>
  </si>
  <si>
    <t>test_set_EN_majority_ensemble_3_steps_no_no_all_models_except_granite_submission.txt</t>
  </si>
  <si>
    <t>test_set_EN_majority_ensemble_3_steps_no_no_all_models_submission.txt</t>
  </si>
  <si>
    <t>test_set_EN_majority_ensemble_3_steps_original_original_all_models_except_granite_submission.txt</t>
  </si>
  <si>
    <t>test_set_EN_majority_ensemble_3_steps_original_original_all_models_submission.txt</t>
  </si>
  <si>
    <t>test_set_EN_inclusion_ensemble_hybrid_no_no_all_models_except_granite_submission.txt</t>
  </si>
  <si>
    <t>test_set_EN_inclusion_ensemble_hybrid_no_no_all_models_submission.txt</t>
  </si>
  <si>
    <t>test_set_EN_inclusion_ensemble_hybrid_original_original_all_models_except_granite_submission.txt</t>
  </si>
  <si>
    <t>test_set_EN_inclusion_ensemble_hybrid_original_original_all_models_submission.txt</t>
  </si>
  <si>
    <t>test_set_EN_majority_ensemble_hybrid_no_no_all_models_except_granite_submission.txt</t>
  </si>
  <si>
    <t>test_set_EN_majority_ensemble_hybrid_no_no_all_models_submission.txt</t>
  </si>
  <si>
    <t>test_set_EN_majority_ensemble_hybrid_original_original_all_models_except_granite_submission.txt</t>
  </si>
  <si>
    <t>test_set_EN_majority_ensemble_hybrid_original_original_all_models_submission.txt</t>
  </si>
  <si>
    <t>granite_gpt_only_title</t>
  </si>
  <si>
    <t>Calme</t>
  </si>
  <si>
    <t>Gemma</t>
  </si>
  <si>
    <t>Exaone</t>
  </si>
  <si>
    <t>Granite</t>
  </si>
  <si>
    <t>granite_gpt_title_description</t>
  </si>
  <si>
    <t>original</t>
  </si>
  <si>
    <t>granite_zero_shot_gpt_title_description</t>
  </si>
  <si>
    <t>_title_description</t>
  </si>
  <si>
    <t>granite_gpt_title_description_complete</t>
  </si>
  <si>
    <t>granite_zero_shot_gpt_title_description_complete</t>
  </si>
  <si>
    <t>delta_majority_all_in_one</t>
  </si>
  <si>
    <t>delta_inclusion_all_in_one</t>
  </si>
  <si>
    <t>delta_majority_hybrid</t>
  </si>
  <si>
    <t>delta_inclusion_hybrid</t>
  </si>
  <si>
    <t>delta_majority_3_steps</t>
  </si>
  <si>
    <t>delta_inclusion_3_steps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</si>
</sst>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b/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  <scheme val="minor"/>
    </font>
    <font>
      <b/>
      <color rgb="FFFF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6EAF0"/>
        <bgColor rgb="FFF6EAF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164" xfId="0" applyFont="1" applyNumberFormat="1"/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Fill="1" applyFont="1"/>
    <xf borderId="1" fillId="3" fontId="1" numFmtId="0" xfId="0" applyAlignment="1" applyBorder="1" applyFill="1" applyFont="1">
      <alignment readingOrder="0"/>
    </xf>
    <xf borderId="2" fillId="3" fontId="1" numFmtId="0" xfId="0" applyBorder="1" applyFill="1" applyFont="1"/>
    <xf borderId="0" fillId="0" fontId="1" numFmtId="0" xfId="0" applyFont="1"/>
    <xf borderId="1" fillId="0" fontId="1" numFmtId="0" xfId="0" applyAlignment="1" applyBorder="1" applyFont="1">
      <alignment readingOrder="0"/>
    </xf>
    <xf borderId="0" fillId="4" fontId="1" numFmtId="0" xfId="0" applyAlignment="1" applyFill="1" applyFont="1">
      <alignment readingOrder="0"/>
    </xf>
    <xf borderId="0" fillId="4" fontId="1" numFmtId="164" xfId="0" applyFill="1" applyFont="1" applyNumberFormat="1"/>
    <xf borderId="0" fillId="4" fontId="1" numFmtId="0" xfId="0" applyFill="1" applyFont="1"/>
    <xf borderId="3" fillId="0" fontId="1" numFmtId="0" xfId="0" applyBorder="1" applyFont="1"/>
    <xf borderId="4" fillId="3" fontId="1" numFmtId="0" xfId="0" applyAlignment="1" applyBorder="1" applyFill="1" applyFont="1">
      <alignment readingOrder="0"/>
    </xf>
    <xf borderId="4" fillId="2" fontId="1" numFmtId="0" xfId="0" applyBorder="1" applyFill="1" applyFont="1"/>
    <xf borderId="4" fillId="3" fontId="1" numFmtId="0" xfId="0" applyBorder="1" applyFill="1" applyFont="1"/>
    <xf borderId="1" fillId="2" fontId="1" numFmtId="0" xfId="0" applyBorder="1" applyFill="1" applyFont="1"/>
    <xf borderId="2" fillId="2" fontId="1" numFmtId="0" xfId="0" applyBorder="1" applyFill="1" applyFont="1"/>
    <xf borderId="3" fillId="3" fontId="1" numFmtId="0" xfId="0" applyAlignment="1" applyBorder="1" applyFill="1" applyFont="1">
      <alignment readingOrder="0"/>
    </xf>
    <xf borderId="0" fillId="3" fontId="1" numFmtId="0" xfId="0" applyFill="1" applyFont="1"/>
    <xf borderId="0" fillId="2" fontId="1" numFmtId="164" xfId="0" applyFill="1" applyFont="1" applyNumberFormat="1"/>
    <xf borderId="5" fillId="0" fontId="1" numFmtId="0" xfId="0" applyBorder="1" applyFont="1"/>
    <xf borderId="0" fillId="0" fontId="4" numFmtId="0" xfId="0" applyAlignment="1" applyFont="1">
      <alignment vertical="bottom"/>
    </xf>
    <xf borderId="3" fillId="3" fontId="1" numFmtId="0" xfId="0" applyBorder="1" applyFill="1" applyFont="1"/>
    <xf borderId="6" fillId="3" fontId="1" numFmtId="0" xfId="0" applyBorder="1" applyFill="1" applyFont="1"/>
    <xf borderId="6" fillId="2" fontId="1" numFmtId="0" xfId="0" applyBorder="1" applyFill="1" applyFont="1"/>
    <xf borderId="3" fillId="2" fontId="1" numFmtId="0" xfId="0" applyBorder="1" applyFill="1" applyFont="1"/>
    <xf borderId="6" fillId="3" fontId="1" numFmtId="0" xfId="0" applyAlignment="1" applyBorder="1" applyFill="1" applyFont="1">
      <alignment readingOrder="0"/>
    </xf>
    <xf borderId="6" fillId="2" fontId="1" numFmtId="0" xfId="0" applyAlignment="1" applyBorder="1" applyFill="1" applyFont="1">
      <alignment readingOrder="0"/>
    </xf>
    <xf borderId="1" fillId="0" fontId="1" numFmtId="0" xfId="0" applyBorder="1" applyFont="1"/>
    <xf borderId="0" fillId="0" fontId="5" numFmtId="0" xfId="0" applyAlignment="1" applyFont="1">
      <alignment vertical="bottom"/>
    </xf>
    <xf borderId="0" fillId="0" fontId="3" numFmtId="164" xfId="0" applyFont="1" applyNumberFormat="1"/>
    <xf borderId="5" fillId="3" fontId="1" numFmtId="0" xfId="0" applyAlignment="1" applyBorder="1" applyFill="1" applyFont="1">
      <alignment readingOrder="0"/>
    </xf>
    <xf borderId="5" fillId="3" fontId="1" numFmtId="0" xfId="0" applyBorder="1" applyFill="1" applyFont="1"/>
    <xf borderId="7" fillId="3" fontId="1" numFmtId="0" xfId="0" applyBorder="1" applyFill="1" applyFont="1"/>
    <xf borderId="8" fillId="3" fontId="1" numFmtId="0" xfId="0" applyBorder="1" applyFill="1" applyFont="1"/>
    <xf borderId="1" fillId="3" fontId="1" numFmtId="0" xfId="0" applyBorder="1" applyFill="1" applyFont="1"/>
    <xf borderId="1" fillId="0" fontId="4" numFmtId="0" xfId="0" applyAlignment="1" applyBorder="1" applyFont="1">
      <alignment vertical="bottom"/>
    </xf>
    <xf borderId="2" fillId="0" fontId="1" numFmtId="0" xfId="0" applyBorder="1" applyFont="1"/>
    <xf borderId="3" fillId="0" fontId="4" numFmtId="0" xfId="0" applyAlignment="1" applyBorder="1" applyFont="1">
      <alignment vertical="bottom"/>
    </xf>
    <xf borderId="3" fillId="0" fontId="1" numFmtId="164" xfId="0" applyBorder="1" applyFont="1" applyNumberFormat="1"/>
    <xf borderId="6" fillId="0" fontId="1" numFmtId="164" xfId="0" applyBorder="1" applyFont="1" applyNumberFormat="1"/>
    <xf borderId="5" fillId="2" fontId="1" numFmtId="0" xfId="0" applyBorder="1" applyFill="1" applyFont="1"/>
    <xf borderId="7" fillId="2" fontId="1" numFmtId="0" xfId="0" applyBorder="1" applyFill="1" applyFont="1"/>
    <xf borderId="2" fillId="0" fontId="1" numFmtId="164" xfId="0" applyBorder="1" applyFont="1" applyNumberFormat="1"/>
    <xf borderId="1" fillId="0" fontId="1" numFmtId="164" xfId="0" applyBorder="1" applyFont="1" applyNumberFormat="1"/>
    <xf borderId="4" fillId="0" fontId="1" numFmtId="164" xfId="0" applyBorder="1" applyFont="1" applyNumberFormat="1"/>
    <xf borderId="5" fillId="0" fontId="4" numFmtId="0" xfId="0" applyAlignment="1" applyBorder="1" applyFont="1">
      <alignment vertical="bottom"/>
    </xf>
    <xf borderId="5" fillId="0" fontId="1" numFmtId="164" xfId="0" applyBorder="1" applyFont="1" applyNumberFormat="1"/>
    <xf borderId="7" fillId="0" fontId="1" numFmtId="164" xfId="0" applyBorder="1" applyFont="1" applyNumberFormat="1"/>
    <xf borderId="8" fillId="0" fontId="1" numFmtId="164" xfId="0" applyBorder="1" applyFont="1" applyNumberFormat="1"/>
    <xf borderId="1" fillId="0" fontId="4" numFmtId="0" xfId="0" applyAlignment="1" applyBorder="1" applyFont="1">
      <alignment readingOrder="0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vertical="center"/>
    </xf>
    <xf borderId="0" fillId="5" fontId="4" numFmtId="0" xfId="0" applyAlignment="1" applyFill="1" applyFont="1">
      <alignment horizontal="right" readingOrder="0" vertical="bottom"/>
    </xf>
    <xf borderId="0" fillId="2" fontId="1" numFmtId="0" xfId="0" applyAlignment="1" applyFill="1" applyFont="1">
      <alignment readingOrder="0"/>
    </xf>
    <xf borderId="0" fillId="5" fontId="4" numFmtId="0" xfId="0" applyAlignment="1" applyFill="1" applyFont="1">
      <alignment horizontal="right" vertical="bottom"/>
    </xf>
    <xf borderId="0" fillId="5" fontId="4" numFmtId="164" xfId="0" applyAlignment="1" applyFill="1" applyFont="1" applyNumberFormat="1">
      <alignment horizontal="right" readingOrder="0" vertical="bottom"/>
    </xf>
    <xf borderId="0" fillId="5" fontId="4" numFmtId="164" xfId="0" applyAlignment="1" applyFill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5" fontId="1" numFmtId="0" xfId="0" applyAlignment="1" applyFill="1" applyFont="1">
      <alignment readingOrder="0"/>
    </xf>
    <xf borderId="0" fillId="0" fontId="3" numFmtId="0" xfId="0" applyAlignment="1" applyFont="1">
      <alignment readingOrder="0" vertical="center"/>
    </xf>
    <xf borderId="0" fillId="5" fontId="1" numFmtId="0" xfId="0" applyFill="1" applyFont="1"/>
    <xf borderId="0" fillId="0" fontId="3" numFmtId="0" xfId="0" applyAlignment="1" applyFont="1">
      <alignment horizontal="center"/>
    </xf>
    <xf borderId="3" fillId="0" fontId="1" numFmtId="0" xfId="0" applyAlignment="1" applyBorder="1" applyFont="1">
      <alignment readingOrder="0"/>
    </xf>
    <xf borderId="3" fillId="5" fontId="1" numFmtId="0" xfId="0" applyAlignment="1" applyBorder="1" applyFill="1" applyFont="1">
      <alignment readingOrder="0"/>
    </xf>
    <xf borderId="3" fillId="2" fontId="1" numFmtId="0" xfId="0" applyAlignment="1" applyBorder="1" applyFill="1" applyFont="1">
      <alignment readingOrder="0"/>
    </xf>
    <xf borderId="7" fillId="0" fontId="3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7" fillId="5" fontId="1" numFmtId="0" xfId="0" applyAlignment="1" applyBorder="1" applyFill="1" applyFont="1">
      <alignment readingOrder="0"/>
    </xf>
    <xf borderId="7" fillId="2" fontId="1" numFmtId="0" xfId="0" applyAlignment="1" applyBorder="1" applyFill="1" applyFont="1">
      <alignment readingOrder="0"/>
    </xf>
    <xf borderId="7" fillId="0" fontId="1" numFmtId="0" xfId="0" applyBorder="1" applyFont="1"/>
    <xf borderId="3" fillId="5" fontId="1" numFmtId="0" xfId="0" applyBorder="1" applyFill="1" applyFont="1"/>
    <xf borderId="3" fillId="5" fontId="1" numFmtId="164" xfId="0" applyBorder="1" applyFill="1" applyFont="1" applyNumberFormat="1"/>
    <xf borderId="3" fillId="2" fontId="1" numFmtId="164" xfId="0" applyBorder="1" applyFill="1" applyFont="1" applyNumberFormat="1"/>
    <xf borderId="3" fillId="0" fontId="1" numFmtId="0" xfId="0" applyBorder="1" applyFont="1"/>
    <xf borderId="0" fillId="0" fontId="4" numFmtId="0" xfId="0" applyAlignment="1" applyFont="1">
      <alignment horizontal="center" vertical="bottom"/>
    </xf>
    <xf borderId="6" fillId="0" fontId="4" numFmtId="0" xfId="0" applyAlignment="1" applyBorder="1" applyFont="1">
      <alignment vertical="bottom"/>
    </xf>
    <xf borderId="3" fillId="0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vertical="bottom"/>
    </xf>
    <xf borderId="7" fillId="0" fontId="4" numFmtId="0" xfId="0" applyAlignment="1" applyBorder="1" applyFont="1">
      <alignment horizontal="center" vertical="bottom"/>
    </xf>
    <xf borderId="0" fillId="6" fontId="4" numFmtId="164" xfId="0" applyAlignment="1" applyFill="1" applyFont="1" applyNumberFormat="1">
      <alignment horizontal="right" vertical="bottom"/>
    </xf>
    <xf borderId="0" fillId="6" fontId="4" numFmtId="164" xfId="0" applyAlignment="1" applyFill="1" applyFont="1" applyNumberFormat="1">
      <alignment vertical="bottom"/>
    </xf>
    <xf borderId="0" fillId="0" fontId="7" numFmtId="0" xfId="0" applyAlignment="1" applyFont="1">
      <alignment readingOrder="0"/>
    </xf>
    <xf borderId="7" fillId="0" fontId="4" numFmtId="0" xfId="0" applyAlignment="1" applyBorder="1" applyFont="1">
      <alignment vertical="bottom"/>
    </xf>
    <xf borderId="5" fillId="0" fontId="1" numFmtId="0" xfId="0" applyBorder="1" applyFont="1"/>
    <xf borderId="0" fillId="7" fontId="4" numFmtId="164" xfId="0" applyAlignment="1" applyFill="1" applyFont="1" applyNumberFormat="1">
      <alignment vertical="bottom"/>
    </xf>
    <xf borderId="9" fillId="5" fontId="3" numFmtId="0" xfId="0" applyAlignment="1" applyBorder="1" applyFill="1" applyFont="1">
      <alignment readingOrder="0"/>
    </xf>
    <xf borderId="9" fillId="5" fontId="1" numFmtId="164" xfId="0" applyBorder="1" applyFill="1" applyFont="1" applyNumberFormat="1"/>
    <xf borderId="9" fillId="5" fontId="1" numFmtId="0" xfId="0" applyAlignment="1" applyBorder="1" applyFill="1" applyFont="1">
      <alignment readingOrder="0"/>
    </xf>
    <xf borderId="9" fillId="5" fontId="1" numFmtId="0" xfId="0" applyBorder="1" applyFill="1" applyFont="1"/>
    <xf borderId="8" fillId="0" fontId="4" numFmtId="0" xfId="0" applyAlignment="1" applyBorder="1" applyFont="1">
      <alignment vertical="bottom"/>
    </xf>
    <xf borderId="0" fillId="0" fontId="1" numFmtId="0" xfId="0" applyAlignment="1" applyFont="1">
      <alignment horizontal="center" readingOrder="0"/>
    </xf>
    <xf borderId="6" fillId="0" fontId="1" numFmtId="0" xfId="0" applyBorder="1" applyFont="1"/>
    <xf borderId="3" fillId="0" fontId="1" numFmtId="0" xfId="0" applyAlignment="1" applyBorder="1" applyFont="1">
      <alignment horizontal="center" readingOrder="0"/>
    </xf>
    <xf borderId="8" fillId="0" fontId="3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0" fillId="6" fontId="1" numFmtId="0" xfId="0" applyAlignment="1" applyFill="1" applyFont="1">
      <alignment readingOrder="0"/>
    </xf>
    <xf borderId="3" fillId="6" fontId="1" numFmtId="0" xfId="0" applyAlignment="1" applyBorder="1" applyFill="1" applyFont="1">
      <alignment readingOrder="0"/>
    </xf>
    <xf borderId="7" fillId="6" fontId="1" numFmtId="0" xfId="0" applyAlignment="1" applyBorder="1" applyFill="1" applyFont="1">
      <alignment readingOrder="0"/>
    </xf>
    <xf borderId="5" fillId="6" fontId="1" numFmtId="0" xfId="0" applyAlignment="1" applyBorder="1" applyFill="1" applyFont="1">
      <alignment readingOrder="0"/>
    </xf>
    <xf borderId="0" fillId="7" fontId="1" numFmtId="0" xfId="0" applyAlignment="1" applyFill="1" applyFont="1">
      <alignment readingOrder="0"/>
    </xf>
    <xf borderId="7" fillId="7" fontId="1" numFmtId="0" xfId="0" applyAlignment="1" applyBorder="1" applyFill="1" applyFont="1">
      <alignment readingOrder="0"/>
    </xf>
    <xf borderId="8" fillId="0" fontId="1" numFmtId="0" xfId="0" applyAlignment="1" applyBorder="1" applyFont="1">
      <alignment readingOrder="0"/>
    </xf>
    <xf borderId="0" fillId="0" fontId="1" numFmtId="165" xfId="0" applyFont="1" applyNumberFormat="1"/>
    <xf borderId="1" fillId="0" fontId="1" numFmtId="0" xfId="0" applyBorder="1" applyFont="1"/>
    <xf borderId="2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3" fillId="5" fontId="3" numFmtId="0" xfId="0" applyAlignment="1" applyBorder="1" applyFill="1" applyFont="1">
      <alignment readingOrder="0"/>
    </xf>
    <xf borderId="5" fillId="5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14" max="14" width="22.63"/>
  </cols>
  <sheetData>
    <row r="1">
      <c r="A1" s="1" t="s">
        <v>1</v>
      </c>
      <c r="B1" s="2" t="s">
        <v>3</v>
      </c>
      <c r="M1" s="4" t="s">
        <v>6</v>
      </c>
      <c r="P1" s="6" t="s">
        <v>7</v>
      </c>
      <c r="Q1" s="6" t="s">
        <v>8</v>
      </c>
      <c r="R1" s="6" t="s">
        <v>9</v>
      </c>
      <c r="S1" s="6" t="s">
        <v>10</v>
      </c>
      <c r="T1" s="6" t="s">
        <v>11</v>
      </c>
      <c r="U1" s="6" t="s">
        <v>12</v>
      </c>
    </row>
    <row r="2">
      <c r="A2" s="1" t="s">
        <v>14</v>
      </c>
      <c r="B2" s="7" t="s">
        <v>13</v>
      </c>
      <c r="D2" s="1" t="s">
        <v>15</v>
      </c>
      <c r="E2" s="5"/>
      <c r="F2" s="1" t="s">
        <v>16</v>
      </c>
      <c r="G2" s="5"/>
      <c r="H2" s="7" t="s">
        <v>17</v>
      </c>
      <c r="I2" s="5"/>
      <c r="L2" s="9" t="s">
        <v>18</v>
      </c>
      <c r="M2" s="10"/>
      <c r="N2" s="10"/>
      <c r="O2" s="19">
        <f>COUNTIF(B5:I5,"&lt;0") + COUNTIF(B7:I7,"&lt;0") + COUNTIF(B9:I9,"&lt;0") + COUNTIF(B11:I11,"&lt;0") + COUNTIF(B13:I13,"&lt;0") + COUNTIF(B15:I15,"&lt;0") + COUNTIF(B17:I17,"&lt;0") + COUNTIF(B24:I24,"&lt;0") + COUNTIF(B26:I26,"&lt;0") + COUNTIF(B28:I28,"&lt;0") + COUNTIF(B30:I30,"&lt;0") + COUNTIF(B32:I32,"&lt;0") + COUNTIF(B34:I34,"&lt;0") + COUNTIF(B36:I36,"&lt;0") + COUNTIF(B43:I43,"&lt;0") + COUNTIF(B45:I45,"&lt;0") + COUNTIF(B47:I47,"&lt;0") + COUNTIF(B49:I49,"&lt;0") + COUNTIF(B51:I51,"&lt;0") + COUNTIF(B53:I53,"&lt;0") + COUNTIF(B55:I55,"&lt;0") + COUNTIF(B62:I62,"&lt;0") + COUNTIF(B64:I64,"&lt;0") + COUNTIF(B66:I66,"&lt;0") + COUNTIF(B68:I68,"&lt;0") + COUNTIF(B69:I69,"&lt;0") + COUNTIF(B70:I70,"&lt;0") + COUNTIF(B72:I72,"&lt;0") + COUNTIF(B74:I74,"&lt;0")</f>
        <v>46</v>
      </c>
      <c r="P2" s="20">
        <v>52.0</v>
      </c>
      <c r="Q2" s="21">
        <v>66.0</v>
      </c>
      <c r="R2" s="21">
        <v>34.0</v>
      </c>
      <c r="S2" s="21">
        <v>53.0</v>
      </c>
      <c r="T2" s="21">
        <v>46.0</v>
      </c>
      <c r="U2" s="18">
        <f t="shared" ref="U2:U3" si="1">SUM(P2:T2)</f>
        <v>251</v>
      </c>
    </row>
    <row r="3">
      <c r="A3" s="7" t="s">
        <v>21</v>
      </c>
      <c r="B3" s="5">
        <f>IFERROR(__xludf.DUMMYFUNCTION("FILTER(Dipromats!C$3:C$101, 
  REGEXMATCH(Dipromats!$A$3:$A$101, ""(?i)"" &amp; $A3)
)"),0.634504615288617)</f>
        <v>0.6345046153</v>
      </c>
      <c r="C3" s="5">
        <f>IFERROR(__xludf.DUMMYFUNCTION("FILTER(Dipromats!D$3:D$101, 
  REGEXMATCH(Dipromats!$A$3:$A$101, ""(?i)"" &amp; $A3)
)"),0.583394320061881)</f>
        <v>0.5833943201</v>
      </c>
      <c r="D3" s="5">
        <f>IFERROR(__xludf.DUMMYFUNCTION("FILTER(Dipromats!E$3:E$101, 
  REGEXMATCH(Dipromats!$A$3:$A$101, ""(?i)"" &amp; $A3)
)"),0.612546907727468)</f>
        <v>0.6125469077</v>
      </c>
      <c r="E3" s="5">
        <f>IFERROR(__xludf.DUMMYFUNCTION("FILTER(Dipromats!F$3:F$101, 
  REGEXMATCH(Dipromats!$A$3:$A$101, ""(?i)"" &amp; $A3)
)"),0.564694414756619)</f>
        <v>0.5646944148</v>
      </c>
      <c r="F3" s="5">
        <f>IFERROR(__xludf.DUMMYFUNCTION("FILTER(Dipromats!G$3:G$101, 
  REGEXMATCH(Dipromats!$A$3:$A$101, ""(?i)"" &amp; $A3)
)"),0.551936514723647)</f>
        <v>0.5519365147</v>
      </c>
      <c r="G3" s="5">
        <f>IFERROR(__xludf.DUMMYFUNCTION("FILTER(Dipromats!H$3:H$101, 
  REGEXMATCH(Dipromats!$A$3:$A$101, ""(?i)"" &amp; $A3)
)"),0.498994997427713)</f>
        <v>0.4989949974</v>
      </c>
      <c r="H3" s="5">
        <f>IFERROR(__xludf.DUMMYFUNCTION("FILTER(Dipromats!I$3:I$101, 
  REGEXMATCH(Dipromats!$A$3:$A$101, ""(?i)"" &amp; $A3)
)"),0.333605146281453)</f>
        <v>0.3336051463</v>
      </c>
      <c r="I3" s="5">
        <f>IFERROR(__xludf.DUMMYFUNCTION("FILTER(Dipromats!J$3:J$101, 
  REGEXMATCH(Dipromats!$A$3:$A$101, ""(?i)"" &amp; $A3)
)"),0.367508834746624)</f>
        <v>0.3675088347</v>
      </c>
      <c r="L3" s="27" t="s">
        <v>36</v>
      </c>
      <c r="M3" s="23"/>
      <c r="N3" s="23"/>
      <c r="O3" s="28">
        <f>COUNTIF(B5:I5,"&gt;0") + COUNTIF(B7:I7,"&gt;0") + COUNTIF(B9:I9,"&gt;0") + COUNTIF(B11:I11,"&gt;0") + COUNTIF(B13:I13,"&gt;0") + COUNTIF(B15:I15,"&gt;0") + COUNTIF(B17:I17,"&gt;0") + COUNTIF(B24:I24,"&gt;0") + COUNTIF(B26:I26,"&gt;0") + COUNTIF(B28:I28,"&gt;0") + COUNTIF(B30:I30,"&gt;0") + COUNTIF(B32:I32,"&gt;0") + COUNTIF(B34:I34,"&gt;0") + COUNTIF(B36:I36,"&gt;0") + COUNTIF(B43:I43,"&gt;0") + COUNTIF(B45:I45,"&gt;0") + COUNTIF(B47:I47,"&gt;0") + COUNTIF(B49:I49,"&gt;0") + COUNTIF(B51:I51,"&gt;0") + COUNTIF(B53:I53,"&gt;0") + COUNTIF(B55:I55,"&gt;0") + COUNTIF(B62:I62,"&gt;0") + COUNTIF(B64:I64,"&gt;0") + COUNTIF(B66:I66,"&gt;0") + COUNTIF(B68:I68,"&gt;0") + COUNTIF(B69:I69,"&gt;0") + COUNTIF(B70:I70,"&gt;0") + COUNTIF(B72:I72,"&gt;0") + COUNTIF(B74:I74,"&gt;0")</f>
        <v>164</v>
      </c>
      <c r="P3" s="30">
        <v>160.0</v>
      </c>
      <c r="Q3" s="8">
        <v>144.0</v>
      </c>
      <c r="R3" s="8">
        <v>176.0</v>
      </c>
      <c r="S3" s="8">
        <v>157.0</v>
      </c>
      <c r="T3" s="8">
        <v>164.0</v>
      </c>
      <c r="U3" s="29">
        <f t="shared" si="1"/>
        <v>801</v>
      </c>
    </row>
    <row r="4">
      <c r="A4" s="7" t="s">
        <v>26</v>
      </c>
      <c r="B4" s="5">
        <f>IFERROR(__xludf.DUMMYFUNCTION("FILTER(Dipromats!C$3:C$101, 
  REGEXMATCH(Dipromats!$A$3:$A$101, ""(?i)"" &amp; $A4)
)"),0.638654812715595)</f>
        <v>0.6386548127</v>
      </c>
      <c r="C4" s="5">
        <f>IFERROR(__xludf.DUMMYFUNCTION("FILTER(Dipromats!D$3:D$101, 
  REGEXMATCH(Dipromats!$A$3:$A$101, ""(?i)"" &amp; $A4)
)"),0.613462791622532)</f>
        <v>0.6134627916</v>
      </c>
      <c r="D4" s="5">
        <f>IFERROR(__xludf.DUMMYFUNCTION("FILTER(Dipromats!E$3:E$101, 
  REGEXMATCH(Dipromats!$A$3:$A$101, ""(?i)"" &amp; $A4)
)"),0.624175131263906)</f>
        <v>0.6241751313</v>
      </c>
      <c r="E4" s="5">
        <f>IFERROR(__xludf.DUMMYFUNCTION("FILTER(Dipromats!F$3:F$101, 
  REGEXMATCH(Dipromats!$A$3:$A$101, ""(?i)"" &amp; $A4)
)"),0.593223331315557)</f>
        <v>0.5932233313</v>
      </c>
      <c r="F4" s="5">
        <f>IFERROR(__xludf.DUMMYFUNCTION("FILTER(Dipromats!G$3:G$101, 
  REGEXMATCH(Dipromats!$A$3:$A$101, ""(?i)"" &amp; $A4)
)"),0.572478446675392)</f>
        <v>0.5724784467</v>
      </c>
      <c r="G4" s="5">
        <f>IFERROR(__xludf.DUMMYFUNCTION("FILTER(Dipromats!H$3:H$101, 
  REGEXMATCH(Dipromats!$A$3:$A$101, ""(?i)"" &amp; $A4)
)"),0.534765902917699)</f>
        <v>0.5347659029</v>
      </c>
      <c r="H4" s="5">
        <f>IFERROR(__xludf.DUMMYFUNCTION("FILTER(Dipromats!I$3:I$101, 
  REGEXMATCH(Dipromats!$A$3:$A$101, ""(?i)"" &amp; $A4)
)"),0.335225441305954)</f>
        <v>0.3352254413</v>
      </c>
      <c r="I4" s="5">
        <f>IFERROR(__xludf.DUMMYFUNCTION("FILTER(Dipromats!J$3:J$101, 
  REGEXMATCH(Dipromats!$A$3:$A$101, ""(?i)"" &amp; $A4)
)"),0.352567599779278)</f>
        <v>0.3525675998</v>
      </c>
      <c r="L4" s="27" t="s">
        <v>42</v>
      </c>
      <c r="M4" s="23"/>
      <c r="N4" s="23"/>
      <c r="O4" s="31">
        <f>(O2*100)/(O2+O3)</f>
        <v>21.9047619</v>
      </c>
      <c r="P4" s="32"/>
      <c r="Q4" s="32"/>
      <c r="R4" s="32"/>
      <c r="S4" s="32"/>
      <c r="T4" s="32"/>
      <c r="U4" s="31">
        <f>(U2*100)/(U2+U3)</f>
        <v>23.85931559</v>
      </c>
    </row>
    <row r="5">
      <c r="A5" s="13" t="s">
        <v>32</v>
      </c>
      <c r="B5" s="14">
        <f t="shared" ref="B5:I5" si="2">B3-B4</f>
        <v>-0.004150197427</v>
      </c>
      <c r="C5" s="14">
        <f t="shared" si="2"/>
        <v>-0.03006847156</v>
      </c>
      <c r="D5" s="14">
        <f t="shared" si="2"/>
        <v>-0.01162822354</v>
      </c>
      <c r="E5" s="14">
        <f t="shared" si="2"/>
        <v>-0.02852891656</v>
      </c>
      <c r="F5" s="14">
        <f t="shared" si="2"/>
        <v>-0.02054193195</v>
      </c>
      <c r="G5" s="14">
        <f t="shared" si="2"/>
        <v>-0.03577090549</v>
      </c>
      <c r="H5" s="14">
        <f t="shared" si="2"/>
        <v>-0.001620295025</v>
      </c>
      <c r="I5" s="14">
        <f t="shared" si="2"/>
        <v>0.01494123497</v>
      </c>
      <c r="J5" s="24">
        <f>AVERAGE(B5:I5)</f>
        <v>-0.01467096332</v>
      </c>
      <c r="K5" s="15"/>
      <c r="L5" s="37" t="s">
        <v>41</v>
      </c>
      <c r="M5" s="38"/>
      <c r="N5" s="38"/>
      <c r="O5" s="31">
        <f>100-O4</f>
        <v>78.0952381</v>
      </c>
      <c r="P5" s="32"/>
      <c r="Q5" s="32"/>
      <c r="R5" s="32"/>
      <c r="S5" s="32"/>
      <c r="T5" s="32"/>
      <c r="U5" s="31">
        <f>100-U4</f>
        <v>76.14068441</v>
      </c>
      <c r="V5" s="15"/>
      <c r="W5" s="15"/>
      <c r="X5" s="15"/>
      <c r="Y5" s="15"/>
      <c r="Z5" s="15"/>
    </row>
    <row r="6">
      <c r="A6" s="7" t="s">
        <v>20</v>
      </c>
      <c r="B6" s="5">
        <f>IFERROR(__xludf.DUMMYFUNCTION("FILTER(Dipromats!C$3:C$101, 
  REGEXMATCH(Dipromats!$A$3:$A$101, ""(?i)"" &amp; $A6)
)"),0.621040280030557)</f>
        <v>0.62104028</v>
      </c>
      <c r="C6" s="5">
        <f>IFERROR(__xludf.DUMMYFUNCTION("FILTER(Dipromats!D$3:D$101, 
  REGEXMATCH(Dipromats!$A$3:$A$101, ""(?i)"" &amp; $A6)
)"),0.571358654012934)</f>
        <v>0.571358654</v>
      </c>
      <c r="D6" s="5">
        <f>IFERROR(__xludf.DUMMYFUNCTION("FILTER(Dipromats!E$3:E$101, 
  REGEXMATCH(Dipromats!$A$3:$A$101, ""(?i)"" &amp; $A6)
)"),0.57620875615112)</f>
        <v>0.5762087562</v>
      </c>
      <c r="E6" s="5">
        <f>IFERROR(__xludf.DUMMYFUNCTION("FILTER(Dipromats!F$3:F$101, 
  REGEXMATCH(Dipromats!$A$3:$A$101, ""(?i)"" &amp; $A6)
)"),0.531274741257453)</f>
        <v>0.5312747413</v>
      </c>
      <c r="F6" s="5">
        <f>IFERROR(__xludf.DUMMYFUNCTION("FILTER(Dipromats!G$3:G$101, 
  REGEXMATCH(Dipromats!$A$3:$A$101, ""(?i)"" &amp; $A6)
)"),0.506150051999198)</f>
        <v>0.506150052</v>
      </c>
      <c r="G6" s="5">
        <f>IFERROR(__xludf.DUMMYFUNCTION("FILTER(Dipromats!H$3:H$101, 
  REGEXMATCH(Dipromats!$A$3:$A$101, ""(?i)"" &amp; $A6)
)"),0.483697863941618)</f>
        <v>0.4836978639</v>
      </c>
      <c r="H6" s="5">
        <f>IFERROR(__xludf.DUMMYFUNCTION("FILTER(Dipromats!I$3:I$101, 
  REGEXMATCH(Dipromats!$A$3:$A$101, ""(?i)"" &amp; $A6)
)"),0.286129356930116)</f>
        <v>0.2861293569</v>
      </c>
      <c r="I6" s="5">
        <f>IFERROR(__xludf.DUMMYFUNCTION("FILTER(Dipromats!J$3:J$101, 
  REGEXMATCH(Dipromats!$A$3:$A$101, ""(?i)"" &amp; $A6)
)"),0.29837198245895)</f>
        <v>0.2983719825</v>
      </c>
      <c r="J6" s="8"/>
      <c r="M6" s="4" t="s">
        <v>46</v>
      </c>
      <c r="P6" s="30"/>
      <c r="Q6" s="8"/>
      <c r="R6" s="8"/>
      <c r="S6" s="8"/>
      <c r="T6" s="8"/>
      <c r="U6" s="29"/>
    </row>
    <row r="7">
      <c r="A7" s="13" t="s">
        <v>37</v>
      </c>
      <c r="B7" s="14">
        <f t="shared" ref="B7:I7" si="3">B3-B6</f>
        <v>0.01346433526</v>
      </c>
      <c r="C7" s="14">
        <f t="shared" si="3"/>
        <v>0.01203566605</v>
      </c>
      <c r="D7" s="14">
        <f t="shared" si="3"/>
        <v>0.03633815158</v>
      </c>
      <c r="E7" s="14">
        <f t="shared" si="3"/>
        <v>0.0334196735</v>
      </c>
      <c r="F7" s="14">
        <f t="shared" si="3"/>
        <v>0.04578646272</v>
      </c>
      <c r="G7" s="14">
        <f t="shared" si="3"/>
        <v>0.01529713349</v>
      </c>
      <c r="H7" s="14">
        <f t="shared" si="3"/>
        <v>0.04747578935</v>
      </c>
      <c r="I7" s="14">
        <f t="shared" si="3"/>
        <v>0.06913685229</v>
      </c>
      <c r="J7" s="24">
        <f>AVERAGE(B7:I7)</f>
        <v>0.03411925803</v>
      </c>
      <c r="K7" s="15"/>
      <c r="L7" s="40" t="s">
        <v>18</v>
      </c>
      <c r="M7" s="10"/>
      <c r="N7" s="10"/>
      <c r="O7" s="19">
        <f>COUNTIF(B5:I5,"&lt;0") + COUNTIF(B24:I24,"&lt;0") + COUNTIF(B43:I43,"&lt;0") + COUNTIF(B62:I62,"&lt;0")</f>
        <v>14</v>
      </c>
      <c r="P7" s="30">
        <v>20.0</v>
      </c>
      <c r="Q7" s="8">
        <v>21.0</v>
      </c>
      <c r="R7" s="8">
        <v>15.0</v>
      </c>
      <c r="S7" s="8">
        <v>21.0</v>
      </c>
      <c r="T7" s="8">
        <v>14.0</v>
      </c>
      <c r="U7" s="29">
        <f t="shared" ref="U7:U8" si="4">SUM(P7:T7)</f>
        <v>91</v>
      </c>
      <c r="V7" s="15"/>
      <c r="W7" s="15"/>
      <c r="X7" s="15"/>
      <c r="Y7" s="15"/>
      <c r="Z7" s="15"/>
    </row>
    <row r="8">
      <c r="A8" s="7" t="s">
        <v>22</v>
      </c>
      <c r="B8" s="5">
        <f>IFERROR(__xludf.DUMMYFUNCTION("FILTER(Dipromats!C$3:C$101, 
  REGEXMATCH(Dipromats!$A$3:$A$101, ""(?i)"" &amp; $A8)
)"),0.608500522443986)</f>
        <v>0.6085005224</v>
      </c>
      <c r="C8" s="5">
        <f>IFERROR(__xludf.DUMMYFUNCTION("FILTER(Dipromats!D$3:D$101, 
  REGEXMATCH(Dipromats!$A$3:$A$101, ""(?i)"" &amp; $A8)
)"),0.565727300132339)</f>
        <v>0.5657273001</v>
      </c>
      <c r="D8" s="5">
        <f>IFERROR(__xludf.DUMMYFUNCTION("FILTER(Dipromats!E$3:E$101, 
  REGEXMATCH(Dipromats!$A$3:$A$101, ""(?i)"" &amp; $A8)
)"),0.583927636565709)</f>
        <v>0.5839276366</v>
      </c>
      <c r="E8" s="5">
        <f>IFERROR(__xludf.DUMMYFUNCTION("FILTER(Dipromats!F$3:F$101, 
  REGEXMATCH(Dipromats!$A$3:$A$101, ""(?i)"" &amp; $A8)
)"),0.523712547832867)</f>
        <v>0.5237125478</v>
      </c>
      <c r="F8" s="5">
        <f>IFERROR(__xludf.DUMMYFUNCTION("FILTER(Dipromats!G$3:G$101, 
  REGEXMATCH(Dipromats!$A$3:$A$101, ""(?i)"" &amp; $A8)
)"),0.524902705155418)</f>
        <v>0.5249027052</v>
      </c>
      <c r="G8" s="5">
        <f>IFERROR(__xludf.DUMMYFUNCTION("FILTER(Dipromats!H$3:H$101, 
  REGEXMATCH(Dipromats!$A$3:$A$101, ""(?i)"" &amp; $A8)
)"),0.490732657736496)</f>
        <v>0.4907326577</v>
      </c>
      <c r="H8" s="5">
        <f>IFERROR(__xludf.DUMMYFUNCTION("FILTER(Dipromats!I$3:I$101, 
  REGEXMATCH(Dipromats!$A$3:$A$101, ""(?i)"" &amp; $A8)
)"),0.267289569310955)</f>
        <v>0.2672895693</v>
      </c>
      <c r="I8" s="5">
        <f>IFERROR(__xludf.DUMMYFUNCTION("FILTER(Dipromats!J$3:J$101, 
  REGEXMATCH(Dipromats!$A$3:$A$101, ""(?i)"" &amp; $A8)
)"),0.297865824391553)</f>
        <v>0.2978658244</v>
      </c>
      <c r="J8" s="8"/>
      <c r="L8" s="27" t="s">
        <v>36</v>
      </c>
      <c r="M8" s="23"/>
      <c r="N8" s="23"/>
      <c r="O8" s="28">
        <f>COUNTIF(B5:I5,"&gt;0") + COUNTIF(B24:I24,"&gt;0") + COUNTIF(B43:I43,"&gt;0") + COUNTIF(B62:I62,"&gt;0")</f>
        <v>18</v>
      </c>
      <c r="P8" s="30">
        <v>12.0</v>
      </c>
      <c r="Q8" s="8">
        <v>11.0</v>
      </c>
      <c r="R8" s="8">
        <v>17.0</v>
      </c>
      <c r="S8" s="8">
        <v>11.0</v>
      </c>
      <c r="T8" s="8">
        <v>18.0</v>
      </c>
      <c r="U8" s="29">
        <f t="shared" si="4"/>
        <v>69</v>
      </c>
    </row>
    <row r="9">
      <c r="A9" s="13" t="s">
        <v>40</v>
      </c>
      <c r="B9" s="14">
        <f t="shared" ref="B9:I9" si="5">B3-B8</f>
        <v>0.02600409284</v>
      </c>
      <c r="C9" s="14">
        <f t="shared" si="5"/>
        <v>0.01766701993</v>
      </c>
      <c r="D9" s="14">
        <f t="shared" si="5"/>
        <v>0.02861927116</v>
      </c>
      <c r="E9" s="14">
        <f t="shared" si="5"/>
        <v>0.04098186692</v>
      </c>
      <c r="F9" s="14">
        <f t="shared" si="5"/>
        <v>0.02703380957</v>
      </c>
      <c r="G9" s="14">
        <f t="shared" si="5"/>
        <v>0.008262339691</v>
      </c>
      <c r="H9" s="14">
        <f t="shared" si="5"/>
        <v>0.06631557697</v>
      </c>
      <c r="I9" s="14">
        <f t="shared" si="5"/>
        <v>0.06964301036</v>
      </c>
      <c r="J9" s="24">
        <f>AVERAGE(B9:I9)</f>
        <v>0.03556587343</v>
      </c>
      <c r="K9" s="15"/>
      <c r="L9" s="27" t="s">
        <v>42</v>
      </c>
      <c r="M9" s="23"/>
      <c r="N9" s="23"/>
      <c r="O9" s="31">
        <f>(O7*100)/(O7+O8)</f>
        <v>43.75</v>
      </c>
      <c r="P9" s="30"/>
      <c r="Q9" s="8"/>
      <c r="R9" s="8"/>
      <c r="S9" s="8"/>
      <c r="T9" s="8"/>
      <c r="U9" s="31">
        <f>(U7*100)/(U7+U8)</f>
        <v>56.875</v>
      </c>
      <c r="V9" s="15"/>
      <c r="W9" s="15"/>
      <c r="X9" s="15"/>
      <c r="Y9" s="15"/>
      <c r="Z9" s="15"/>
    </row>
    <row r="10">
      <c r="A10" s="11" t="s">
        <v>24</v>
      </c>
      <c r="B10" s="5">
        <f>IFERROR(__xludf.DUMMYFUNCTION("FILTER(Dipromats!C$3:C$101, 
  REGEXMATCH(Dipromats!$A$3:$A$101, ""(?i)"" &amp; $A10), NOT(REGEXMATCH(Dipromats!$A$3:$A$101, ""(?i)complete""))
)"),0.631787462260468)</f>
        <v>0.6317874623</v>
      </c>
      <c r="C10" s="5">
        <f>IFERROR(__xludf.DUMMYFUNCTION("FILTER(Dipromats!D$3:D$101, 
  REGEXMATCH(Dipromats!$A$3:$A$101, ""(?i)"" &amp; $A10), NOT(REGEXMATCH(Dipromats!$A$3:$A$101, ""(?i)complete""))
)"),0.618216042484733)</f>
        <v>0.6182160425</v>
      </c>
      <c r="D10" s="5">
        <f>IFERROR(__xludf.DUMMYFUNCTION("FILTER(Dipromats!E$3:E$101, 
  REGEXMATCH(Dipromats!$A$3:$A$101, ""(?i)"" &amp; $A10), NOT(REGEXMATCH(Dipromats!$A$3:$A$101, ""(?i)complete""))
)"),0.586439666342686)</f>
        <v>0.5864396663</v>
      </c>
      <c r="E10" s="5">
        <f>IFERROR(__xludf.DUMMYFUNCTION("FILTER(Dipromats!F$3:F$101, 
  REGEXMATCH(Dipromats!$A$3:$A$101, ""(?i)"" &amp; $A10), NOT(REGEXMATCH(Dipromats!$A$3:$A$101, ""(?i)complete""))
)"),0.569895182181278)</f>
        <v>0.5698951822</v>
      </c>
      <c r="F10" s="5">
        <f>IFERROR(__xludf.DUMMYFUNCTION("FILTER(Dipromats!G$3:G$101, 
  REGEXMATCH(Dipromats!$A$3:$A$101, ""(?i)"" &amp; $A10), NOT(REGEXMATCH(Dipromats!$A$3:$A$101, ""(?i)complete""))
)"),0.546258468663482)</f>
        <v>0.5462584687</v>
      </c>
      <c r="G10" s="5">
        <f>IFERROR(__xludf.DUMMYFUNCTION("FILTER(Dipromats!H$3:H$101, 
  REGEXMATCH(Dipromats!$A$3:$A$101, ""(?i)"" &amp; $A10), NOT(REGEXMATCH(Dipromats!$A$3:$A$101, ""(?i)complete""))
)"),0.512012998082786)</f>
        <v>0.5120129981</v>
      </c>
      <c r="H10" s="5">
        <f>IFERROR(__xludf.DUMMYFUNCTION("FILTER(Dipromats!I$3:I$101, 
  REGEXMATCH(Dipromats!$A$3:$A$101, ""(?i)"" &amp; $A10), NOT(REGEXMATCH(Dipromats!$A$3:$A$101, ""(?i)complete""))
)"),0.288938661231155)</f>
        <v>0.2889386612</v>
      </c>
      <c r="I10" s="5">
        <f>IFERROR(__xludf.DUMMYFUNCTION("FILTER(Dipromats!J$3:J$101, 
  REGEXMATCH(Dipromats!$A$3:$A$101, ""(?i)"" &amp; $A10), NOT(REGEXMATCH(Dipromats!$A$3:$A$101, ""(?i)complete""))
)"),0.329512617172151)</f>
        <v>0.3295126172</v>
      </c>
      <c r="J10" s="8"/>
      <c r="L10" s="37" t="s">
        <v>41</v>
      </c>
      <c r="M10" s="38"/>
      <c r="N10" s="38"/>
      <c r="O10" s="31">
        <f>100-O9</f>
        <v>56.25</v>
      </c>
      <c r="P10" s="30"/>
      <c r="Q10" s="8"/>
      <c r="R10" s="8"/>
      <c r="S10" s="8"/>
      <c r="T10" s="8"/>
      <c r="U10" s="31">
        <f>100-U9</f>
        <v>43.125</v>
      </c>
    </row>
    <row r="11">
      <c r="A11" s="13" t="s">
        <v>44</v>
      </c>
      <c r="B11" s="14">
        <f t="shared" ref="B11:I11" si="6">B3-B10</f>
        <v>0.002717153028</v>
      </c>
      <c r="C11" s="14">
        <f t="shared" si="6"/>
        <v>-0.03482172242</v>
      </c>
      <c r="D11" s="14">
        <f t="shared" si="6"/>
        <v>0.02610724138</v>
      </c>
      <c r="E11" s="14">
        <f t="shared" si="6"/>
        <v>-0.005200767425</v>
      </c>
      <c r="F11" s="14">
        <f t="shared" si="6"/>
        <v>0.00567804606</v>
      </c>
      <c r="G11" s="14">
        <f t="shared" si="6"/>
        <v>-0.01301800066</v>
      </c>
      <c r="H11" s="14">
        <f t="shared" si="6"/>
        <v>0.04466648505</v>
      </c>
      <c r="I11" s="14">
        <f t="shared" si="6"/>
        <v>0.03799621757</v>
      </c>
      <c r="J11" s="24">
        <f>AVERAGE(B11:I11)</f>
        <v>0.008015581574</v>
      </c>
      <c r="K11" s="15"/>
      <c r="L11" s="15"/>
      <c r="M11" s="15"/>
      <c r="N11" s="15"/>
      <c r="O11" s="15"/>
      <c r="P11" s="30"/>
      <c r="Q11" s="8"/>
      <c r="R11" s="8"/>
      <c r="S11" s="8"/>
      <c r="T11" s="8"/>
      <c r="U11" s="29"/>
      <c r="V11" s="15"/>
      <c r="W11" s="15"/>
      <c r="X11" s="15"/>
      <c r="Y11" s="15"/>
      <c r="Z11" s="15"/>
    </row>
    <row r="12">
      <c r="A12" s="11" t="s">
        <v>25</v>
      </c>
      <c r="B12" s="5">
        <f>IFERROR(__xludf.DUMMYFUNCTION("FILTER(Dipromats!C$3:C$101, 
  REGEXMATCH(Dipromats!$A$3:$A$101, ""(?i)"" &amp; $A12), NOT(REGEXMATCH(Dipromats!$A$3:$A$101, ""(?i)complete""))
)"),0.640317661477475)</f>
        <v>0.6403176615</v>
      </c>
      <c r="C12" s="5">
        <f>IFERROR(__xludf.DUMMYFUNCTION("FILTER(Dipromats!D$3:D$101, 
  REGEXMATCH(Dipromats!$A$3:$A$101, ""(?i)"" &amp; $A12), NOT(REGEXMATCH(Dipromats!$A$3:$A$101, ""(?i)complete""))
)"),0.61354665612827)</f>
        <v>0.6135466561</v>
      </c>
      <c r="D12" s="5">
        <f>IFERROR(__xludf.DUMMYFUNCTION("FILTER(Dipromats!E$3:E$101, 
  REGEXMATCH(Dipromats!$A$3:$A$101, ""(?i)"" &amp; $A12), NOT(REGEXMATCH(Dipromats!$A$3:$A$101, ""(?i)complete""))
)"),0.613750839783722)</f>
        <v>0.6137508398</v>
      </c>
      <c r="E12" s="5">
        <f>IFERROR(__xludf.DUMMYFUNCTION("FILTER(Dipromats!F$3:F$101, 
  REGEXMATCH(Dipromats!$A$3:$A$101, ""(?i)"" &amp; $A12), NOT(REGEXMATCH(Dipromats!$A$3:$A$101, ""(?i)complete""))
)"),0.578681917130575)</f>
        <v>0.5786819171</v>
      </c>
      <c r="F12" s="5">
        <f>IFERROR(__xludf.DUMMYFUNCTION("FILTER(Dipromats!G$3:G$101, 
  REGEXMATCH(Dipromats!$A$3:$A$101, ""(?i)"" &amp; $A12), NOT(REGEXMATCH(Dipromats!$A$3:$A$101, ""(?i)complete""))
)"),0.545763744390765)</f>
        <v>0.5457637444</v>
      </c>
      <c r="G12" s="5">
        <f>IFERROR(__xludf.DUMMYFUNCTION("FILTER(Dipromats!H$3:H$101, 
  REGEXMATCH(Dipromats!$A$3:$A$101, ""(?i)"" &amp; $A12), NOT(REGEXMATCH(Dipromats!$A$3:$A$101, ""(?i)complete""))
)"),0.524262991587101)</f>
        <v>0.5242629916</v>
      </c>
      <c r="H12" s="5">
        <f>IFERROR(__xludf.DUMMYFUNCTION("FILTER(Dipromats!I$3:I$101, 
  REGEXMATCH(Dipromats!$A$3:$A$101, ""(?i)"" &amp; $A12), NOT(REGEXMATCH(Dipromats!$A$3:$A$101, ""(?i)complete""))
)"),0.284838731621514)</f>
        <v>0.2848387316</v>
      </c>
      <c r="I12" s="5">
        <f>IFERROR(__xludf.DUMMYFUNCTION("FILTER(Dipromats!J$3:J$101, 
  REGEXMATCH(Dipromats!$A$3:$A$101, ""(?i)"" &amp; $A12), NOT(REGEXMATCH(Dipromats!$A$3:$A$101, ""(?i)complete""))
)"),0.300772443809359)</f>
        <v>0.3007724438</v>
      </c>
      <c r="J12" s="8"/>
      <c r="M12" s="4" t="s">
        <v>54</v>
      </c>
      <c r="P12" s="30"/>
      <c r="Q12" s="8"/>
      <c r="R12" s="8"/>
      <c r="S12" s="8"/>
      <c r="T12" s="8"/>
      <c r="U12" s="29"/>
    </row>
    <row r="13">
      <c r="A13" s="13" t="s">
        <v>47</v>
      </c>
      <c r="B13" s="14">
        <f t="shared" ref="B13:I13" si="7">B3-B12</f>
        <v>-0.005813046189</v>
      </c>
      <c r="C13" s="14">
        <f t="shared" si="7"/>
        <v>-0.03015233607</v>
      </c>
      <c r="D13" s="14">
        <f t="shared" si="7"/>
        <v>-0.001203932056</v>
      </c>
      <c r="E13" s="14">
        <f t="shared" si="7"/>
        <v>-0.01398750237</v>
      </c>
      <c r="F13" s="14">
        <f t="shared" si="7"/>
        <v>0.006172770333</v>
      </c>
      <c r="G13" s="14">
        <f t="shared" si="7"/>
        <v>-0.02526799416</v>
      </c>
      <c r="H13" s="14">
        <f t="shared" si="7"/>
        <v>0.04876641466</v>
      </c>
      <c r="I13" s="14">
        <f t="shared" si="7"/>
        <v>0.06673639094</v>
      </c>
      <c r="J13" s="24">
        <f>AVERAGE(B13:I13)</f>
        <v>0.005656345636</v>
      </c>
      <c r="K13" s="15"/>
      <c r="L13" s="40" t="s">
        <v>18</v>
      </c>
      <c r="M13" s="10"/>
      <c r="N13" s="10"/>
      <c r="O13" s="19">
        <f>COUNTIF(B7:I7,"&lt;0") + COUNTIF(B9:I9,"&lt;0") + COUNTIF(B11:I11,"&lt;0") + COUNTIF(B13:I13,"&lt;0") + COUNTIF(B15:I15,"&lt;0") + COUNTIF(B17:I17,"&lt;0") +  COUNTIF(B26:I26,"&lt;0") + COUNTIF(B28:I28,"&lt;0") + COUNTIF(B30:I30,"&lt;0") + COUNTIF(B32:I32,"&lt;0") + COUNTIF(B34:I34,"&lt;0") + COUNTIF(B36:I36,"&lt;0") +  COUNTIF(B45:I45,"&lt;0") + COUNTIF(B47:I47,"&lt;0") + COUNTIF(B49:I49,"&lt;0") + COUNTIF(B51:I51,"&lt;0") + COUNTIF(B53:I53,"&lt;0") + COUNTIF(B55:I55,"&lt;0") + COUNTIF(B64:I64,"&lt;0") + COUNTIF(B66:I66,"&lt;0") + COUNTIF(B68:I68,"&lt;0") + COUNTIF(B69:I69,"&lt;0") + COUNTIF(B70:I70,"&lt;0") + COUNTIF(B72:I72,"&lt;0") + COUNTIF(B74:I74,"&lt;0")</f>
        <v>32</v>
      </c>
      <c r="P13" s="30">
        <v>32.0</v>
      </c>
      <c r="Q13" s="8">
        <v>45.0</v>
      </c>
      <c r="R13" s="8">
        <v>19.0</v>
      </c>
      <c r="S13" s="8">
        <v>32.0</v>
      </c>
      <c r="T13" s="8">
        <v>32.0</v>
      </c>
      <c r="U13" s="29">
        <f t="shared" ref="U13:U14" si="8">SUM(P13:T13)</f>
        <v>160</v>
      </c>
      <c r="V13" s="15"/>
      <c r="W13" s="15"/>
      <c r="X13" s="15"/>
      <c r="Y13" s="15"/>
      <c r="Z13" s="15"/>
    </row>
    <row r="14">
      <c r="A14" s="11" t="s">
        <v>28</v>
      </c>
      <c r="B14" s="5">
        <f>IFERROR(__xludf.DUMMYFUNCTION("FILTER(Dipromats!C$3:C$101, 
  REGEXMATCH(Dipromats!$A$3:$A$101, ""(?i)"" &amp; $A14)
)"),0.632355163340107)</f>
        <v>0.6323551633</v>
      </c>
      <c r="C14" s="5">
        <f>IFERROR(__xludf.DUMMYFUNCTION("FILTER(Dipromats!D$3:D$101, 
  REGEXMATCH(Dipromats!$A$3:$A$101, ""(?i)"" &amp; $A14)
)"),0.606225827187698)</f>
        <v>0.6062258272</v>
      </c>
      <c r="D14" s="5">
        <f>IFERROR(__xludf.DUMMYFUNCTION("FILTER(Dipromats!E$3:E$101, 
  REGEXMATCH(Dipromats!$A$3:$A$101, ""(?i)"" &amp; $A14)
)"),0.535090217689681)</f>
        <v>0.5350902177</v>
      </c>
      <c r="E14" s="5">
        <f>IFERROR(__xludf.DUMMYFUNCTION("FILTER(Dipromats!F$3:F$101, 
  REGEXMATCH(Dipromats!$A$3:$A$101, ""(?i)"" &amp; $A14)
)"),0.477750371254548)</f>
        <v>0.4777503713</v>
      </c>
      <c r="F14" s="5">
        <f>IFERROR(__xludf.DUMMYFUNCTION("FILTER(Dipromats!G$3:G$101, 
  REGEXMATCH(Dipromats!$A$3:$A$101, ""(?i)"" &amp; $A14)
)"),0.457442229094388)</f>
        <v>0.4574422291</v>
      </c>
      <c r="G14" s="5">
        <f>IFERROR(__xludf.DUMMYFUNCTION("FILTER(Dipromats!H$3:H$101, 
  REGEXMATCH(Dipromats!$A$3:$A$101, ""(?i)"" &amp; $A14)
)"),0.427462251024684)</f>
        <v>0.427462251</v>
      </c>
      <c r="H14" s="5">
        <f>IFERROR(__xludf.DUMMYFUNCTION("FILTER(Dipromats!I$3:I$101, 
  REGEXMATCH(Dipromats!$A$3:$A$101, ""(?i)"" &amp; $A14)
)"),0.245367655632764)</f>
        <v>0.2453676556</v>
      </c>
      <c r="I14" s="5">
        <f>IFERROR(__xludf.DUMMYFUNCTION("FILTER(Dipromats!J$3:J$101, 
  REGEXMATCH(Dipromats!$A$3:$A$101, ""(?i)"" &amp; $A14)
)"),0.282654794342775)</f>
        <v>0.2826547943</v>
      </c>
      <c r="J14" s="8"/>
      <c r="L14" s="27" t="s">
        <v>36</v>
      </c>
      <c r="M14" s="23"/>
      <c r="N14" s="23"/>
      <c r="O14" s="28">
        <f>COUNTIF(B7:I7,"&gt;0") + COUNTIF(B9:I9,"&gt;0") + COUNTIF(B11:I11,"&gt;0") + COUNTIF(B13:I13,"&gt;0") + COUNTIF(B15:I15,"&gt;0") + COUNTIF(B17:I17,"&gt;0") +  COUNTIF(B26:I26,"&gt;0") + COUNTIF(B28:I28,"&gt;0") + COUNTIF(B30:I30,"&gt;0") + COUNTIF(B32:I32,"&gt;0") + COUNTIF(B34:I34,"&gt;0") + COUNTIF(B36:I36,"&gt;0") +  COUNTIF(B45:I45,"&gt;0") + COUNTIF(B47:I47,"&gt;0") + COUNTIF(B49:I49,"&gt;0") + COUNTIF(B51:I51,"&gt;0") + COUNTIF(B53:I53,"&gt;0") + COUNTIF(B55:I55,"&gt;0") + COUNTIF(B64:I64,"&gt;0") + COUNTIF(B66:I66,"&gt;0") + COUNTIF(B68:I68,"&gt;0") + COUNTIF(B69:I69,"&gt;0") + COUNTIF(B70:I70,"&gt;0") + COUNTIF(B72:I72,"&gt;0") + COUNTIF(B74:I74,"&gt;0")</f>
        <v>146</v>
      </c>
      <c r="P14" s="30">
        <v>148.0</v>
      </c>
      <c r="Q14" s="8">
        <v>133.0</v>
      </c>
      <c r="R14" s="8">
        <v>159.0</v>
      </c>
      <c r="S14" s="8">
        <v>146.0</v>
      </c>
      <c r="T14" s="8">
        <v>146.0</v>
      </c>
      <c r="U14" s="29">
        <f t="shared" si="8"/>
        <v>732</v>
      </c>
    </row>
    <row r="15">
      <c r="A15" s="13" t="s">
        <v>50</v>
      </c>
      <c r="B15" s="14">
        <f t="shared" ref="B15:I15" si="9">B3-B14</f>
        <v>0.002149451949</v>
      </c>
      <c r="C15" s="14">
        <f t="shared" si="9"/>
        <v>-0.02283150713</v>
      </c>
      <c r="D15" s="14">
        <f t="shared" si="9"/>
        <v>0.07745669004</v>
      </c>
      <c r="E15" s="14">
        <f t="shared" si="9"/>
        <v>0.0869440435</v>
      </c>
      <c r="F15" s="14">
        <f t="shared" si="9"/>
        <v>0.09449428563</v>
      </c>
      <c r="G15" s="14">
        <f t="shared" si="9"/>
        <v>0.0715327464</v>
      </c>
      <c r="H15" s="14">
        <f t="shared" si="9"/>
        <v>0.08823749065</v>
      </c>
      <c r="I15" s="14">
        <f t="shared" si="9"/>
        <v>0.0848540404</v>
      </c>
      <c r="J15" s="24">
        <f>AVERAGE(B15:I15)</f>
        <v>0.06035465518</v>
      </c>
      <c r="K15" s="15"/>
      <c r="L15" s="27" t="s">
        <v>42</v>
      </c>
      <c r="M15" s="23"/>
      <c r="N15" s="23"/>
      <c r="O15" s="31">
        <f>(O13*100)/(O13+O14)</f>
        <v>17.97752809</v>
      </c>
      <c r="P15" s="30"/>
      <c r="Q15" s="8"/>
      <c r="R15" s="8"/>
      <c r="S15" s="8"/>
      <c r="T15" s="8"/>
      <c r="U15" s="31">
        <f>(U13*100)/(U13+U14)</f>
        <v>17.93721973</v>
      </c>
      <c r="V15" s="15"/>
      <c r="W15" s="15"/>
      <c r="X15" s="15"/>
      <c r="Y15" s="15"/>
      <c r="Z15" s="15"/>
    </row>
    <row r="16">
      <c r="A16" s="11" t="s">
        <v>29</v>
      </c>
      <c r="B16" s="5">
        <f>IFERROR(__xludf.DUMMYFUNCTION("FILTER(Dipromats!C$3:C$101, 
  REGEXMATCH(Dipromats!$A$3:$A$101, ""(?i)"" &amp; $A16)
)"),0.626620634285161)</f>
        <v>0.6266206343</v>
      </c>
      <c r="C16" s="5">
        <f>IFERROR(__xludf.DUMMYFUNCTION("FILTER(Dipromats!D$3:D$101, 
  REGEXMATCH(Dipromats!$A$3:$A$101, ""(?i)"" &amp; $A16)
)"),0.604801060798369)</f>
        <v>0.6048010608</v>
      </c>
      <c r="D16" s="5">
        <f>IFERROR(__xludf.DUMMYFUNCTION("FILTER(Dipromats!E$3:E$101, 
  REGEXMATCH(Dipromats!$A$3:$A$101, ""(?i)"" &amp; $A16)
)"),0.274748595417237)</f>
        <v>0.2747485954</v>
      </c>
      <c r="E16" s="5">
        <f>IFERROR(__xludf.DUMMYFUNCTION("FILTER(Dipromats!F$3:F$101, 
  REGEXMATCH(Dipromats!$A$3:$A$101, ""(?i)"" &amp; $A16)
)"),0.380177808740426)</f>
        <v>0.3801778087</v>
      </c>
      <c r="F16" s="5">
        <f>IFERROR(__xludf.DUMMYFUNCTION("FILTER(Dipromats!G$3:G$101, 
  REGEXMATCH(Dipromats!$A$3:$A$101, ""(?i)"" &amp; $A16)
)"),0.484593915089339)</f>
        <v>0.4845939151</v>
      </c>
      <c r="G16" s="5">
        <f>IFERROR(__xludf.DUMMYFUNCTION("FILTER(Dipromats!H$3:H$101, 
  REGEXMATCH(Dipromats!$A$3:$A$101, ""(?i)"" &amp; $A16)
)"),0.437797137788191)</f>
        <v>0.4377971378</v>
      </c>
      <c r="H16" s="5">
        <f>IFERROR(__xludf.DUMMYFUNCTION("FILTER(Dipromats!I$3:I$101, 
  REGEXMATCH(Dipromats!$A$3:$A$101, ""(?i)"" &amp; $A16)
)"),0.220620940157727)</f>
        <v>0.2206209402</v>
      </c>
      <c r="I16" s="5">
        <f>IFERROR(__xludf.DUMMYFUNCTION("FILTER(Dipromats!J$3:J$101, 
  REGEXMATCH(Dipromats!$A$3:$A$101, ""(?i)"" &amp; $A16)
)"),0.271705614091627)</f>
        <v>0.2717056141</v>
      </c>
      <c r="J16" s="8"/>
      <c r="L16" s="37" t="s">
        <v>41</v>
      </c>
      <c r="M16" s="38"/>
      <c r="N16" s="38"/>
      <c r="O16" s="31">
        <f>100-O15</f>
        <v>82.02247191</v>
      </c>
      <c r="P16" s="46"/>
      <c r="Q16" s="47"/>
      <c r="R16" s="47"/>
      <c r="S16" s="47"/>
      <c r="T16" s="47"/>
      <c r="U16" s="31">
        <f>100-U15</f>
        <v>82.06278027</v>
      </c>
    </row>
    <row r="17">
      <c r="A17" s="13" t="s">
        <v>53</v>
      </c>
      <c r="B17" s="14">
        <f t="shared" ref="B17:I17" si="10">B3-B16</f>
        <v>0.007883981003</v>
      </c>
      <c r="C17" s="14">
        <f t="shared" si="10"/>
        <v>-0.02140674074</v>
      </c>
      <c r="D17" s="14">
        <f t="shared" si="10"/>
        <v>0.3377983123</v>
      </c>
      <c r="E17" s="14">
        <f t="shared" si="10"/>
        <v>0.184516606</v>
      </c>
      <c r="F17" s="14">
        <f t="shared" si="10"/>
        <v>0.06734259963</v>
      </c>
      <c r="G17" s="14">
        <f t="shared" si="10"/>
        <v>0.06119785964</v>
      </c>
      <c r="H17" s="14">
        <f t="shared" si="10"/>
        <v>0.1129842061</v>
      </c>
      <c r="I17" s="14">
        <f t="shared" si="10"/>
        <v>0.09580322065</v>
      </c>
      <c r="J17" s="24">
        <f>AVERAGE(B17:I17)</f>
        <v>0.1057650056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B18" s="24">
        <f t="shared" ref="B18:I18" si="11">AVERAGE(B5,B7,B9,B11,B13,B15,B17)</f>
        <v>0.006036538638</v>
      </c>
      <c r="C18" s="24">
        <f t="shared" si="11"/>
        <v>-0.01565401313</v>
      </c>
      <c r="D18" s="24">
        <f t="shared" si="11"/>
        <v>0.07049821584</v>
      </c>
      <c r="E18" s="24">
        <f t="shared" si="11"/>
        <v>0.04259214337</v>
      </c>
      <c r="F18" s="24">
        <f t="shared" si="11"/>
        <v>0.03228086314</v>
      </c>
      <c r="G18" s="24">
        <f t="shared" si="11"/>
        <v>0.01174759699</v>
      </c>
      <c r="H18" s="24">
        <f t="shared" si="11"/>
        <v>0.05811795254</v>
      </c>
      <c r="I18" s="24">
        <f t="shared" si="11"/>
        <v>0.06273013817</v>
      </c>
    </row>
    <row r="19">
      <c r="B19" s="24">
        <f>AVERAGE(B18,C18)</f>
        <v>-0.004808737248</v>
      </c>
      <c r="C19" s="8"/>
      <c r="D19" s="24">
        <f>AVERAGE(D18,E18)</f>
        <v>0.0565451796</v>
      </c>
      <c r="E19" s="8"/>
      <c r="F19" s="24">
        <f>AVERAGE(F18,G18)</f>
        <v>0.02201423007</v>
      </c>
      <c r="G19" s="8"/>
      <c r="H19" s="24">
        <f>AVERAGE(H18,I18)</f>
        <v>0.06042404535</v>
      </c>
      <c r="I19" s="8"/>
    </row>
    <row r="21">
      <c r="A21" s="1" t="s">
        <v>57</v>
      </c>
      <c r="B21" s="7" t="s">
        <v>13</v>
      </c>
      <c r="D21" s="1" t="s">
        <v>15</v>
      </c>
      <c r="E21" s="1"/>
      <c r="F21" s="1" t="s">
        <v>16</v>
      </c>
      <c r="G21" s="1"/>
      <c r="H21" s="7" t="s">
        <v>17</v>
      </c>
      <c r="I21" s="1"/>
    </row>
    <row r="22">
      <c r="A22" s="7" t="s">
        <v>21</v>
      </c>
      <c r="B22" s="5">
        <f>IFERROR(__xludf.DUMMYFUNCTION("FILTER(SemEval_2025_T2!$G$3:$G$132, 
  REGEXMATCH(SemEval_2025_T2!$A$3:$A$132, ""(?i)"" &amp; $B$21 &amp;""_"" &amp; $A22)
)"),0.469629994858942)</f>
        <v>0.4696299949</v>
      </c>
      <c r="C22" s="5">
        <f>IFERROR(__xludf.DUMMYFUNCTION("FILTER(SemEval_2025_T2!$H$3:$H$132, 
  REGEXMATCH(SemEval_2025_T2!$A$3:$A$132, ""(?i)"" &amp; $B$21 &amp;""_"" &amp; $A22)
)"),0.29768447503913)</f>
        <v>0.297684475</v>
      </c>
      <c r="D22" s="5">
        <f>IFERROR(__xludf.DUMMYFUNCTION("FILTER(SemEval_2025_T2!$G$3:$G$132, 
  REGEXMATCH(SemEval_2025_T2!$A$3:$A$132, ""(?i)"" &amp; $D$21 &amp;""_"" &amp; $A22)
)"),0.386661612184486)</f>
        <v>0.3866616122</v>
      </c>
      <c r="E22" s="5">
        <f>IFERROR(__xludf.DUMMYFUNCTION("FILTER(SemEval_2025_T2!$H$3:$H$132, 
  REGEXMATCH(SemEval_2025_T2!$A$3:$A$132, ""(?i)"" &amp; $D$21 &amp;""_"" &amp; $A22)
)"),0.200154216124963)</f>
        <v>0.2001542161</v>
      </c>
      <c r="F22" s="5">
        <f>IFERROR(__xludf.DUMMYFUNCTION("FILTER(SemEval_2025_T2!$G$3:$G$132, 
  REGEXMATCH(SemEval_2025_T2!$A$3:$A$132, ""(?i)"" &amp; $F$21 &amp;""_"" &amp; $A22)
)"),0.322135984191247)</f>
        <v>0.3221359842</v>
      </c>
      <c r="G22" s="5">
        <f>IFERROR(__xludf.DUMMYFUNCTION("FILTER(SemEval_2025_T2!$H$3:$H$132, 
  REGEXMATCH(SemEval_2025_T2!$A$3:$A$132, ""(?i)"" &amp; $F$21 &amp;""_"" &amp; $A22)
)"),0.15832344209996)</f>
        <v>0.1583234421</v>
      </c>
      <c r="H22" s="5">
        <f>IFERROR(__xludf.DUMMYFUNCTION("FILTER(SemEval_2025_T2!$G$3:$G$132, 
  REGEXMATCH(SemEval_2025_T2!$A$3:$A$132, ""(?i)"" &amp; $H$21 &amp;""_"" &amp; $A22)
)"),0.207104738828423)</f>
        <v>0.2071047388</v>
      </c>
      <c r="I22" s="5">
        <f>IFERROR(__xludf.DUMMYFUNCTION("FILTER(SemEval_2025_T2!$H$3:$H$132, 
  REGEXMATCH(SemEval_2025_T2!$A$3:$A$132, ""(?i)"" &amp; $H$21 &amp;""_"" &amp; $A22)
)"),0.087871224883977)</f>
        <v>0.08787122488</v>
      </c>
    </row>
    <row r="23">
      <c r="A23" s="7" t="s">
        <v>26</v>
      </c>
      <c r="B23" s="5">
        <f>IFERROR(__xludf.DUMMYFUNCTION("FILTER(SemEval_2025_T2!$G$3:$G$132, 
  REGEXMATCH(SemEval_2025_T2!$A$3:$A$132, ""(?i)"" &amp; $B$21 &amp;""_"" &amp; $A23)
)"),0.514035206022048)</f>
        <v>0.514035206</v>
      </c>
      <c r="C23" s="5">
        <f>IFERROR(__xludf.DUMMYFUNCTION("FILTER(SemEval_2025_T2!$H$3:$H$132, 
  REGEXMATCH(SemEval_2025_T2!$A$3:$A$132, ""(?i)"" &amp; $B$21 &amp;""_"" &amp; $A23)
)"),0.307645133386631)</f>
        <v>0.3076451334</v>
      </c>
      <c r="D23" s="5">
        <f>IFERROR(__xludf.DUMMYFUNCTION("FILTER(SemEval_2025_T2!$G$3:$G$132, 
  REGEXMATCH(SemEval_2025_T2!$A$3:$A$132, ""(?i)"" &amp; $D$21 &amp;""_"" &amp; $A23)
)"),0.381269392078906)</f>
        <v>0.3812693921</v>
      </c>
      <c r="E23" s="5">
        <f>IFERROR(__xludf.DUMMYFUNCTION("FILTER(SemEval_2025_T2!$H$3:$H$132, 
  REGEXMATCH(SemEval_2025_T2!$A$3:$A$132, ""(?i)"" &amp; $D$21 &amp;""_"" &amp; $A23)
)"),0.213641884382488)</f>
        <v>0.2136418844</v>
      </c>
      <c r="F23" s="5">
        <f>IFERROR(__xludf.DUMMYFUNCTION("FILTER(SemEval_2025_T2!$G$3:$G$132, 
  REGEXMATCH(SemEval_2025_T2!$A$3:$A$132, ""(?i)"" &amp; $F$21 &amp;""_"" &amp; $A23)
)"),0.297130229419703)</f>
        <v>0.2971302294</v>
      </c>
      <c r="G23" s="5">
        <f>IFERROR(__xludf.DUMMYFUNCTION("FILTER(SemEval_2025_T2!$H$3:$H$132, 
  REGEXMATCH(SemEval_2025_T2!$A$3:$A$132, ""(?i)"" &amp; $F$21 &amp;""_"" &amp; $A23)
)"),0.118694163326551)</f>
        <v>0.1186941633</v>
      </c>
      <c r="H23" s="5">
        <f>IFERROR(__xludf.DUMMYFUNCTION("FILTER(SemEval_2025_T2!$G$3:$G$132, 
  REGEXMATCH(SemEval_2025_T2!$A$3:$A$132, ""(?i)"" &amp; $H$21 &amp;""_"" &amp; $A23)
)"),0.238378224888286)</f>
        <v>0.2383782249</v>
      </c>
      <c r="I23" s="5">
        <f>IFERROR(__xludf.DUMMYFUNCTION("FILTER(SemEval_2025_T2!$H$3:$H$132, 
  REGEXMATCH(SemEval_2025_T2!$A$3:$A$132, ""(?i)"" &amp; $H$21 &amp;""_"" &amp; $A23)
)"),0.083454375288068)</f>
        <v>0.08345437529</v>
      </c>
      <c r="P23" s="6" t="s">
        <v>7</v>
      </c>
      <c r="Q23" s="6" t="s">
        <v>8</v>
      </c>
      <c r="R23" s="6" t="s">
        <v>9</v>
      </c>
      <c r="S23" s="6" t="s">
        <v>10</v>
      </c>
      <c r="T23" s="6" t="s">
        <v>11</v>
      </c>
      <c r="U23" s="6" t="s">
        <v>12</v>
      </c>
    </row>
    <row r="24">
      <c r="A24" s="13" t="s">
        <v>32</v>
      </c>
      <c r="B24" s="14">
        <f t="shared" ref="B24:I24" si="12">B22-B23</f>
        <v>-0.04440521116</v>
      </c>
      <c r="C24" s="14">
        <f t="shared" si="12"/>
        <v>-0.009960658348</v>
      </c>
      <c r="D24" s="14">
        <f t="shared" si="12"/>
        <v>0.005392220106</v>
      </c>
      <c r="E24" s="14">
        <f t="shared" si="12"/>
        <v>-0.01348766826</v>
      </c>
      <c r="F24" s="14">
        <f t="shared" si="12"/>
        <v>0.02500575477</v>
      </c>
      <c r="G24" s="14">
        <f t="shared" si="12"/>
        <v>0.03962927877</v>
      </c>
      <c r="H24" s="14">
        <f t="shared" si="12"/>
        <v>-0.03127348606</v>
      </c>
      <c r="I24" s="14">
        <f t="shared" si="12"/>
        <v>0.004416849596</v>
      </c>
      <c r="J24" s="24">
        <f t="shared" ref="J24:K24" si="13">AVERAGE(B24,D24,F24,H24)</f>
        <v>-0.01132018059</v>
      </c>
      <c r="K24" s="24">
        <f t="shared" si="13"/>
        <v>0.005149450441</v>
      </c>
      <c r="L24" s="24">
        <f>AVERAGE(J24,K24)</f>
        <v>-0.003085365073</v>
      </c>
      <c r="M24" s="15"/>
      <c r="N24" s="41" t="s">
        <v>32</v>
      </c>
      <c r="O24" s="48">
        <f>AVERAGE(L24,L43,L62)</f>
        <v>0.007047936653</v>
      </c>
      <c r="P24" s="49">
        <v>-0.006981678573060414</v>
      </c>
      <c r="Q24" s="48">
        <v>-0.003066861023513664</v>
      </c>
      <c r="R24" s="48">
        <v>0.011016103478905711</v>
      </c>
      <c r="S24" s="48">
        <v>-0.0024110006253647946</v>
      </c>
      <c r="T24" s="48">
        <v>0.0070479366527675434</v>
      </c>
      <c r="U24" s="50">
        <f t="shared" ref="U24:U30" si="14">AVERAGE(P24:T24)</f>
        <v>0.001120899982</v>
      </c>
      <c r="V24" s="15"/>
      <c r="W24" s="15"/>
      <c r="X24" s="15"/>
      <c r="Y24" s="15"/>
      <c r="Z24" s="15"/>
    </row>
    <row r="25">
      <c r="A25" s="7" t="s">
        <v>58</v>
      </c>
      <c r="B25" s="5">
        <f>IFERROR(__xludf.DUMMYFUNCTION("FILTER(SemEval_2025_T2!$G$3:$G$132, 
  REGEXMATCH(SemEval_2025_T2!$A$3:$A$132, ""(?i)"" &amp; $B$21 &amp;""_"" &amp; $A25)
)"),0.443146947744113)</f>
        <v>0.4431469477</v>
      </c>
      <c r="C25" s="5">
        <f>IFERROR(__xludf.DUMMYFUNCTION("FILTER(SemEval_2025_T2!$H$3:$H$132, 
  REGEXMATCH(SemEval_2025_T2!$A$3:$A$132, ""(?i)"" &amp; $B$21 &amp;""_"" &amp; $A25)
)"),0.278619253553464)</f>
        <v>0.2786192536</v>
      </c>
      <c r="D25" s="5">
        <f>IFERROR(__xludf.DUMMYFUNCTION("FILTER(SemEval_2025_T2!$G$3:$G$132, 
  REGEXMATCH(SemEval_2025_T2!$A$3:$A$132, ""(?i)"" &amp; $D$21 &amp;""_"" &amp; $A25)
)"),0.183951176893282)</f>
        <v>0.1839511769</v>
      </c>
      <c r="E25" s="5">
        <f>IFERROR(__xludf.DUMMYFUNCTION("FILTER(SemEval_2025_T2!$H$3:$H$132, 
  REGEXMATCH(SemEval_2025_T2!$A$3:$A$132, ""(?i)"" &amp; $D$21 &amp;""_"" &amp; $A25)
)"),0.076478375942546)</f>
        <v>0.07647837594</v>
      </c>
      <c r="F25" s="5">
        <f>IFERROR(__xludf.DUMMYFUNCTION("FILTER(SemEval_2025_T2!$G$3:$G$132, 
  REGEXMATCH(SemEval_2025_T2!$A$3:$A$132, ""(?i)"" &amp; $F$21 &amp;""_"" &amp; $A25)
)"),0.322483844225949)</f>
        <v>0.3224838442</v>
      </c>
      <c r="G25" s="5">
        <f>IFERROR(__xludf.DUMMYFUNCTION("FILTER(SemEval_2025_T2!$H$3:$H$132, 
  REGEXMATCH(SemEval_2025_T2!$A$3:$A$132, ""(?i)"" &amp; $F$21 &amp;""_"" &amp; $A25)
)"),0.137031714619164)</f>
        <v>0.1370317146</v>
      </c>
      <c r="H25" s="5">
        <f>IFERROR(__xludf.DUMMYFUNCTION("FILTER(SemEval_2025_T2!$G$3:$G$132, 
  REGEXMATCH(SemEval_2025_T2!$A$3:$A$132, ""(?i)"" &amp; $H$21 &amp;""_"" &amp; $A25)
)"),0.159618888713625)</f>
        <v>0.1596188887</v>
      </c>
      <c r="I25" s="5">
        <f>IFERROR(__xludf.DUMMYFUNCTION("FILTER(SemEval_2025_T2!$H$3:$H$132, 
  REGEXMATCH(SemEval_2025_T2!$A$3:$A$132, ""(?i)"" &amp; $H$21 &amp;""_"" &amp; $A25)
)"),0.051741760021139)</f>
        <v>0.05174176002</v>
      </c>
      <c r="J25" s="8"/>
      <c r="K25" s="8"/>
      <c r="L25" s="8"/>
      <c r="N25" s="43" t="s">
        <v>37</v>
      </c>
      <c r="O25" s="5">
        <f>AVERAGE(L26,L45,L64)</f>
        <v>0.03076989336</v>
      </c>
      <c r="P25" s="44">
        <v>0.032023261653599</v>
      </c>
      <c r="Q25" s="5">
        <v>0.016310076912655905</v>
      </c>
      <c r="R25" s="5">
        <v>0.056988460159372256</v>
      </c>
      <c r="S25" s="5">
        <v>0.03631265452018865</v>
      </c>
      <c r="T25" s="5">
        <v>0.030769893359977346</v>
      </c>
      <c r="U25" s="45">
        <f t="shared" si="14"/>
        <v>0.03448086932</v>
      </c>
    </row>
    <row r="26">
      <c r="A26" s="13" t="s">
        <v>37</v>
      </c>
      <c r="B26" s="14">
        <f t="shared" ref="B26:I26" si="15">B22-B25</f>
        <v>0.02648304711</v>
      </c>
      <c r="C26" s="14">
        <f t="shared" si="15"/>
        <v>0.01906522149</v>
      </c>
      <c r="D26" s="14">
        <f t="shared" si="15"/>
        <v>0.2027104353</v>
      </c>
      <c r="E26" s="14">
        <f t="shared" si="15"/>
        <v>0.1236758402</v>
      </c>
      <c r="F26" s="14">
        <f t="shared" si="15"/>
        <v>-0.0003478600347</v>
      </c>
      <c r="G26" s="14">
        <f t="shared" si="15"/>
        <v>0.02129172748</v>
      </c>
      <c r="H26" s="14">
        <f t="shared" si="15"/>
        <v>0.04748585011</v>
      </c>
      <c r="I26" s="14">
        <f t="shared" si="15"/>
        <v>0.03612946486</v>
      </c>
      <c r="J26" s="24">
        <f t="shared" ref="J26:K26" si="16">AVERAGE(B26,D26,F26,H26)</f>
        <v>0.06908286812</v>
      </c>
      <c r="K26" s="24">
        <f t="shared" si="16"/>
        <v>0.0500405635</v>
      </c>
      <c r="L26" s="24">
        <f>AVERAGE(J26,K26)</f>
        <v>0.05956171581</v>
      </c>
      <c r="M26" s="15"/>
      <c r="N26" s="43" t="s">
        <v>40</v>
      </c>
      <c r="O26" s="5">
        <f>AVERAGE(L28,L47,L66)</f>
        <v>0.03221972142</v>
      </c>
      <c r="P26" s="44">
        <v>0.030532007141654115</v>
      </c>
      <c r="Q26" s="5">
        <v>0.016634235861640544</v>
      </c>
      <c r="R26" s="5">
        <v>0.06261348436979514</v>
      </c>
      <c r="S26" s="5">
        <v>0.03787600349432644</v>
      </c>
      <c r="T26" s="5">
        <v>0.032219721419518295</v>
      </c>
      <c r="U26" s="45">
        <f t="shared" si="14"/>
        <v>0.03597509046</v>
      </c>
      <c r="V26" s="15"/>
      <c r="W26" s="15"/>
      <c r="X26" s="15"/>
      <c r="Y26" s="15"/>
      <c r="Z26" s="15"/>
    </row>
    <row r="27">
      <c r="A27" s="7" t="s">
        <v>38</v>
      </c>
      <c r="B27" s="5">
        <f>IFERROR(__xludf.DUMMYFUNCTION("FILTER(SemEval_2025_T2!$G$3:$G$132, 
  REGEXMATCH(SemEval_2025_T2!$A$3:$A$132, ""(?i)"" &amp; $B$21 &amp;""_"" &amp; $A27)
)"),0.413172598162071)</f>
        <v>0.4131725982</v>
      </c>
      <c r="C27" s="5">
        <f>IFERROR(__xludf.DUMMYFUNCTION("FILTER(SemEval_2025_T2!$H$3:$H$132, 
  REGEXMATCH(SemEval_2025_T2!$A$3:$A$132, ""(?i)"" &amp; $B$21 &amp;""_"" &amp; $A27)
)"),0.238469869626549)</f>
        <v>0.2384698696</v>
      </c>
      <c r="D27" s="5">
        <f>IFERROR(__xludf.DUMMYFUNCTION("FILTER(SemEval_2025_T2!$G$3:$G$132, 
  REGEXMATCH(SemEval_2025_T2!$A$3:$A$132, ""(?i)"" &amp; $D$21 &amp;""_"" &amp; $A27)
)"),0.201656347341367)</f>
        <v>0.2016563473</v>
      </c>
      <c r="E27" s="5">
        <f>IFERROR(__xludf.DUMMYFUNCTION("FILTER(SemEval_2025_T2!$H$3:$H$132, 
  REGEXMATCH(SemEval_2025_T2!$A$3:$A$132, ""(?i)"" &amp; $D$21 &amp;""_"" &amp; $A27)
)"),0.098389118476481)</f>
        <v>0.09838911848</v>
      </c>
      <c r="F27" s="5">
        <f>IFERROR(__xludf.DUMMYFUNCTION("FILTER(SemEval_2025_T2!$G$3:$G$132, 
  REGEXMATCH(SemEval_2025_T2!$A$3:$A$132, ""(?i)"" &amp; $F$21 &amp;""_"" &amp; $A27)
)"),0.266104055009318)</f>
        <v>0.266104055</v>
      </c>
      <c r="G27" s="5">
        <f>IFERROR(__xludf.DUMMYFUNCTION("FILTER(SemEval_2025_T2!$H$3:$H$132, 
  REGEXMATCH(SemEval_2025_T2!$A$3:$A$132, ""(?i)"" &amp; $F$21 &amp;""_"" &amp; $A27)
)"),0.099810456390213)</f>
        <v>0.09981045639</v>
      </c>
      <c r="H27" s="5">
        <f>IFERROR(__xludf.DUMMYFUNCTION("FILTER(SemEval_2025_T2!$G$3:$G$132, 
  REGEXMATCH(SemEval_2025_T2!$A$3:$A$132, ""(?i)"" &amp; $H$21 &amp;""_"" &amp; $A27)
)"),0.246870696554907)</f>
        <v>0.2468706966</v>
      </c>
      <c r="I27" s="5">
        <f>IFERROR(__xludf.DUMMYFUNCTION("FILTER(SemEval_2025_T2!$H$3:$H$132, 
  REGEXMATCH(SemEval_2025_T2!$A$3:$A$132, ""(?i)"" &amp; $H$21 &amp;""_"" &amp; $A27)
)"),0.059954252922066)</f>
        <v>0.05995425292</v>
      </c>
      <c r="J27" s="8"/>
      <c r="K27" s="8"/>
      <c r="L27" s="8"/>
      <c r="N27" s="43" t="s">
        <v>44</v>
      </c>
      <c r="O27" s="5">
        <f>AVERAGE(L30,L49,L68)</f>
        <v>0.02289115073</v>
      </c>
      <c r="P27" s="44">
        <v>0.01506630058805717</v>
      </c>
      <c r="Q27" s="5">
        <v>0.013764555714954664</v>
      </c>
      <c r="R27" s="5">
        <v>0.05725851791802606</v>
      </c>
      <c r="S27" s="5">
        <v>0.03003851484857259</v>
      </c>
      <c r="T27" s="5">
        <v>0.022891150727956444</v>
      </c>
      <c r="U27" s="45">
        <f t="shared" si="14"/>
        <v>0.02780380796</v>
      </c>
    </row>
    <row r="28">
      <c r="A28" s="13" t="s">
        <v>40</v>
      </c>
      <c r="B28" s="14">
        <f t="shared" ref="B28:I28" si="17">B22-B27</f>
        <v>0.0564573967</v>
      </c>
      <c r="C28" s="14">
        <f t="shared" si="17"/>
        <v>0.05921460541</v>
      </c>
      <c r="D28" s="14">
        <f t="shared" si="17"/>
        <v>0.1850052648</v>
      </c>
      <c r="E28" s="14">
        <f t="shared" si="17"/>
        <v>0.1017650976</v>
      </c>
      <c r="F28" s="14">
        <f t="shared" si="17"/>
        <v>0.05603192918</v>
      </c>
      <c r="G28" s="14">
        <f t="shared" si="17"/>
        <v>0.05851298571</v>
      </c>
      <c r="H28" s="14">
        <f t="shared" si="17"/>
        <v>-0.03976595773</v>
      </c>
      <c r="I28" s="14">
        <f t="shared" si="17"/>
        <v>0.02791697196</v>
      </c>
      <c r="J28" s="24">
        <f t="shared" ref="J28:K28" si="18">AVERAGE(B28,D28,F28,H28)</f>
        <v>0.06443215825</v>
      </c>
      <c r="K28" s="24">
        <f t="shared" si="18"/>
        <v>0.06185241518</v>
      </c>
      <c r="L28" s="24">
        <f>AVERAGE(J28,K28)</f>
        <v>0.06314228672</v>
      </c>
      <c r="M28" s="15"/>
      <c r="N28" s="43" t="s">
        <v>47</v>
      </c>
      <c r="O28" s="5">
        <f>AVERAGE(L32,L51,L70)</f>
        <v>0.03460043265</v>
      </c>
      <c r="P28" s="44">
        <v>0.018968957264466884</v>
      </c>
      <c r="Q28" s="5">
        <v>0.01281457284410357</v>
      </c>
      <c r="R28" s="5">
        <v>0.044861832126416666</v>
      </c>
      <c r="S28" s="5">
        <v>0.03006445418628201</v>
      </c>
      <c r="T28" s="5">
        <v>0.034600432648642376</v>
      </c>
      <c r="U28" s="45">
        <f t="shared" si="14"/>
        <v>0.02826204981</v>
      </c>
      <c r="V28" s="15"/>
      <c r="W28" s="15"/>
      <c r="X28" s="15"/>
      <c r="Y28" s="15"/>
      <c r="Z28" s="15"/>
    </row>
    <row r="29">
      <c r="A29" s="7" t="s">
        <v>59</v>
      </c>
      <c r="B29" s="5">
        <f>IFERROR(__xludf.DUMMYFUNCTION("FILTER(SemEval_2025_T2!$G$3:$G$132, 
  REGEXMATCH(SemEval_2025_T2!$A$3:$A$132, ""(?i)"" &amp; $B$21 &amp;""_"" &amp; $A29), NOT(REGEXMATCH(SemEval_2025_T2!$A$3:$A$132, ""(?i)complete""))
)"),0.475694995063416)</f>
        <v>0.4756949951</v>
      </c>
      <c r="C29" s="5">
        <f>IFERROR(__xludf.DUMMYFUNCTION("FILTER(SemEval_2025_T2!$H$3:$H$132, 
  REGEXMATCH(SemEval_2025_T2!$A$3:$A$132, ""(?i)"" &amp; $B$21 &amp;""_"" &amp; $A29), NOT(REGEXMATCH(SemEval_2025_T2!$A$3:$A$132, ""(?i)complete""))
)"),0.255848749114133)</f>
        <v>0.2558487491</v>
      </c>
      <c r="D29" s="5">
        <f>IFERROR(__xludf.DUMMYFUNCTION("FILTER(SemEval_2025_T2!$G$3:$G$132, 
  REGEXMATCH(SemEval_2025_T2!$A$3:$A$132, ""(?i)"" &amp; $D$21 &amp;""_"" &amp; $A29), NOT(REGEXMATCH(SemEval_2025_T2!$A$3:$A$132, ""(?i)complete""))
)"),0.263223865900181)</f>
        <v>0.2632238659</v>
      </c>
      <c r="E29" s="5">
        <f>IFERROR(__xludf.DUMMYFUNCTION("FILTER(SemEval_2025_T2!$H$3:$H$132, 
  REGEXMATCH(SemEval_2025_T2!$A$3:$A$132, ""(?i)"" &amp; $D$21 &amp;""_"" &amp; $A29), NOT(REGEXMATCH(SemEval_2025_T2!$A$3:$A$132, ""(?i)complete""))
)"),0.12963188756561)</f>
        <v>0.1296318876</v>
      </c>
      <c r="F29" s="5">
        <f>IFERROR(__xludf.DUMMYFUNCTION("FILTER(SemEval_2025_T2!$G$3:$G$132, 
  REGEXMATCH(SemEval_2025_T2!$A$3:$A$132, ""(?i)"" &amp; $F$21 &amp;""_"" &amp; $A29), NOT(REGEXMATCH(SemEval_2025_T2!$A$3:$A$132, ""(?i)complete""))
)"),0.301315471370734)</f>
        <v>0.3013154714</v>
      </c>
      <c r="G29" s="5">
        <f>IFERROR(__xludf.DUMMYFUNCTION("FILTER(SemEval_2025_T2!$H$3:$H$132, 
  REGEXMATCH(SemEval_2025_T2!$A$3:$A$132, ""(?i)"" &amp; $F$21 &amp;""_"" &amp; $A29), NOT(REGEXMATCH(SemEval_2025_T2!$A$3:$A$132, ""(?i)complete""))
)"),0.111016939313498)</f>
        <v>0.1110169393</v>
      </c>
      <c r="H29" s="5">
        <f>IFERROR(__xludf.DUMMYFUNCTION("FILTER(SemEval_2025_T2!$G$3:$G$132, 
  REGEXMATCH(SemEval_2025_T2!$A$3:$A$132, ""(?i)"" &amp; $H$21 &amp;""_"" &amp; $A29), NOT(REGEXMATCH(SemEval_2025_T2!$A$3:$A$132, ""(?i)complete""))
)"),0.236880045685308)</f>
        <v>0.2368800457</v>
      </c>
      <c r="I29" s="5">
        <f>IFERROR(__xludf.DUMMYFUNCTION("FILTER(SemEval_2025_T2!$H$3:$H$132, 
  REGEXMATCH(SemEval_2025_T2!$A$3:$A$132, ""(?i)"" &amp; $H$21 &amp;""_"" &amp; $A29), NOT(REGEXMATCH(SemEval_2025_T2!$A$3:$A$132, ""(?i)complete""))
)"),0.068547640773795)</f>
        <v>0.06854764077</v>
      </c>
      <c r="J29" s="8"/>
      <c r="K29" s="8"/>
      <c r="L29" s="8"/>
      <c r="N29" s="43" t="s">
        <v>50</v>
      </c>
      <c r="O29" s="5">
        <f>AVERAGE(L34,L53,L72)</f>
        <v>0.07056822545</v>
      </c>
      <c r="P29" s="44">
        <v>0.04142600858686506</v>
      </c>
      <c r="Q29" s="5">
        <v>0.03656173361055205</v>
      </c>
      <c r="R29" s="5">
        <v>0.10951610181071042</v>
      </c>
      <c r="S29" s="5">
        <v>0.06232836238691525</v>
      </c>
      <c r="T29" s="5">
        <v>0.07056822545477012</v>
      </c>
      <c r="U29" s="45">
        <f t="shared" si="14"/>
        <v>0.06408008637</v>
      </c>
    </row>
    <row r="30">
      <c r="A30" s="13" t="s">
        <v>44</v>
      </c>
      <c r="B30" s="14">
        <f t="shared" ref="B30:I30" si="19">B22-B29</f>
        <v>-0.006065000204</v>
      </c>
      <c r="C30" s="14">
        <f t="shared" si="19"/>
        <v>0.04183572592</v>
      </c>
      <c r="D30" s="14">
        <f t="shared" si="19"/>
        <v>0.1234377463</v>
      </c>
      <c r="E30" s="14">
        <f t="shared" si="19"/>
        <v>0.07052232856</v>
      </c>
      <c r="F30" s="14">
        <f t="shared" si="19"/>
        <v>0.02082051282</v>
      </c>
      <c r="G30" s="14">
        <f t="shared" si="19"/>
        <v>0.04730650279</v>
      </c>
      <c r="H30" s="14">
        <f t="shared" si="19"/>
        <v>-0.02977530686</v>
      </c>
      <c r="I30" s="14">
        <f t="shared" si="19"/>
        <v>0.01932358411</v>
      </c>
      <c r="J30" s="24">
        <f t="shared" ref="J30:K30" si="20">AVERAGE(B30,D30,F30,H30)</f>
        <v>0.02710448801</v>
      </c>
      <c r="K30" s="24">
        <f t="shared" si="20"/>
        <v>0.04474703535</v>
      </c>
      <c r="L30" s="24">
        <f>AVERAGE(J30,K30)</f>
        <v>0.03592576168</v>
      </c>
      <c r="M30" s="15"/>
      <c r="N30" s="51" t="s">
        <v>53</v>
      </c>
      <c r="O30" s="53">
        <f>AVERAGE(L36,L55,L74)</f>
        <v>0.05756400024</v>
      </c>
      <c r="P30" s="52">
        <v>0.03620300624737463</v>
      </c>
      <c r="Q30" s="53">
        <v>0.019181809644354994</v>
      </c>
      <c r="R30" s="53">
        <v>0.07434797763145617</v>
      </c>
      <c r="S30" s="53">
        <v>0.03906234223543818</v>
      </c>
      <c r="T30" s="53">
        <v>0.057564000238122325</v>
      </c>
      <c r="U30" s="54">
        <f t="shared" si="14"/>
        <v>0.0452718272</v>
      </c>
      <c r="V30" s="15"/>
      <c r="W30" s="15"/>
      <c r="X30" s="15"/>
      <c r="Y30" s="15"/>
      <c r="Z30" s="15"/>
    </row>
    <row r="31">
      <c r="A31" s="7" t="s">
        <v>60</v>
      </c>
      <c r="B31" s="5">
        <f>IFERROR(__xludf.DUMMYFUNCTION("FILTER(SemEval_2025_T2!$G$3:$G$132, 
  REGEXMATCH(SemEval_2025_T2!$A$3:$A$132, ""(?i)"" &amp; $B$21 &amp;""_"" &amp; $A31), NOT(REGEXMATCH(SemEval_2025_T2!$A$3:$A$132, ""(?i)complete""))
)"),0.447556318827371)</f>
        <v>0.4475563188</v>
      </c>
      <c r="C31" s="5">
        <f>IFERROR(__xludf.DUMMYFUNCTION("FILTER(SemEval_2025_T2!$H$3:$H$132, 
  REGEXMATCH(SemEval_2025_T2!$A$3:$A$132, ""(?i)"" &amp; $B$21 &amp;""_"" &amp; $A31), NOT(REGEXMATCH(SemEval_2025_T2!$A$3:$A$132, ""(?i)complete""))
)"),0.260569443848998)</f>
        <v>0.2605694438</v>
      </c>
      <c r="D31" s="5">
        <f>IFERROR(__xludf.DUMMYFUNCTION("FILTER(SemEval_2025_T2!$G$3:$G$132, 
  REGEXMATCH(SemEval_2025_T2!$A$3:$A$132, ""(?i)"" &amp; $D$21 &amp;""_"" &amp; $A31), NOT(REGEXMATCH(SemEval_2025_T2!$A$3:$A$132, ""(?i)complete""))
)"),0.214114112495691)</f>
        <v>0.2141141125</v>
      </c>
      <c r="E31" s="5">
        <f>IFERROR(__xludf.DUMMYFUNCTION("FILTER(SemEval_2025_T2!$H$3:$H$132, 
  REGEXMATCH(SemEval_2025_T2!$A$3:$A$132, ""(?i)"" &amp; $D$21 &amp;""_"" &amp; $A31), NOT(REGEXMATCH(SemEval_2025_T2!$A$3:$A$132, ""(?i)complete""))
)"),0.106058068538986)</f>
        <v>0.1060580685</v>
      </c>
      <c r="F31" s="5">
        <f>IFERROR(__xludf.DUMMYFUNCTION("FILTER(SemEval_2025_T2!$G$3:$G$132, 
  REGEXMATCH(SemEval_2025_T2!$A$3:$A$132, ""(?i)"" &amp; $F$21 &amp;""_"" &amp; $A31), NOT(REGEXMATCH(SemEval_2025_T2!$A$3:$A$132, ""(?i)complete""))
)"),0.283892118115802)</f>
        <v>0.2838921181</v>
      </c>
      <c r="G31" s="5">
        <f>IFERROR(__xludf.DUMMYFUNCTION("FILTER(SemEval_2025_T2!$H$3:$H$132, 
  REGEXMATCH(SemEval_2025_T2!$A$3:$A$132, ""(?i)"" &amp; $F$21 &amp;""_"" &amp; $A31), NOT(REGEXMATCH(SemEval_2025_T2!$A$3:$A$132, ""(?i)complete""))
)"),0.113968810788851)</f>
        <v>0.1139688108</v>
      </c>
      <c r="H31" s="5">
        <f>IFERROR(__xludf.DUMMYFUNCTION("FILTER(SemEval_2025_T2!$G$3:$G$132, 
  REGEXMATCH(SemEval_2025_T2!$A$3:$A$132, ""(?i)"" &amp; $H$21 &amp;""_"" &amp; $A31), NOT(REGEXMATCH(SemEval_2025_T2!$A$3:$A$132, ""(?i)complete""))
)"),0.212448441324757)</f>
        <v>0.2124484413</v>
      </c>
      <c r="I31" s="5">
        <f>IFERROR(__xludf.DUMMYFUNCTION("FILTER(SemEval_2025_T2!$H$3:$H$132, 
  REGEXMATCH(SemEval_2025_T2!$A$3:$A$132, ""(?i)"" &amp; $H$21 &amp;""_"" &amp; $A31), NOT(REGEXMATCH(SemEval_2025_T2!$A$3:$A$132, ""(?i)complete""))
)"),0.062289598997493)</f>
        <v>0.062289599</v>
      </c>
      <c r="J31" s="8"/>
      <c r="K31" s="8"/>
      <c r="L31" s="8"/>
    </row>
    <row r="32">
      <c r="A32" s="13" t="s">
        <v>47</v>
      </c>
      <c r="B32" s="14">
        <f t="shared" ref="B32:I32" si="21">B22-B31</f>
        <v>0.02207367603</v>
      </c>
      <c r="C32" s="14">
        <f t="shared" si="21"/>
        <v>0.03711503119</v>
      </c>
      <c r="D32" s="14">
        <f t="shared" si="21"/>
        <v>0.1725474997</v>
      </c>
      <c r="E32" s="14">
        <f t="shared" si="21"/>
        <v>0.09409614759</v>
      </c>
      <c r="F32" s="14">
        <f t="shared" si="21"/>
        <v>0.03824386608</v>
      </c>
      <c r="G32" s="14">
        <f t="shared" si="21"/>
        <v>0.04435463131</v>
      </c>
      <c r="H32" s="14">
        <f t="shared" si="21"/>
        <v>-0.005343702496</v>
      </c>
      <c r="I32" s="14">
        <f t="shared" si="21"/>
        <v>0.02558162589</v>
      </c>
      <c r="J32" s="24">
        <f t="shared" ref="J32:K32" si="22">AVERAGE(B32,D32,F32,H32)</f>
        <v>0.05688033482</v>
      </c>
      <c r="K32" s="24">
        <f t="shared" si="22"/>
        <v>0.05028685899</v>
      </c>
      <c r="L32" s="24">
        <f>AVERAGE(J32,K32)</f>
        <v>0.05358359691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7" t="s">
        <v>61</v>
      </c>
      <c r="B33" s="5">
        <f>IFERROR(__xludf.DUMMYFUNCTION("FILTER(SemEval_2025_T2!$G$3:$G$132, 
  REGEXMATCH(SemEval_2025_T2!$A$3:$A$132, ""(?i)"" &amp; $B$21 &amp;""_"" &amp; $A33)
)"),0.430385701433069)</f>
        <v>0.4303857014</v>
      </c>
      <c r="C33" s="5">
        <f>IFERROR(__xludf.DUMMYFUNCTION("FILTER(SemEval_2025_T2!$H$3:$H$132, 
  REGEXMATCH(SemEval_2025_T2!$A$3:$A$132, ""(?i)"" &amp; $B$21 &amp;""_"" &amp; $A33)
)"),0.246254129631052)</f>
        <v>0.2462541296</v>
      </c>
      <c r="D33" s="5">
        <f>IFERROR(__xludf.DUMMYFUNCTION("FILTER(SemEval_2025_T2!$G$3:$G$132, 
  REGEXMATCH(SemEval_2025_T2!$A$3:$A$132, ""(?i)"" &amp; $D$21 &amp;""_"" &amp; $A33)
)"),0.031951417004048)</f>
        <v>0.031951417</v>
      </c>
      <c r="E33" s="5">
        <f>IFERROR(__xludf.DUMMYFUNCTION("FILTER(SemEval_2025_T2!$H$3:$H$132, 
  REGEXMATCH(SemEval_2025_T2!$A$3:$A$132, ""(?i)"" &amp; $D$21 &amp;""_"" &amp; $A33)
)"),0.016105263157894)</f>
        <v>0.01610526316</v>
      </c>
      <c r="F33" s="5">
        <f>IFERROR(__xludf.DUMMYFUNCTION("FILTER(SemEval_2025_T2!$G$3:$G$132, 
  REGEXMATCH(SemEval_2025_T2!$A$3:$A$132, ""(?i)"" &amp; $F$21 &amp;""_"" &amp; $A33)
)"),0.288692243429085)</f>
        <v>0.2886922434</v>
      </c>
      <c r="G33" s="5">
        <f>IFERROR(__xludf.DUMMYFUNCTION("FILTER(SemEval_2025_T2!$H$3:$H$132, 
  REGEXMATCH(SemEval_2025_T2!$A$3:$A$132, ""(?i)"" &amp; $F$21 &amp;""_"" &amp; $A33)
)"),0.125237610500161)</f>
        <v>0.1252376105</v>
      </c>
      <c r="H33" s="5">
        <f>IFERROR(__xludf.DUMMYFUNCTION("FILTER(SemEval_2025_T2!$G$3:$G$132, 
  REGEXMATCH(SemEval_2025_T2!$A$3:$A$132, ""(?i)"" &amp; $H$21 &amp;""_"" &amp; $A33)
)"),0.160590853882959)</f>
        <v>0.1605908539</v>
      </c>
      <c r="I33" s="5">
        <f>IFERROR(__xludf.DUMMYFUNCTION("FILTER(SemEval_2025_T2!$H$3:$H$132, 
  REGEXMATCH(SemEval_2025_T2!$A$3:$A$132, ""(?i)"" &amp; $H$21 &amp;""_"" &amp; $A33)
)"),0.059550146974033)</f>
        <v>0.05955014697</v>
      </c>
      <c r="J33" s="8"/>
      <c r="K33" s="8"/>
      <c r="L33" s="8"/>
    </row>
    <row r="34">
      <c r="A34" s="13" t="s">
        <v>50</v>
      </c>
      <c r="B34" s="14">
        <f t="shared" ref="B34:I34" si="23">B22-B33</f>
        <v>0.03924429343</v>
      </c>
      <c r="C34" s="14">
        <f t="shared" si="23"/>
        <v>0.05143034541</v>
      </c>
      <c r="D34" s="14">
        <f t="shared" si="23"/>
        <v>0.3547101952</v>
      </c>
      <c r="E34" s="14">
        <f t="shared" si="23"/>
        <v>0.184048953</v>
      </c>
      <c r="F34" s="14">
        <f t="shared" si="23"/>
        <v>0.03344374076</v>
      </c>
      <c r="G34" s="14">
        <f t="shared" si="23"/>
        <v>0.0330858316</v>
      </c>
      <c r="H34" s="14">
        <f t="shared" si="23"/>
        <v>0.04651388495</v>
      </c>
      <c r="I34" s="14">
        <f t="shared" si="23"/>
        <v>0.02832107791</v>
      </c>
      <c r="J34" s="24">
        <f t="shared" ref="J34:K34" si="24">AVERAGE(B34,D34,F34,H34)</f>
        <v>0.1184780286</v>
      </c>
      <c r="K34" s="24">
        <f t="shared" si="24"/>
        <v>0.07422155197</v>
      </c>
      <c r="L34" s="24">
        <f>AVERAGE(J34,K34)</f>
        <v>0.09634979027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7" t="s">
        <v>63</v>
      </c>
      <c r="B35" s="5">
        <f>IFERROR(__xludf.DUMMYFUNCTION("FILTER(SemEval_2025_T2!$G$3:$G$132, 
  REGEXMATCH(SemEval_2025_T2!$A$3:$A$132, ""(?i)"" &amp; $B$21 &amp;""_"" &amp; $A35)
)"),0.387901176016965)</f>
        <v>0.387901176</v>
      </c>
      <c r="C35" s="5">
        <f>IFERROR(__xludf.DUMMYFUNCTION("FILTER(SemEval_2025_T2!$H$3:$H$132, 
  REGEXMATCH(SemEval_2025_T2!$A$3:$A$132, ""(?i)"" &amp; $B$21 &amp;""_"" &amp; $A35)
)"),0.233524755451476)</f>
        <v>0.2335247555</v>
      </c>
      <c r="D35" s="5">
        <f>IFERROR(__xludf.DUMMYFUNCTION("FILTER(SemEval_2025_T2!$G$3:$G$132, 
  REGEXMATCH(SemEval_2025_T2!$A$3:$A$132, ""(?i)"" &amp; $D$21 &amp;""_"" &amp; $A35)
)"),0.190261348592927)</f>
        <v>0.1902613486</v>
      </c>
      <c r="E35" s="5">
        <f>IFERROR(__xludf.DUMMYFUNCTION("FILTER(SemEval_2025_T2!$H$3:$H$132, 
  REGEXMATCH(SemEval_2025_T2!$A$3:$A$132, ""(?i)"" &amp; $D$21 &amp;""_"" &amp; $A35)
)"),0.088050555691827)</f>
        <v>0.08805055569</v>
      </c>
      <c r="F35" s="5">
        <f>IFERROR(__xludf.DUMMYFUNCTION("FILTER(SemEval_2025_T2!$G$3:$G$132, 
  REGEXMATCH(SemEval_2025_T2!$A$3:$A$132, ""(?i)"" &amp; $F$21 &amp;""_"" &amp; $A35)
)"),0.259401876486087)</f>
        <v>0.2594018765</v>
      </c>
      <c r="G35" s="5">
        <f>IFERROR(__xludf.DUMMYFUNCTION("FILTER(SemEval_2025_T2!$H$3:$H$132, 
  REGEXMATCH(SemEval_2025_T2!$A$3:$A$132, ""(?i)"" &amp; $F$21 &amp;""_"" &amp; $A35)
)"),0.116199203293332)</f>
        <v>0.1161992033</v>
      </c>
      <c r="H35" s="5">
        <f>IFERROR(__xludf.DUMMYFUNCTION("FILTER(SemEval_2025_T2!$G$3:$G$132, 
  REGEXMATCH(SemEval_2025_T2!$A$3:$A$132, ""(?i)"" &amp; $H$21 &amp;""_"" &amp; $A35)
)"),0.192691655712708)</f>
        <v>0.1926916557</v>
      </c>
      <c r="I35" s="5">
        <f>IFERROR(__xludf.DUMMYFUNCTION("FILTER(SemEval_2025_T2!$H$3:$H$132, 
  REGEXMATCH(SemEval_2025_T2!$A$3:$A$132, ""(?i)"" &amp; $H$21 &amp;""_"" &amp; $A35)
)"),0.035547496655391)</f>
        <v>0.03554749666</v>
      </c>
      <c r="J35" s="8"/>
      <c r="K35" s="8"/>
      <c r="L35" s="8"/>
    </row>
    <row r="36">
      <c r="A36" s="13" t="s">
        <v>53</v>
      </c>
      <c r="B36" s="14">
        <f t="shared" ref="B36:I36" si="25">B22-B35</f>
        <v>0.08172881884</v>
      </c>
      <c r="C36" s="14">
        <f t="shared" si="25"/>
        <v>0.06415971959</v>
      </c>
      <c r="D36" s="14">
        <f t="shared" si="25"/>
        <v>0.1964002636</v>
      </c>
      <c r="E36" s="14">
        <f t="shared" si="25"/>
        <v>0.1121036604</v>
      </c>
      <c r="F36" s="14">
        <f t="shared" si="25"/>
        <v>0.06273410771</v>
      </c>
      <c r="G36" s="14">
        <f t="shared" si="25"/>
        <v>0.04212423881</v>
      </c>
      <c r="H36" s="14">
        <f t="shared" si="25"/>
        <v>0.01441308312</v>
      </c>
      <c r="I36" s="14">
        <f t="shared" si="25"/>
        <v>0.05232372823</v>
      </c>
      <c r="J36" s="24">
        <f t="shared" ref="J36:K36" si="26">AVERAGE(B36,D36,F36,H36)</f>
        <v>0.08881906831</v>
      </c>
      <c r="K36" s="24">
        <f t="shared" si="26"/>
        <v>0.06767783676</v>
      </c>
      <c r="L36" s="24">
        <f>AVERAGE(J36,K36)</f>
        <v>0.07824845254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B37" s="24">
        <f t="shared" ref="B37:I37" si="27">AVERAGE(B24,B26,B28,B30,B32,B34,B36)</f>
        <v>0.02507386011</v>
      </c>
      <c r="C37" s="24">
        <f t="shared" si="27"/>
        <v>0.03755142724</v>
      </c>
      <c r="D37" s="24">
        <f t="shared" si="27"/>
        <v>0.1771719464</v>
      </c>
      <c r="E37" s="24">
        <f t="shared" si="27"/>
        <v>0.09610347987</v>
      </c>
      <c r="F37" s="24">
        <f t="shared" si="27"/>
        <v>0.03370457875</v>
      </c>
      <c r="G37" s="24">
        <f t="shared" si="27"/>
        <v>0.04090074235</v>
      </c>
      <c r="H37" s="24">
        <f t="shared" si="27"/>
        <v>0.0003220521481</v>
      </c>
      <c r="I37" s="24">
        <f t="shared" si="27"/>
        <v>0.02771618608</v>
      </c>
    </row>
    <row r="38">
      <c r="B38" s="24">
        <f>AVERAGE(B37,C37)</f>
        <v>0.03131264367</v>
      </c>
      <c r="C38" s="8"/>
      <c r="D38" s="24">
        <f>AVERAGE(D37,E37)</f>
        <v>0.1366377132</v>
      </c>
      <c r="E38" s="8"/>
      <c r="F38" s="24">
        <f>AVERAGE(F37,G37)</f>
        <v>0.03730266055</v>
      </c>
      <c r="G38" s="8"/>
      <c r="H38" s="24">
        <f>AVERAGE(H37,I37)</f>
        <v>0.01401911911</v>
      </c>
      <c r="I38" s="8"/>
    </row>
    <row r="40">
      <c r="A40" s="1" t="s">
        <v>80</v>
      </c>
      <c r="B40" s="7" t="s">
        <v>13</v>
      </c>
      <c r="D40" s="1" t="s">
        <v>15</v>
      </c>
      <c r="E40" s="1"/>
      <c r="F40" s="1" t="s">
        <v>16</v>
      </c>
      <c r="G40" s="1"/>
      <c r="H40" s="7" t="s">
        <v>17</v>
      </c>
      <c r="I40" s="1"/>
    </row>
    <row r="41">
      <c r="A41" s="7" t="s">
        <v>21</v>
      </c>
      <c r="B41" s="5">
        <f>IFERROR(__xludf.DUMMYFUNCTION("FILTER(SemEval_2025_T2!$E$3:$E$132, 
  REGEXMATCH(SemEval_2025_T2!$A$3:$A$132, ""(?i)"" &amp; $B$21 &amp;""_"" &amp; $A41)
)"),0.538777572135467)</f>
        <v>0.5387775721</v>
      </c>
      <c r="C41" s="5">
        <f>IFERROR(__xludf.DUMMYFUNCTION("FILTER(SemEval_2025_T2!$F$3:$F$132, 
  REGEXMATCH(SemEval_2025_T2!$A$3:$A$132, ""(?i)"" &amp; $B$21 &amp;""_"" &amp; $A41)
)"),0.339727953333216)</f>
        <v>0.3397279533</v>
      </c>
      <c r="D41" s="5">
        <f>IFERROR(__xludf.DUMMYFUNCTION("FILTER(SemEval_2025_T2!$E$3:$E$132, 
  REGEXMATCH(SemEval_2025_T2!$A$3:$A$132, ""(?i)"" &amp; $D$21 &amp;""_"" &amp; $A41)
)"),0.17067633506844)</f>
        <v>0.1706763351</v>
      </c>
      <c r="E41" s="5">
        <f>IFERROR(__xludf.DUMMYFUNCTION("FILTER(SemEval_2025_T2!$F$3:$F$132, 
  REGEXMATCH(SemEval_2025_T2!$A$3:$A$132, ""(?i)"" &amp; $D$21 &amp;""_"" &amp; $A41)
)"),0.087106689801426)</f>
        <v>0.0871066898</v>
      </c>
      <c r="F41" s="5">
        <f>IFERROR(__xludf.DUMMYFUNCTION("FILTER(SemEval_2025_T2!$E$3:$E$132, 
  REGEXMATCH(SemEval_2025_T2!$A$3:$A$132, ""(?i)"" &amp; $F$21 &amp;""_"" &amp; $A41)
)"),0.357943207377417)</f>
        <v>0.3579432074</v>
      </c>
      <c r="G41" s="5">
        <f>IFERROR(__xludf.DUMMYFUNCTION("FILTER(SemEval_2025_T2!$F$3:$F$132, 
  REGEXMATCH(SemEval_2025_T2!$A$3:$A$132, ""(?i)"" &amp; $F$21 &amp;""_"" &amp; $A41)
)"),0.106532844056528)</f>
        <v>0.1065328441</v>
      </c>
      <c r="H41" s="5">
        <f>IFERROR(__xludf.DUMMYFUNCTION("FILTER(SemEval_2025_T2!$E$3:$E$132, 
  REGEXMATCH(SemEval_2025_T2!$A$3:$A$132, ""(?i)"" &amp; $H$21 &amp;""_"" &amp; $A41)
)"),0.302676293297345)</f>
        <v>0.3026762933</v>
      </c>
      <c r="I41" s="5">
        <f>IFERROR(__xludf.DUMMYFUNCTION("FILTER(SemEval_2025_T2!$F$3:$F$132, 
  REGEXMATCH(SemEval_2025_T2!$A$3:$A$132, ""(?i)"" &amp; $H$21 &amp;""_"" &amp; $A41)
)"),0.044550067970715)</f>
        <v>0.04455006797</v>
      </c>
    </row>
    <row r="42">
      <c r="A42" s="7" t="s">
        <v>26</v>
      </c>
      <c r="B42" s="5">
        <f>IFERROR(__xludf.DUMMYFUNCTION("FILTER(SemEval_2025_T2!$E$3:$E$132, 
  REGEXMATCH(SemEval_2025_T2!$A$3:$A$132, ""(?i)"" &amp; $B$21 &amp;""_"" &amp; $A42)
)"),0.515748946083156)</f>
        <v>0.5157489461</v>
      </c>
      <c r="C42" s="5">
        <f>IFERROR(__xludf.DUMMYFUNCTION("FILTER(SemEval_2025_T2!$F$3:$F$132, 
  REGEXMATCH(SemEval_2025_T2!$A$3:$A$132, ""(?i)"" &amp; $B$21 &amp;""_"" &amp; $A42)
)"),0.304809111760933)</f>
        <v>0.3048091118</v>
      </c>
      <c r="D42" s="5">
        <f>IFERROR(__xludf.DUMMYFUNCTION("FILTER(SemEval_2025_T2!$E$3:$E$132, 
  REGEXMATCH(SemEval_2025_T2!$A$3:$A$132, ""(?i)"" &amp; $D$21 &amp;""_"" &amp; $A42)
)"),0.255187902448428)</f>
        <v>0.2551879024</v>
      </c>
      <c r="E42" s="5">
        <f>IFERROR(__xludf.DUMMYFUNCTION("FILTER(SemEval_2025_T2!$F$3:$F$132, 
  REGEXMATCH(SemEval_2025_T2!$A$3:$A$132, ""(?i)"" &amp; $D$21 &amp;""_"" &amp; $A42)
)"),0.125488533980639)</f>
        <v>0.125488534</v>
      </c>
      <c r="F42" s="5">
        <f>IFERROR(__xludf.DUMMYFUNCTION("FILTER(SemEval_2025_T2!$E$3:$E$132, 
  REGEXMATCH(SemEval_2025_T2!$A$3:$A$132, ""(?i)"" &amp; $F$21 &amp;""_"" &amp; $A42)
)"),0.29827218687745)</f>
        <v>0.2982721869</v>
      </c>
      <c r="G42" s="5">
        <f>IFERROR(__xludf.DUMMYFUNCTION("FILTER(SemEval_2025_T2!$F$3:$F$132, 
  REGEXMATCH(SemEval_2025_T2!$A$3:$A$132, ""(?i)"" &amp; $F$21 &amp;""_"" &amp; $A42)
)"),0.096927893451577)</f>
        <v>0.09692789345</v>
      </c>
      <c r="H42" s="5">
        <f>IFERROR(__xludf.DUMMYFUNCTION("FILTER(SemEval_2025_T2!$E$3:$E$132, 
  REGEXMATCH(SemEval_2025_T2!$A$3:$A$132, ""(?i)"" &amp; $H$21 &amp;""_"" &amp; $A42)
)"),0.321656297795771)</f>
        <v>0.3216562978</v>
      </c>
      <c r="I42" s="5">
        <f>IFERROR(__xludf.DUMMYFUNCTION("FILTER(SemEval_2025_T2!$F$3:$F$132, 
  REGEXMATCH(SemEval_2025_T2!$A$3:$A$132, ""(?i)"" &amp; $H$21 &amp;""_"" &amp; $A42)
)"),0.04430764314408)</f>
        <v>0.04430764314</v>
      </c>
    </row>
    <row r="43">
      <c r="A43" s="13" t="s">
        <v>32</v>
      </c>
      <c r="B43" s="5">
        <f t="shared" ref="B43:I43" si="28">B41-B42</f>
        <v>0.02302862605</v>
      </c>
      <c r="C43" s="5">
        <f t="shared" si="28"/>
        <v>0.03491884157</v>
      </c>
      <c r="D43" s="5">
        <f t="shared" si="28"/>
        <v>-0.08451156738</v>
      </c>
      <c r="E43" s="5">
        <f t="shared" si="28"/>
        <v>-0.03838184418</v>
      </c>
      <c r="F43" s="5">
        <f t="shared" si="28"/>
        <v>0.0596710205</v>
      </c>
      <c r="G43" s="5">
        <f t="shared" si="28"/>
        <v>0.009604950605</v>
      </c>
      <c r="H43" s="5">
        <f t="shared" si="28"/>
        <v>-0.0189800045</v>
      </c>
      <c r="I43" s="5">
        <f t="shared" si="28"/>
        <v>0.0002424248266</v>
      </c>
      <c r="J43" s="24">
        <f t="shared" ref="J43:K43" si="29">AVERAGE(B43,D43,F43,H43)</f>
        <v>-0.005197981332</v>
      </c>
      <c r="K43" s="24">
        <f t="shared" si="29"/>
        <v>0.001596093206</v>
      </c>
      <c r="L43" s="24">
        <f>AVERAGE(J43,K43)</f>
        <v>-0.001800944063</v>
      </c>
    </row>
    <row r="44">
      <c r="A44" s="7" t="s">
        <v>58</v>
      </c>
      <c r="B44" s="5">
        <f>IFERROR(__xludf.DUMMYFUNCTION("FILTER(SemEval_2025_T2!$E$3:$E$132, 
  REGEXMATCH(SemEval_2025_T2!$A$3:$A$132, ""(?i)"" &amp; $B$21 &amp;""_"" &amp; $A44)
)"),0.499190977443609)</f>
        <v>0.4991909774</v>
      </c>
      <c r="C44" s="5">
        <f>IFERROR(__xludf.DUMMYFUNCTION("FILTER(SemEval_2025_T2!$F$3:$F$132, 
  REGEXMATCH(SemEval_2025_T2!$A$3:$A$132, ""(?i)"" &amp; $B$21 &amp;""_"" &amp; $A44)
)"),0.293747720745291)</f>
        <v>0.2937477207</v>
      </c>
      <c r="D44" s="5">
        <f>IFERROR(__xludf.DUMMYFUNCTION("FILTER(SemEval_2025_T2!$E$3:$E$132, 
  REGEXMATCH(SemEval_2025_T2!$A$3:$A$132, ""(?i)"" &amp; $D$21 &amp;""_"" &amp; $A44)
)"),0.256158582353319)</f>
        <v>0.2561585824</v>
      </c>
      <c r="E44" s="5">
        <f>IFERROR(__xludf.DUMMYFUNCTION("FILTER(SemEval_2025_T2!$F$3:$F$132, 
  REGEXMATCH(SemEval_2025_T2!$A$3:$A$132, ""(?i)"" &amp; $D$21 &amp;""_"" &amp; $A44)
)"),0.104719207692891)</f>
        <v>0.1047192077</v>
      </c>
      <c r="F44" s="5">
        <f>IFERROR(__xludf.DUMMYFUNCTION("FILTER(SemEval_2025_T2!$E$3:$E$132, 
  REGEXMATCH(SemEval_2025_T2!$A$3:$A$132, ""(?i)"" &amp; $F$21 &amp;""_"" &amp; $A44)
)"),0.319426180836707)</f>
        <v>0.3194261808</v>
      </c>
      <c r="G44" s="5">
        <f>IFERROR(__xludf.DUMMYFUNCTION("FILTER(SemEval_2025_T2!$F$3:$F$132, 
  REGEXMATCH(SemEval_2025_T2!$A$3:$A$132, ""(?i)"" &amp; $F$21 &amp;""_"" &amp; $A44)
)"),0.06204916136495)</f>
        <v>0.06204916136</v>
      </c>
      <c r="H44" s="5">
        <f>IFERROR(__xludf.DUMMYFUNCTION("FILTER(SemEval_2025_T2!$E$3:$E$132, 
  REGEXMATCH(SemEval_2025_T2!$A$3:$A$132, ""(?i)"" &amp; $H$21 &amp;""_"" &amp; $A44)
)"),0.265505709787288)</f>
        <v>0.2655057098</v>
      </c>
      <c r="I44" s="5">
        <f>IFERROR(__xludf.DUMMYFUNCTION("FILTER(SemEval_2025_T2!$F$3:$F$132, 
  REGEXMATCH(SemEval_2025_T2!$A$3:$A$132, ""(?i)"" &amp; $H$21 &amp;""_"" &amp; $A44)
)"),0.028443701912122)</f>
        <v>0.02844370191</v>
      </c>
      <c r="J44" s="8"/>
      <c r="K44" s="8"/>
      <c r="L44" s="8"/>
    </row>
    <row r="45">
      <c r="A45" s="13" t="s">
        <v>37</v>
      </c>
      <c r="B45" s="5">
        <f t="shared" ref="B45:I45" si="30">B41-B44</f>
        <v>0.03958659469</v>
      </c>
      <c r="C45" s="5">
        <f t="shared" si="30"/>
        <v>0.04598023259</v>
      </c>
      <c r="D45" s="5">
        <f t="shared" si="30"/>
        <v>-0.08548224728</v>
      </c>
      <c r="E45" s="5">
        <f t="shared" si="30"/>
        <v>-0.01761251789</v>
      </c>
      <c r="F45" s="5">
        <f t="shared" si="30"/>
        <v>0.03851702654</v>
      </c>
      <c r="G45" s="5">
        <f t="shared" si="30"/>
        <v>0.04448368269</v>
      </c>
      <c r="H45" s="5">
        <f t="shared" si="30"/>
        <v>0.03717058351</v>
      </c>
      <c r="I45" s="5">
        <f t="shared" si="30"/>
        <v>0.01610636606</v>
      </c>
      <c r="J45" s="24">
        <f t="shared" ref="J45:K45" si="31">AVERAGE(B45,D45,F45,H45)</f>
        <v>0.007447989364</v>
      </c>
      <c r="K45" s="24">
        <f t="shared" si="31"/>
        <v>0.02223944086</v>
      </c>
      <c r="L45" s="24">
        <f>AVERAGE(J45,K45)</f>
        <v>0.01484371511</v>
      </c>
    </row>
    <row r="46">
      <c r="A46" s="7" t="s">
        <v>38</v>
      </c>
      <c r="B46" s="5">
        <f>IFERROR(__xludf.DUMMYFUNCTION("FILTER(SemEval_2025_T2!$E$3:$E$132, 
  REGEXMATCH(SemEval_2025_T2!$A$3:$A$132, ""(?i)"" &amp; $B$21 &amp;""_"" &amp; $A46)
)"),0.507974487500803)</f>
        <v>0.5079744875</v>
      </c>
      <c r="C46" s="5">
        <f>IFERROR(__xludf.DUMMYFUNCTION("FILTER(SemEval_2025_T2!$F$3:$F$132, 
  REGEXMATCH(SemEval_2025_T2!$A$3:$A$132, ""(?i)"" &amp; $B$21 &amp;""_"" &amp; $A46)
)"),0.302492234036768)</f>
        <v>0.302492234</v>
      </c>
      <c r="D46" s="5">
        <f>IFERROR(__xludf.DUMMYFUNCTION("FILTER(SemEval_2025_T2!$E$3:$E$132, 
  REGEXMATCH(SemEval_2025_T2!$A$3:$A$132, ""(?i)"" &amp; $D$21 &amp;""_"" &amp; $A46)
)"),0.239861981877771)</f>
        <v>0.2398619819</v>
      </c>
      <c r="E46" s="5">
        <f>IFERROR(__xludf.DUMMYFUNCTION("FILTER(SemEval_2025_T2!$F$3:$F$132, 
  REGEXMATCH(SemEval_2025_T2!$A$3:$A$132, ""(?i)"" &amp; $D$21 &amp;""_"" &amp; $A46)
)"),0.08960207015207)</f>
        <v>0.08960207015</v>
      </c>
      <c r="F46" s="5">
        <f>IFERROR(__xludf.DUMMYFUNCTION("FILTER(SemEval_2025_T2!$E$3:$E$132, 
  REGEXMATCH(SemEval_2025_T2!$A$3:$A$132, ""(?i)"" &amp; $F$21 &amp;""_"" &amp; $A46)
)"),0.32236522717049)</f>
        <v>0.3223652272</v>
      </c>
      <c r="G46" s="5">
        <f>IFERROR(__xludf.DUMMYFUNCTION("FILTER(SemEval_2025_T2!$F$3:$F$132, 
  REGEXMATCH(SemEval_2025_T2!$A$3:$A$132, ""(?i)"" &amp; $F$21 &amp;""_"" &amp; $A46)
)"),0.068857975942186)</f>
        <v>0.06885797594</v>
      </c>
      <c r="H46" s="5">
        <f>IFERROR(__xludf.DUMMYFUNCTION("FILTER(SemEval_2025_T2!$E$3:$E$132, 
  REGEXMATCH(SemEval_2025_T2!$A$3:$A$132, ""(?i)"" &amp; $H$21 &amp;""_"" &amp; $A46)
)"),0.286967640254482)</f>
        <v>0.2869676403</v>
      </c>
      <c r="I46" s="5">
        <f>IFERROR(__xludf.DUMMYFUNCTION("FILTER(SemEval_2025_T2!$F$3:$F$132, 
  REGEXMATCH(SemEval_2025_T2!$A$3:$A$132, ""(?i)"" &amp; $H$21 &amp;""_"" &amp; $A46)
)"),0.030866897137949)</f>
        <v>0.03086689714</v>
      </c>
      <c r="J46" s="8"/>
      <c r="K46" s="8"/>
      <c r="L46" s="8"/>
    </row>
    <row r="47">
      <c r="A47" s="13" t="s">
        <v>40</v>
      </c>
      <c r="B47" s="5">
        <f t="shared" ref="B47:I47" si="32">B41-B46</f>
        <v>0.03080308463</v>
      </c>
      <c r="C47" s="5">
        <f t="shared" si="32"/>
        <v>0.0372357193</v>
      </c>
      <c r="D47" s="5">
        <f t="shared" si="32"/>
        <v>-0.06918564681</v>
      </c>
      <c r="E47" s="5">
        <f t="shared" si="32"/>
        <v>-0.002495380351</v>
      </c>
      <c r="F47" s="5">
        <f t="shared" si="32"/>
        <v>0.03557798021</v>
      </c>
      <c r="G47" s="5">
        <f t="shared" si="32"/>
        <v>0.03767486811</v>
      </c>
      <c r="H47" s="5">
        <f t="shared" si="32"/>
        <v>0.01570865304</v>
      </c>
      <c r="I47" s="5">
        <f t="shared" si="32"/>
        <v>0.01368317083</v>
      </c>
      <c r="J47" s="24">
        <f t="shared" ref="J47:K47" si="33">AVERAGE(B47,D47,F47,H47)</f>
        <v>0.003226017769</v>
      </c>
      <c r="K47" s="24">
        <f t="shared" si="33"/>
        <v>0.02152459447</v>
      </c>
      <c r="L47" s="24">
        <f>AVERAGE(J47,K47)</f>
        <v>0.01237530612</v>
      </c>
    </row>
    <row r="48">
      <c r="A48" s="7" t="s">
        <v>59</v>
      </c>
      <c r="B48" s="5">
        <f>IFERROR(__xludf.DUMMYFUNCTION("FILTER(SemEval_2025_T2!$E$3:$E$132, 
  REGEXMATCH(SemEval_2025_T2!$A$3:$A$132, ""(?i)"" &amp; $B$21 &amp;""_"" &amp; $A48), NOT(REGEXMATCH(SemEval_2025_T2!$A$3:$A$132, ""(?i)complete""))
)"),0.523713880855986)</f>
        <v>0.5237138809</v>
      </c>
      <c r="C48" s="5">
        <f>IFERROR(__xludf.DUMMYFUNCTION("FILTER(SemEval_2025_T2!$F$3:$F$132, 
  REGEXMATCH(SemEval_2025_T2!$A$3:$A$132, ""(?i)"" &amp; $B$21 &amp;""_"" &amp; $A48), NOT(REGEXMATCH(SemEval_2025_T2!$A$3:$A$132, ""(?i)complete""))
)"),0.298182340601368)</f>
        <v>0.2981823406</v>
      </c>
      <c r="D48" s="5">
        <f>IFERROR(__xludf.DUMMYFUNCTION("FILTER(SemEval_2025_T2!$E$3:$E$132, 
  REGEXMATCH(SemEval_2025_T2!$A$3:$A$132, ""(?i)"" &amp; $D$21 &amp;""_"" &amp; $A48), NOT(REGEXMATCH(SemEval_2025_T2!$A$3:$A$132, ""(?i)complete""))
)"),0.255036344065291)</f>
        <v>0.2550363441</v>
      </c>
      <c r="E48" s="5">
        <f>IFERROR(__xludf.DUMMYFUNCTION("FILTER(SemEval_2025_T2!$F$3:$F$132, 
  REGEXMATCH(SemEval_2025_T2!$A$3:$A$132, ""(?i)"" &amp; $D$21 &amp;""_"" &amp; $A48), NOT(REGEXMATCH(SemEval_2025_T2!$A$3:$A$132, ""(?i)complete""))
)"),0.10422726630095)</f>
        <v>0.1042272663</v>
      </c>
      <c r="F48" s="5">
        <f>IFERROR(__xludf.DUMMYFUNCTION("FILTER(SemEval_2025_T2!$E$3:$E$132, 
  REGEXMATCH(SemEval_2025_T2!$A$3:$A$132, ""(?i)"" &amp; $F$21 &amp;""_"" &amp; $A48), NOT(REGEXMATCH(SemEval_2025_T2!$A$3:$A$132, ""(?i)complete""))
)"),0.303224179037336)</f>
        <v>0.303224179</v>
      </c>
      <c r="G48" s="5">
        <f>IFERROR(__xludf.DUMMYFUNCTION("FILTER(SemEval_2025_T2!$F$3:$F$132, 
  REGEXMATCH(SemEval_2025_T2!$A$3:$A$132, ""(?i)"" &amp; $F$21 &amp;""_"" &amp; $A48), NOT(REGEXMATCH(SemEval_2025_T2!$A$3:$A$132, ""(?i)complete""))
)"),0.06794643339117)</f>
        <v>0.06794643339</v>
      </c>
      <c r="H48" s="5">
        <f>IFERROR(__xludf.DUMMYFUNCTION("FILTER(SemEval_2025_T2!$E$3:$E$132, 
  REGEXMATCH(SemEval_2025_T2!$A$3:$A$132, ""(?i)"" &amp; $H$21 &amp;""_"" &amp; $A48), NOT(REGEXMATCH(SemEval_2025_T2!$A$3:$A$132, ""(?i)complete""))
)"),0.28368918449971)</f>
        <v>0.2836891845</v>
      </c>
      <c r="I48" s="5">
        <f>IFERROR(__xludf.DUMMYFUNCTION("FILTER(SemEval_2025_T2!$F$3:$F$132, 
  REGEXMATCH(SemEval_2025_T2!$A$3:$A$132, ""(?i)"" &amp; $H$21 &amp;""_"" &amp; $A48), NOT(REGEXMATCH(SemEval_2025_T2!$A$3:$A$132, ""(?i)complete""))
)"),0.022842436218752)</f>
        <v>0.02284243622</v>
      </c>
      <c r="J48" s="8"/>
      <c r="K48" s="8"/>
      <c r="L48" s="8"/>
    </row>
    <row r="49">
      <c r="A49" s="13" t="s">
        <v>44</v>
      </c>
      <c r="B49" s="5">
        <f t="shared" ref="B49:I49" si="34">B41-B48</f>
        <v>0.01506369128</v>
      </c>
      <c r="C49" s="5">
        <f t="shared" si="34"/>
        <v>0.04154561273</v>
      </c>
      <c r="D49" s="5">
        <f t="shared" si="34"/>
        <v>-0.084360009</v>
      </c>
      <c r="E49" s="5">
        <f t="shared" si="34"/>
        <v>-0.0171205765</v>
      </c>
      <c r="F49" s="5">
        <f t="shared" si="34"/>
        <v>0.05471902834</v>
      </c>
      <c r="G49" s="5">
        <f t="shared" si="34"/>
        <v>0.03858641067</v>
      </c>
      <c r="H49" s="5">
        <f t="shared" si="34"/>
        <v>0.0189871088</v>
      </c>
      <c r="I49" s="5">
        <f t="shared" si="34"/>
        <v>0.02170763175</v>
      </c>
      <c r="J49" s="24">
        <f t="shared" ref="J49:K49" si="35">AVERAGE(B49,D49,F49,H49)</f>
        <v>0.001102454855</v>
      </c>
      <c r="K49" s="24">
        <f t="shared" si="35"/>
        <v>0.02117976966</v>
      </c>
      <c r="L49" s="24">
        <f>AVERAGE(J49,K49)</f>
        <v>0.01114111226</v>
      </c>
    </row>
    <row r="50">
      <c r="A50" s="7" t="s">
        <v>60</v>
      </c>
      <c r="B50" s="5">
        <f>IFERROR(__xludf.DUMMYFUNCTION("FILTER(SemEval_2025_T2!$E$3:$E$132, 
  REGEXMATCH(SemEval_2025_T2!$A$3:$A$132, ""(?i)"" &amp; $B$21 &amp;""_"" &amp; $A50), NOT(REGEXMATCH(SemEval_2025_T2!$A$3:$A$132, ""(?i)complete""))
)"),0.499797384486858)</f>
        <v>0.4997973845</v>
      </c>
      <c r="C50" s="5">
        <f>IFERROR(__xludf.DUMMYFUNCTION("FILTER(SemEval_2025_T2!$F$3:$F$132, 
  REGEXMATCH(SemEval_2025_T2!$A$3:$A$132, ""(?i)"" &amp; $B$21 &amp;""_"" &amp; $A50), NOT(REGEXMATCH(SemEval_2025_T2!$A$3:$A$132, ""(?i)complete""))
)"),0.275172661886022)</f>
        <v>0.2751726619</v>
      </c>
      <c r="D50" s="5">
        <f>IFERROR(__xludf.DUMMYFUNCTION("FILTER(SemEval_2025_T2!$E$3:$E$132, 
  REGEXMATCH(SemEval_2025_T2!$A$3:$A$132, ""(?i)"" &amp; $D$21 &amp;""_"" &amp; $A50), NOT(REGEXMATCH(SemEval_2025_T2!$A$3:$A$132, ""(?i)complete""))
)"),0.225635200179937)</f>
        <v>0.2256352002</v>
      </c>
      <c r="E50" s="5">
        <f>IFERROR(__xludf.DUMMYFUNCTION("FILTER(SemEval_2025_T2!$F$3:$F$132, 
  REGEXMATCH(SemEval_2025_T2!$A$3:$A$132, ""(?i)"" &amp; $D$21 &amp;""_"" &amp; $A50), NOT(REGEXMATCH(SemEval_2025_T2!$A$3:$A$132, ""(?i)complete""))
)"),0.095786284475758)</f>
        <v>0.09578628448</v>
      </c>
      <c r="F50" s="5">
        <f>IFERROR(__xludf.DUMMYFUNCTION("FILTER(SemEval_2025_T2!$E$3:$E$132, 
  REGEXMATCH(SemEval_2025_T2!$A$3:$A$132, ""(?i)"" &amp; $F$21 &amp;""_"" &amp; $A50), NOT(REGEXMATCH(SemEval_2025_T2!$A$3:$A$132, ""(?i)complete""))
)"),0.283900443416232)</f>
        <v>0.2839004434</v>
      </c>
      <c r="G50" s="5">
        <f>IFERROR(__xludf.DUMMYFUNCTION("FILTER(SemEval_2025_T2!$F$3:$F$132, 
  REGEXMATCH(SemEval_2025_T2!$A$3:$A$132, ""(?i)"" &amp; $F$21 &amp;""_"" &amp; $A50), NOT(REGEXMATCH(SemEval_2025_T2!$A$3:$A$132, ""(?i)complete""))
)"),0.063735660223716)</f>
        <v>0.06373566022</v>
      </c>
      <c r="H50" s="5">
        <f>IFERROR(__xludf.DUMMYFUNCTION("FILTER(SemEval_2025_T2!$E$3:$E$132, 
  REGEXMATCH(SemEval_2025_T2!$A$3:$A$132, ""(?i)"" &amp; $H$21 &amp;""_"" &amp; $A50), NOT(REGEXMATCH(SemEval_2025_T2!$A$3:$A$132, ""(?i)complete""))
)"),0.259658161429214)</f>
        <v>0.2596581614</v>
      </c>
      <c r="I50" s="5">
        <f>IFERROR(__xludf.DUMMYFUNCTION("FILTER(SemEval_2025_T2!$F$3:$F$132, 
  REGEXMATCH(SemEval_2025_T2!$A$3:$A$132, ""(?i)"" &amp; $H$21 &amp;""_"" &amp; $A50), NOT(REGEXMATCH(SemEval_2025_T2!$A$3:$A$132, ""(?i)complete""))
)"),0.026723515261167)</f>
        <v>0.02672351526</v>
      </c>
      <c r="J50" s="8"/>
      <c r="K50" s="8"/>
      <c r="L50" s="8"/>
    </row>
    <row r="51">
      <c r="A51" s="13" t="s">
        <v>47</v>
      </c>
      <c r="B51" s="5">
        <f t="shared" ref="B51:I51" si="36">B41-B50</f>
        <v>0.03898018765</v>
      </c>
      <c r="C51" s="5">
        <f t="shared" si="36"/>
        <v>0.06455529145</v>
      </c>
      <c r="D51" s="5">
        <f t="shared" si="36"/>
        <v>-0.05495886511</v>
      </c>
      <c r="E51" s="5">
        <f t="shared" si="36"/>
        <v>-0.008679594674</v>
      </c>
      <c r="F51" s="5">
        <f t="shared" si="36"/>
        <v>0.07404276396</v>
      </c>
      <c r="G51" s="5">
        <f t="shared" si="36"/>
        <v>0.04279718383</v>
      </c>
      <c r="H51" s="5">
        <f t="shared" si="36"/>
        <v>0.04301813187</v>
      </c>
      <c r="I51" s="5">
        <f t="shared" si="36"/>
        <v>0.01782655271</v>
      </c>
      <c r="J51" s="24">
        <f t="shared" ref="J51:K51" si="37">AVERAGE(B51,D51,F51,H51)</f>
        <v>0.02527055459</v>
      </c>
      <c r="K51" s="24">
        <f t="shared" si="37"/>
        <v>0.02912485833</v>
      </c>
      <c r="L51" s="24">
        <f>AVERAGE(J51,K51)</f>
        <v>0.02719770646</v>
      </c>
    </row>
    <row r="52">
      <c r="A52" s="7" t="s">
        <v>61</v>
      </c>
      <c r="B52" s="5">
        <f>IFERROR(__xludf.DUMMYFUNCTION("FILTER(SemEval_2025_T2!$E$3:$E$132, 
  REGEXMATCH(SemEval_2025_T2!$A$3:$A$132, ""(?i)"" &amp; $B$21 &amp;""_"" &amp; $A52)
)"),0.493213067926225)</f>
        <v>0.4932130679</v>
      </c>
      <c r="C52" s="5">
        <f>IFERROR(__xludf.DUMMYFUNCTION("FILTER(SemEval_2025_T2!$F$3:$F$132, 
  REGEXMATCH(SemEval_2025_T2!$A$3:$A$132, ""(?i)"" &amp; $B$21 &amp;""_"" &amp; $A52)
)"),0.274709964596806)</f>
        <v>0.2747099646</v>
      </c>
      <c r="D52" s="5">
        <f>IFERROR(__xludf.DUMMYFUNCTION("FILTER(SemEval_2025_T2!$E$3:$E$132, 
  REGEXMATCH(SemEval_2025_T2!$A$3:$A$132, ""(?i)"" &amp; $D$21 &amp;""_"" &amp; $A52)
)"),0.223272228648544)</f>
        <v>0.2232722286</v>
      </c>
      <c r="E52" s="5">
        <f>IFERROR(__xludf.DUMMYFUNCTION("FILTER(SemEval_2025_T2!$F$3:$F$132, 
  REGEXMATCH(SemEval_2025_T2!$A$3:$A$132, ""(?i)"" &amp; $D$21 &amp;""_"" &amp; $A52)
)"),0.054960912389454)</f>
        <v>0.05496091239</v>
      </c>
      <c r="F52" s="5">
        <f>IFERROR(__xludf.DUMMYFUNCTION("FILTER(SemEval_2025_T2!$E$3:$E$132, 
  REGEXMATCH(SemEval_2025_T2!$A$3:$A$132, ""(?i)"" &amp; $F$21 &amp;""_"" &amp; $A52)
)"),0.300439374076216)</f>
        <v>0.3004393741</v>
      </c>
      <c r="G52" s="5">
        <f>IFERROR(__xludf.DUMMYFUNCTION("FILTER(SemEval_2025_T2!$F$3:$F$132, 
  REGEXMATCH(SemEval_2025_T2!$A$3:$A$132, ""(?i)"" &amp; $F$21 &amp;""_"" &amp; $A52)
)"),0.040366798406272)</f>
        <v>0.04036679841</v>
      </c>
      <c r="H52" s="5">
        <f>IFERROR(__xludf.DUMMYFUNCTION("FILTER(SemEval_2025_T2!$E$3:$E$132, 
  REGEXMATCH(SemEval_2025_T2!$A$3:$A$132, ""(?i)"" &amp; $H$21 &amp;""_"" &amp; $A52)
)"),0.180634943127048)</f>
        <v>0.1806349431</v>
      </c>
      <c r="I52" s="5">
        <f>IFERROR(__xludf.DUMMYFUNCTION("FILTER(SemEval_2025_T2!$F$3:$F$132, 
  REGEXMATCH(SemEval_2025_T2!$A$3:$A$132, ""(?i)"" &amp; $H$21 &amp;""_"" &amp; $A52)
)"),0.022100388792494)</f>
        <v>0.02210038879</v>
      </c>
      <c r="J52" s="8"/>
      <c r="K52" s="8"/>
      <c r="L52" s="8"/>
    </row>
    <row r="53">
      <c r="A53" s="13" t="s">
        <v>50</v>
      </c>
      <c r="B53" s="5">
        <f t="shared" ref="B53:I53" si="38">B41-B52</f>
        <v>0.04556450421</v>
      </c>
      <c r="C53" s="5">
        <f t="shared" si="38"/>
        <v>0.06501798874</v>
      </c>
      <c r="D53" s="5">
        <f t="shared" si="38"/>
        <v>-0.05259589358</v>
      </c>
      <c r="E53" s="5">
        <f t="shared" si="38"/>
        <v>0.03214577741</v>
      </c>
      <c r="F53" s="5">
        <f t="shared" si="38"/>
        <v>0.0575038333</v>
      </c>
      <c r="G53" s="5">
        <f t="shared" si="38"/>
        <v>0.06616604565</v>
      </c>
      <c r="H53" s="5">
        <f t="shared" si="38"/>
        <v>0.1220413502</v>
      </c>
      <c r="I53" s="5">
        <f t="shared" si="38"/>
        <v>0.02244967918</v>
      </c>
      <c r="J53" s="24">
        <f t="shared" ref="J53:K53" si="39">AVERAGE(B53,D53,F53,H53)</f>
        <v>0.04312844853</v>
      </c>
      <c r="K53" s="24">
        <f t="shared" si="39"/>
        <v>0.04644487274</v>
      </c>
      <c r="L53" s="24">
        <f>AVERAGE(J53,K53)</f>
        <v>0.04478666063</v>
      </c>
    </row>
    <row r="54">
      <c r="A54" s="7" t="s">
        <v>63</v>
      </c>
      <c r="B54" s="5">
        <f>IFERROR(__xludf.DUMMYFUNCTION("FILTER(SemEval_2025_T2!$E$3:$E$132, 
  REGEXMATCH(SemEval_2025_T2!$A$3:$A$132, ""(?i)"" &amp; $B$21 &amp;""_"" &amp; $A54)
)"),0.506004639804639)</f>
        <v>0.5060046398</v>
      </c>
      <c r="C54" s="5">
        <f>IFERROR(__xludf.DUMMYFUNCTION("FILTER(SemEval_2025_T2!$F$3:$F$132, 
  REGEXMATCH(SemEval_2025_T2!$A$3:$A$132, ""(?i)"" &amp; $B$21 &amp;""_"" &amp; $A54)
)"),0.278838425519599)</f>
        <v>0.2788384255</v>
      </c>
      <c r="D54" s="5">
        <f>IFERROR(__xludf.DUMMYFUNCTION("FILTER(SemEval_2025_T2!$E$3:$E$132, 
  REGEXMATCH(SemEval_2025_T2!$A$3:$A$132, ""(?i)"" &amp; $D$21 &amp;""_"" &amp; $A54)
)"),0.196936048454469)</f>
        <v>0.1969360485</v>
      </c>
      <c r="E54" s="5">
        <f>IFERROR(__xludf.DUMMYFUNCTION("FILTER(SemEval_2025_T2!$F$3:$F$132, 
  REGEXMATCH(SemEval_2025_T2!$A$3:$A$132, ""(?i)"" &amp; $D$21 &amp;""_"" &amp; $A54)
)"),0.063800009931588)</f>
        <v>0.06380000993</v>
      </c>
      <c r="F54" s="5">
        <f>IFERROR(__xludf.DUMMYFUNCTION("FILTER(SemEval_2025_T2!$E$3:$E$132, 
  REGEXMATCH(SemEval_2025_T2!$A$3:$A$132, ""(?i)"" &amp; $F$21 &amp;""_"" &amp; $A54)
)"),0.2725549900392)</f>
        <v>0.27255499</v>
      </c>
      <c r="G54" s="5">
        <f>IFERROR(__xludf.DUMMYFUNCTION("FILTER(SemEval_2025_T2!$F$3:$F$132, 
  REGEXMATCH(SemEval_2025_T2!$A$3:$A$132, ""(?i)"" &amp; $F$21 &amp;""_"" &amp; $A54)
)"),0.056369605248552)</f>
        <v>0.05636960525</v>
      </c>
      <c r="H54" s="5">
        <f>IFERROR(__xludf.DUMMYFUNCTION("FILTER(SemEval_2025_T2!$E$3:$E$132, 
  REGEXMATCH(SemEval_2025_T2!$A$3:$A$132, ""(?i)"" &amp; $H$21 &amp;""_"" &amp; $A54)
)"),0.247308013623803)</f>
        <v>0.2473080136</v>
      </c>
      <c r="I54" s="5">
        <f>IFERROR(__xludf.DUMMYFUNCTION("FILTER(SemEval_2025_T2!$F$3:$F$132, 
  REGEXMATCH(SemEval_2025_T2!$A$3:$A$132, ""(?i)"" &amp; $H$21 &amp;""_"" &amp; $A54)
)"),0.031142846919162)</f>
        <v>0.03114284692</v>
      </c>
      <c r="J54" s="8"/>
      <c r="K54" s="8"/>
      <c r="L54" s="8"/>
    </row>
    <row r="55">
      <c r="A55" s="13" t="s">
        <v>53</v>
      </c>
      <c r="B55" s="5">
        <f t="shared" ref="B55:I55" si="40">B41-B54</f>
        <v>0.03277293233</v>
      </c>
      <c r="C55" s="5">
        <f t="shared" si="40"/>
        <v>0.06088952781</v>
      </c>
      <c r="D55" s="5">
        <f t="shared" si="40"/>
        <v>-0.02625971339</v>
      </c>
      <c r="E55" s="5">
        <f t="shared" si="40"/>
        <v>0.02330667987</v>
      </c>
      <c r="F55" s="5">
        <f t="shared" si="40"/>
        <v>0.08538821734</v>
      </c>
      <c r="G55" s="5">
        <f t="shared" si="40"/>
        <v>0.05016323881</v>
      </c>
      <c r="H55" s="5">
        <f t="shared" si="40"/>
        <v>0.05536827967</v>
      </c>
      <c r="I55" s="5">
        <f t="shared" si="40"/>
        <v>0.01340722105</v>
      </c>
      <c r="J55" s="24">
        <f t="shared" ref="J55:K55" si="41">AVERAGE(B55,D55,F55,H55)</f>
        <v>0.03681742899</v>
      </c>
      <c r="K55" s="24">
        <f t="shared" si="41"/>
        <v>0.03694166689</v>
      </c>
      <c r="L55" s="24">
        <f>AVERAGE(J55,K55)</f>
        <v>0.03687954794</v>
      </c>
    </row>
    <row r="56">
      <c r="B56" s="24">
        <f t="shared" ref="B56:I56" si="42">AVERAGE(B43,B45,B47,B49,B51,B53,B55)</f>
        <v>0.03225708869</v>
      </c>
      <c r="C56" s="24">
        <f t="shared" si="42"/>
        <v>0.05002045917</v>
      </c>
      <c r="D56" s="24">
        <f t="shared" si="42"/>
        <v>-0.06533627751</v>
      </c>
      <c r="E56" s="24">
        <f t="shared" si="42"/>
        <v>-0.004119636616</v>
      </c>
      <c r="F56" s="24">
        <f t="shared" si="42"/>
        <v>0.05791712431</v>
      </c>
      <c r="G56" s="24">
        <f t="shared" si="42"/>
        <v>0.04135376862</v>
      </c>
      <c r="H56" s="24">
        <f t="shared" si="42"/>
        <v>0.03904487179</v>
      </c>
      <c r="I56" s="24">
        <f t="shared" si="42"/>
        <v>0.0150604352</v>
      </c>
    </row>
    <row r="57">
      <c r="B57" s="24">
        <f>AVERAGE(B56,C56)</f>
        <v>0.04113877393</v>
      </c>
      <c r="C57" s="8"/>
      <c r="D57" s="24">
        <f>AVERAGE(D56,E56)</f>
        <v>-0.03472795706</v>
      </c>
      <c r="E57" s="8"/>
      <c r="F57" s="24">
        <f>AVERAGE(F56,G56)</f>
        <v>0.04963544647</v>
      </c>
      <c r="G57" s="8"/>
      <c r="H57" s="24">
        <f>AVERAGE(H56,I56)</f>
        <v>0.0270526535</v>
      </c>
      <c r="I57" s="8"/>
    </row>
    <row r="59">
      <c r="A59" s="1" t="s">
        <v>79</v>
      </c>
      <c r="B59" s="7" t="s">
        <v>13</v>
      </c>
      <c r="D59" s="1" t="s">
        <v>15</v>
      </c>
      <c r="E59" s="1"/>
      <c r="F59" s="1" t="s">
        <v>16</v>
      </c>
      <c r="G59" s="1"/>
      <c r="H59" s="7" t="s">
        <v>17</v>
      </c>
      <c r="I59" s="1"/>
    </row>
    <row r="60">
      <c r="A60" s="7" t="s">
        <v>21</v>
      </c>
      <c r="B60" s="5">
        <f>IFERROR(__xludf.DUMMYFUNCTION("FILTER(SemEval_2025_T2!$C$3:$C$132, 
  REGEXMATCH(SemEval_2025_T2!$A$3:$A$132, ""(?i)"" &amp; $B$21 &amp;""_"" &amp; $A60)
)"),0.537594490305016)</f>
        <v>0.5375944903</v>
      </c>
      <c r="C60" s="5">
        <f>IFERROR(__xludf.DUMMYFUNCTION("FILTER(SemEval_2025_T2!$D$3:$D$132, 
  REGEXMATCH(SemEval_2025_T2!$A$3:$A$132, ""(?i)"" &amp; $B$21 &amp;""_"" &amp; $A60)
)"),0.32476797950138)</f>
        <v>0.3247679795</v>
      </c>
      <c r="D60" s="5">
        <f>IFERROR(__xludf.DUMMYFUNCTION("FILTER(SemEval_2025_T2!$C$3:$C$132, 
  REGEXMATCH(SemEval_2025_T2!$A$3:$A$132, ""(?i)"" &amp; $D$21 &amp;""_"" &amp; $A60)
)"),0.107663177173703)</f>
        <v>0.1076631772</v>
      </c>
      <c r="E60" s="5">
        <f>IFERROR(__xludf.DUMMYFUNCTION("FILTER(SemEval_2025_T2!$D$3:$D$132, 
  REGEXMATCH(SemEval_2025_T2!$A$3:$A$132, ""(?i)"" &amp; $D$21 &amp;""_"" &amp; $A60)
)"),0.049053364179679)</f>
        <v>0.04905336418</v>
      </c>
      <c r="F60" s="5">
        <f>IFERROR(__xludf.DUMMYFUNCTION("FILTER(SemEval_2025_T2!$C$3:$C$132, 
  REGEXMATCH(SemEval_2025_T2!$A$3:$A$132, ""(?i)"" &amp; $F$21 &amp;""_"" &amp; $A60)
)"),0.300086787481524)</f>
        <v>0.3000867875</v>
      </c>
      <c r="G60" s="5">
        <f>IFERROR(__xludf.DUMMYFUNCTION("FILTER(SemEval_2025_T2!$D$3:$D$132, 
  REGEXMATCH(SemEval_2025_T2!$A$3:$A$132, ""(?i)"" &amp; $F$21 &amp;""_"" &amp; $A60)
)"),0.093026101855858)</f>
        <v>0.09302610186</v>
      </c>
      <c r="H60" s="5">
        <f>IFERROR(__xludf.DUMMYFUNCTION("FILTER(SemEval_2025_T2!$C$3:$C$132, 
  REGEXMATCH(SemEval_2025_T2!$A$3:$A$132, ""(?i)"" &amp; $H$21 &amp;""_"" &amp; $A60)
)"),0.232173196394249)</f>
        <v>0.2321731964</v>
      </c>
      <c r="I60" s="5">
        <f>IFERROR(__xludf.DUMMYFUNCTION("FILTER(SemEval_2025_T2!$D$3:$D$132, 
  REGEXMATCH(SemEval_2025_T2!$A$3:$A$132, ""(?i)"" &amp; $H$21 &amp;""_"" &amp; $A60)
)"),0.039748113874429)</f>
        <v>0.03974811387</v>
      </c>
    </row>
    <row r="61">
      <c r="A61" s="7" t="s">
        <v>26</v>
      </c>
      <c r="B61" s="5">
        <f>IFERROR(__xludf.DUMMYFUNCTION("FILTER(SemEval_2025_T2!$C$3:$C$132, 
  REGEXMATCH(SemEval_2025_T2!$A$3:$A$132, ""(?i)"" &amp; $B$21 &amp;""_"" &amp; $A61)
)"),0.509893371248634)</f>
        <v>0.5098933712</v>
      </c>
      <c r="C61" s="5">
        <f>IFERROR(__xludf.DUMMYFUNCTION("FILTER(SemEval_2025_T2!$D$3:$D$132, 
  REGEXMATCH(SemEval_2025_T2!$A$3:$A$132, ""(?i)"" &amp; $B$21 &amp;""_"" &amp; $A61)
)"),0.311016641253483)</f>
        <v>0.3110166413</v>
      </c>
      <c r="D61" s="5">
        <f>IFERROR(__xludf.DUMMYFUNCTION("FILTER(SemEval_2025_T2!$C$3:$C$132, 
  REGEXMATCH(SemEval_2025_T2!$A$3:$A$132, ""(?i)"" &amp; $D$21 &amp;""_"" &amp; $A61)
)"),0.053231630357946)</f>
        <v>0.05323163036</v>
      </c>
      <c r="E61" s="5">
        <f>IFERROR(__xludf.DUMMYFUNCTION("FILTER(SemEval_2025_T2!$D$3:$D$132, 
  REGEXMATCH(SemEval_2025_T2!$A$3:$A$132, ""(?i)"" &amp; $D$21 &amp;""_"" &amp; $A61)
)"),0.026355581260844)</f>
        <v>0.02635558126</v>
      </c>
      <c r="F61" s="5">
        <f>IFERROR(__xludf.DUMMYFUNCTION("FILTER(SemEval_2025_T2!$C$3:$C$132, 
  REGEXMATCH(SemEval_2025_T2!$A$3:$A$132, ""(?i)"" &amp; $F$21 &amp;""_"" &amp; $A61)
)"),0.260835643596169)</f>
        <v>0.2608356436</v>
      </c>
      <c r="G61" s="5">
        <f>IFERROR(__xludf.DUMMYFUNCTION("FILTER(SemEval_2025_T2!$D$3:$D$132, 
  REGEXMATCH(SemEval_2025_T2!$A$3:$A$132, ""(?i)"" &amp; $F$21 &amp;""_"" &amp; $A61)
)"),0.06056911772438)</f>
        <v>0.06056911772</v>
      </c>
      <c r="H61" s="5">
        <f>IFERROR(__xludf.DUMMYFUNCTION("FILTER(SemEval_2025_T2!$C$3:$C$132, 
  REGEXMATCH(SemEval_2025_T2!$A$3:$A$132, ""(?i)"" &amp; $H$21 &amp;""_"" &amp; $A61)
)"),0.230424664224664)</f>
        <v>0.2304246642</v>
      </c>
      <c r="I61" s="5">
        <f>IFERROR(__xludf.DUMMYFUNCTION("FILTER(SemEval_2025_T2!$D$3:$D$132, 
  REGEXMATCH(SemEval_2025_T2!$A$3:$A$132, ""(?i)"" &amp; $H$21 &amp;""_"" &amp; $A61)
)"),0.023545608350264)</f>
        <v>0.02354560835</v>
      </c>
    </row>
    <row r="62">
      <c r="A62" s="13" t="s">
        <v>32</v>
      </c>
      <c r="B62" s="5">
        <f t="shared" ref="B62:I62" si="43">IF(B61="", "", B$60-B61)</f>
        <v>0.02770111906</v>
      </c>
      <c r="C62" s="5">
        <f t="shared" si="43"/>
        <v>0.01375133825</v>
      </c>
      <c r="D62" s="5">
        <f t="shared" si="43"/>
        <v>0.05443154682</v>
      </c>
      <c r="E62" s="5">
        <f t="shared" si="43"/>
        <v>0.02269778292</v>
      </c>
      <c r="F62" s="5">
        <f t="shared" si="43"/>
        <v>0.03925114389</v>
      </c>
      <c r="G62" s="5">
        <f t="shared" si="43"/>
        <v>0.03245698413</v>
      </c>
      <c r="H62" s="5">
        <f t="shared" si="43"/>
        <v>0.00174853217</v>
      </c>
      <c r="I62" s="5">
        <f t="shared" si="43"/>
        <v>0.01620250552</v>
      </c>
      <c r="J62" s="24">
        <f t="shared" ref="J62:K62" si="44">AVERAGE(B62,D62,F62,H62)</f>
        <v>0.03078308548</v>
      </c>
      <c r="K62" s="24">
        <f t="shared" si="44"/>
        <v>0.02127715271</v>
      </c>
      <c r="L62" s="24">
        <f>AVERAGE(J62,K62)</f>
        <v>0.02603011909</v>
      </c>
    </row>
    <row r="63">
      <c r="A63" s="7" t="s">
        <v>58</v>
      </c>
      <c r="B63" s="5" t="str">
        <f>IFERROR(__xludf.DUMMYFUNCTION("FILTER(SemEval_2025_T2!$C$3:$C$132, 
  REGEXMATCH(SemEval_2025_T2!$A$3:$A$132, ""(?i)"" &amp; $B$21 &amp;""_"" &amp; $A63)
)"),"")</f>
        <v/>
      </c>
      <c r="C63" s="5" t="str">
        <f>IFERROR(__xludf.DUMMYFUNCTION("FILTER(SemEval_2025_T2!$D$3:$D$132, 
  REGEXMATCH(SemEval_2025_T2!$A$3:$A$132, ""(?i)"" &amp; $B$21 &amp;""_"" &amp; $A63)
)"),"")</f>
        <v/>
      </c>
      <c r="D63" s="5">
        <f>IFERROR(__xludf.DUMMYFUNCTION("FILTER(SemEval_2025_T2!$C$3:$C$132, 
  REGEXMATCH(SemEval_2025_T2!$A$3:$A$132, ""(?i)"" &amp; $D$21 &amp;""_"" &amp; $A63)
)"),0.061765240023134)</f>
        <v>0.06176524002</v>
      </c>
      <c r="E63" s="5">
        <f>IFERROR(__xludf.DUMMYFUNCTION("FILTER(SemEval_2025_T2!$D$3:$D$132, 
  REGEXMATCH(SemEval_2025_T2!$A$3:$A$132, ""(?i)"" &amp; $D$21 &amp;""_"" &amp; $A63)
)"),0.029348708309234)</f>
        <v>0.02934870831</v>
      </c>
      <c r="F63" s="5">
        <f>IFERROR(__xludf.DUMMYFUNCTION("FILTER(SemEval_2025_T2!$C$3:$C$132, 
  REGEXMATCH(SemEval_2025_T2!$A$3:$A$132, ""(?i)"" &amp; $F$21 &amp;""_"" &amp; $A63)
)"),0.286909321380373)</f>
        <v>0.2869093214</v>
      </c>
      <c r="G63" s="5">
        <f>IFERROR(__xludf.DUMMYFUNCTION("FILTER(SemEval_2025_T2!$D$3:$D$132, 
  REGEXMATCH(SemEval_2025_T2!$A$3:$A$132, ""(?i)"" &amp; $F$21 &amp;""_"" &amp; $A63)
)"),0.040739516331621)</f>
        <v>0.04073951633</v>
      </c>
      <c r="H63" s="5">
        <f>IFERROR(__xludf.DUMMYFUNCTION("FILTER(SemEval_2025_T2!$C$3:$C$132, 
  REGEXMATCH(SemEval_2025_T2!$A$3:$A$132, ""(?i)"" &amp; $H$21 &amp;""_"" &amp; $A63)
)"),0.255543317209106)</f>
        <v>0.2555433172</v>
      </c>
      <c r="I63" s="5">
        <f>IFERROR(__xludf.DUMMYFUNCTION("FILTER(SemEval_2025_T2!$D$3:$D$132, 
  REGEXMATCH(SemEval_2025_T2!$A$3:$A$132, ""(?i)"" &amp; $H$21 &amp;""_"" &amp; $A63)
)"),0.040019142778049)</f>
        <v>0.04001914278</v>
      </c>
      <c r="J63" s="8"/>
      <c r="K63" s="8"/>
      <c r="L63" s="8"/>
    </row>
    <row r="64">
      <c r="A64" s="13" t="s">
        <v>37</v>
      </c>
      <c r="B64" s="5" t="str">
        <f t="shared" ref="B64:I64" si="45">IF(B63="", "", B$60-B63)</f>
        <v/>
      </c>
      <c r="C64" s="5" t="str">
        <f t="shared" si="45"/>
        <v/>
      </c>
      <c r="D64" s="5">
        <f t="shared" si="45"/>
        <v>0.04589793715</v>
      </c>
      <c r="E64" s="5">
        <f t="shared" si="45"/>
        <v>0.01970465587</v>
      </c>
      <c r="F64" s="5">
        <f t="shared" si="45"/>
        <v>0.0131774661</v>
      </c>
      <c r="G64" s="5">
        <f t="shared" si="45"/>
        <v>0.05228658552</v>
      </c>
      <c r="H64" s="5">
        <f t="shared" si="45"/>
        <v>-0.02337012081</v>
      </c>
      <c r="I64" s="5">
        <f t="shared" si="45"/>
        <v>-0.0002710289036</v>
      </c>
      <c r="J64" s="24">
        <f t="shared" ref="J64:K64" si="46">AVERAGE(B64,D64,F64,H64)</f>
        <v>0.01190176081</v>
      </c>
      <c r="K64" s="24">
        <f t="shared" si="46"/>
        <v>0.0239067375</v>
      </c>
      <c r="L64" s="24">
        <f>AVERAGE(J64,K64)</f>
        <v>0.01790424915</v>
      </c>
    </row>
    <row r="65">
      <c r="A65" s="7" t="s">
        <v>38</v>
      </c>
      <c r="B65" s="5" t="str">
        <f>IFERROR(__xludf.DUMMYFUNCTION("FILTER(SemEval_2025_T2!$C$3:$C$132, 
  REGEXMATCH(SemEval_2025_T2!$A$3:$A$132, ""(?i)"" &amp; $B$21 &amp;""_"" &amp; $A65)
)"),"")</f>
        <v/>
      </c>
      <c r="C65" s="5" t="str">
        <f>IFERROR(__xludf.DUMMYFUNCTION("FILTER(SemEval_2025_T2!$D$3:$D$132, 
  REGEXMATCH(SemEval_2025_T2!$A$3:$A$132, ""(?i)"" &amp; $B$21 &amp;""_"" &amp; $A65)
)"),"")</f>
        <v/>
      </c>
      <c r="D65" s="5">
        <f>IFERROR(__xludf.DUMMYFUNCTION("FILTER(SemEval_2025_T2!$C$3:$C$132, 
  REGEXMATCH(SemEval_2025_T2!$A$3:$A$132, ""(?i)"" &amp; $D$21 &amp;""_"" &amp; $A65)
)"),0.037621149026412)</f>
        <v>0.03762114903</v>
      </c>
      <c r="E65" s="5">
        <f>IFERROR(__xludf.DUMMYFUNCTION("FILTER(SemEval_2025_T2!$D$3:$D$132, 
  REGEXMATCH(SemEval_2025_T2!$A$3:$A$132, ""(?i)"" &amp; $D$21 &amp;""_"" &amp; $A65)
)"),0.018537574705995)</f>
        <v>0.01853757471</v>
      </c>
      <c r="F65" s="5">
        <f>IFERROR(__xludf.DUMMYFUNCTION("FILTER(SemEval_2025_T2!$C$3:$C$132, 
  REGEXMATCH(SemEval_2025_T2!$A$3:$A$132, ""(?i)"" &amp; $F$21 &amp;""_"" &amp; $A65)
)"),0.281565625602467)</f>
        <v>0.2815656256</v>
      </c>
      <c r="G65" s="5">
        <f>IFERROR(__xludf.DUMMYFUNCTION("FILTER(SemEval_2025_T2!$D$3:$D$132, 
  REGEXMATCH(SemEval_2025_T2!$A$3:$A$132, ""(?i)"" &amp; $F$21 &amp;""_"" &amp; $A65)
)"),0.036163580571475)</f>
        <v>0.03616358057</v>
      </c>
      <c r="H65" s="5">
        <f>IFERROR(__xludf.DUMMYFUNCTION("FILTER(SemEval_2025_T2!$C$3:$C$132, 
  REGEXMATCH(SemEval_2025_T2!$A$3:$A$132, ""(?i)"" &amp; $H$21 &amp;""_"" &amp; $A65)
)"),0.264778645331276)</f>
        <v>0.2647786453</v>
      </c>
      <c r="I65" s="5">
        <f>IFERROR(__xludf.DUMMYFUNCTION("FILTER(SemEval_2025_T2!$D$3:$D$132, 
  REGEXMATCH(SemEval_2025_T2!$A$3:$A$132, ""(?i)"" &amp; $H$21 &amp;""_"" &amp; $A65)
)"),0.056234737192631)</f>
        <v>0.05623473719</v>
      </c>
      <c r="J65" s="8"/>
      <c r="K65" s="8"/>
      <c r="L65" s="8"/>
    </row>
    <row r="66">
      <c r="A66" s="13" t="s">
        <v>40</v>
      </c>
      <c r="B66" s="5" t="str">
        <f t="shared" ref="B66:I66" si="47">IF(B65="", "", B$60-B65)</f>
        <v/>
      </c>
      <c r="C66" s="5" t="str">
        <f t="shared" si="47"/>
        <v/>
      </c>
      <c r="D66" s="5">
        <f t="shared" si="47"/>
        <v>0.07004202815</v>
      </c>
      <c r="E66" s="5">
        <f t="shared" si="47"/>
        <v>0.03051578947</v>
      </c>
      <c r="F66" s="5">
        <f t="shared" si="47"/>
        <v>0.01852116188</v>
      </c>
      <c r="G66" s="5">
        <f t="shared" si="47"/>
        <v>0.05686252128</v>
      </c>
      <c r="H66" s="5">
        <f t="shared" si="47"/>
        <v>-0.03260544894</v>
      </c>
      <c r="I66" s="5">
        <f t="shared" si="47"/>
        <v>-0.01648662332</v>
      </c>
      <c r="J66" s="24">
        <f t="shared" ref="J66:K66" si="48">AVERAGE(B66,D66,F66,H66)</f>
        <v>0.01865258036</v>
      </c>
      <c r="K66" s="24">
        <f t="shared" si="48"/>
        <v>0.02363056248</v>
      </c>
      <c r="L66" s="24">
        <f>AVERAGE(J66,K66)</f>
        <v>0.02114157142</v>
      </c>
    </row>
    <row r="67">
      <c r="A67" s="7" t="s">
        <v>59</v>
      </c>
      <c r="B67" s="5" t="str">
        <f>IFERROR(__xludf.DUMMYFUNCTION("FILTER(SemEval_2025_T2!$C$3:$C$132, 
  REGEXMATCH(SemEval_2025_T2!$A$3:$A$132, ""(?i)"" &amp; $B$21 &amp;""_"" &amp; $A67), NOT(REGEXMATCH(SemEval_2025_T2!$A$3:$A$132, ""(?i)complete""))
)"),"")</f>
        <v/>
      </c>
      <c r="C67" s="5" t="str">
        <f>IFERROR(__xludf.DUMMYFUNCTION("FILTER(SemEval_2025_T2!$D$3:$D$132, 
  REGEXMATCH(SemEval_2025_T2!$A$3:$A$132, ""(?i)"" &amp; $B$21 &amp;""_"" &amp; $A67), NOT(REGEXMATCH(SemEval_2025_T2!$A$3:$A$132, ""(?i)complete""))
)"),"")</f>
        <v/>
      </c>
      <c r="D67" s="5">
        <f>IFERROR(__xludf.DUMMYFUNCTION("FILTER(SemEval_2025_T2!$C$3:$C$132, 
  REGEXMATCH(SemEval_2025_T2!$A$3:$A$132, ""(?i)"" &amp; $D$21 &amp;""_"" &amp; $A67), NOT(REGEXMATCH(SemEval_2025_T2!$A$3:$A$132, ""(?i)complete""))
)"),0.043328475033738)</f>
        <v>0.04332847503</v>
      </c>
      <c r="E67" s="5">
        <f>IFERROR(__xludf.DUMMYFUNCTION("FILTER(SemEval_2025_T2!$D$3:$D$132, 
  REGEXMATCH(SemEval_2025_T2!$A$3:$A$132, ""(?i)"" &amp; $D$21 &amp;""_"" &amp; $A67), NOT(REGEXMATCH(SemEval_2025_T2!$A$3:$A$132, ""(?i)complete""))
)"),0.02139393997815)</f>
        <v>0.02139393998</v>
      </c>
      <c r="F67" s="5">
        <f>IFERROR(__xludf.DUMMYFUNCTION("FILTER(SemEval_2025_T2!$C$3:$C$132, 
  REGEXMATCH(SemEval_2025_T2!$A$3:$A$132, ""(?i)"" &amp; $F$21 &amp;""_"" &amp; $A67), NOT(REGEXMATCH(SemEval_2025_T2!$A$3:$A$132, ""(?i)complete""))
)"),0.273295328063749)</f>
        <v>0.2732953281</v>
      </c>
      <c r="G67" s="5">
        <f>IFERROR(__xludf.DUMMYFUNCTION("FILTER(SemEval_2025_T2!$D$3:$D$132, 
  REGEXMATCH(SemEval_2025_T2!$A$3:$A$132, ""(?i)"" &amp; $F$21 &amp;""_"" &amp; $A67), NOT(REGEXMATCH(SemEval_2025_T2!$A$3:$A$132, ""(?i)complete""))
)"),0.051847278160436)</f>
        <v>0.05184727816</v>
      </c>
      <c r="H67" s="5">
        <f>IFERROR(__xludf.DUMMYFUNCTION("FILTER(SemEval_2025_T2!$C$3:$C$132, 
  REGEXMATCH(SemEval_2025_T2!$A$3:$A$132, ""(?i)"" &amp; $H$21 &amp;""_"" &amp; $A67), NOT(REGEXMATCH(SemEval_2025_T2!$A$3:$A$132, ""(?i)complete""))
)"),0.282041790373369)</f>
        <v>0.2820417904</v>
      </c>
      <c r="I67" s="5">
        <f>IFERROR(__xludf.DUMMYFUNCTION("FILTER(SemEval_2025_T2!$D$3:$D$132, 
  REGEXMATCH(SemEval_2025_T2!$A$3:$A$132, ""(?i)"" &amp; $H$21 &amp;""_"" &amp; $A67), NOT(REGEXMATCH(SemEval_2025_T2!$A$3:$A$132, ""(?i)complete""))
)"),0.020204459867617)</f>
        <v>0.02020445987</v>
      </c>
      <c r="J67" s="8"/>
      <c r="K67" s="8"/>
      <c r="L67" s="8"/>
    </row>
    <row r="68">
      <c r="A68" s="13" t="s">
        <v>44</v>
      </c>
      <c r="B68" s="5" t="str">
        <f t="shared" ref="B68:I68" si="49">IF(B67="", "", B$60-B67)</f>
        <v/>
      </c>
      <c r="C68" s="5" t="str">
        <f t="shared" si="49"/>
        <v/>
      </c>
      <c r="D68" s="5">
        <f t="shared" si="49"/>
        <v>0.06433470214</v>
      </c>
      <c r="E68" s="5">
        <f t="shared" si="49"/>
        <v>0.0276594242</v>
      </c>
      <c r="F68" s="5">
        <f t="shared" si="49"/>
        <v>0.02679145942</v>
      </c>
      <c r="G68" s="5">
        <f t="shared" si="49"/>
        <v>0.0411788237</v>
      </c>
      <c r="H68" s="5">
        <f t="shared" si="49"/>
        <v>-0.04986859398</v>
      </c>
      <c r="I68" s="5">
        <f t="shared" si="49"/>
        <v>0.01954365401</v>
      </c>
      <c r="J68" s="24">
        <f t="shared" ref="J68:K68" si="50">AVERAGE(B68,D68,F68,H68)</f>
        <v>0.01375252253</v>
      </c>
      <c r="K68" s="24">
        <f t="shared" si="50"/>
        <v>0.02946063397</v>
      </c>
      <c r="L68" s="24">
        <f>AVERAGE(J68,K68)</f>
        <v>0.02160657825</v>
      </c>
    </row>
    <row r="69">
      <c r="A69" s="7" t="s">
        <v>60</v>
      </c>
      <c r="B69" s="5" t="str">
        <f>IFERROR(__xludf.DUMMYFUNCTION("FILTER(SemEval_2025_T2!$C$3:$C$132, 
  REGEXMATCH(SemEval_2025_T2!$A$3:$A$132, ""(?i)"" &amp; $B$21 &amp;""_"" &amp; $A69), NOT(REGEXMATCH(SemEval_2025_T2!$A$3:$A$132, ""(?i)complete""))
)"),"")</f>
        <v/>
      </c>
      <c r="C69" s="5" t="str">
        <f>IFERROR(__xludf.DUMMYFUNCTION("FILTER(SemEval_2025_T2!$D$3:$D$132, 
  REGEXMATCH(SemEval_2025_T2!$A$3:$A$132, ""(?i)"" &amp; $B$21 &amp;""_"" &amp; $A69), NOT(REGEXMATCH(SemEval_2025_T2!$A$3:$A$132, ""(?i)complete""))
)"),"")</f>
        <v/>
      </c>
      <c r="D69" s="5">
        <f>IFERROR(__xludf.DUMMYFUNCTION("FILTER(SemEval_2025_T2!$C$3:$C$132, 
  REGEXMATCH(SemEval_2025_T2!$A$3:$A$132, ""(?i)"" &amp; $D$21 &amp;""_"" &amp; $A69), NOT(REGEXMATCH(SemEval_2025_T2!$A$3:$A$132, ""(?i)complete""))
)"),0.047214796606901)</f>
        <v>0.04721479661</v>
      </c>
      <c r="E69" s="5">
        <f>IFERROR(__xludf.DUMMYFUNCTION("FILTER(SemEval_2025_T2!$D$3:$D$132, 
  REGEXMATCH(SemEval_2025_T2!$A$3:$A$132, ""(?i)"" &amp; $D$21 &amp;""_"" &amp; $A69), NOT(REGEXMATCH(SemEval_2025_T2!$A$3:$A$132, ""(?i)complete""))
)"),0.021408588779641)</f>
        <v>0.02140858878</v>
      </c>
      <c r="F69" s="5">
        <f>IFERROR(__xludf.DUMMYFUNCTION("FILTER(SemEval_2025_T2!$C$3:$C$132, 
  REGEXMATCH(SemEval_2025_T2!$A$3:$A$132, ""(?i)"" &amp; $F$21 &amp;""_"" &amp; $A69), NOT(REGEXMATCH(SemEval_2025_T2!$A$3:$A$132, ""(?i)complete""))
)"),0.273765442452284)</f>
        <v>0.2737654425</v>
      </c>
      <c r="G69" s="5">
        <f>IFERROR(__xludf.DUMMYFUNCTION("FILTER(SemEval_2025_T2!$D$3:$D$132, 
  REGEXMATCH(SemEval_2025_T2!$A$3:$A$132, ""(?i)"" &amp; $F$21 &amp;""_"" &amp; $A69), NOT(REGEXMATCH(SemEval_2025_T2!$A$3:$A$132, ""(?i)complete""))
)"),0.039897929555824)</f>
        <v>0.03989792956</v>
      </c>
      <c r="H69" s="5">
        <f>IFERROR(__xludf.DUMMYFUNCTION("FILTER(SemEval_2025_T2!$C$3:$C$132, 
  REGEXMATCH(SemEval_2025_T2!$A$3:$A$132, ""(?i)"" &amp; $H$21 &amp;""_"" &amp; $A69), NOT(REGEXMATCH(SemEval_2025_T2!$A$3:$A$132, ""(?i)complete""))
)"),0.256708971145813)</f>
        <v>0.2567089711</v>
      </c>
      <c r="I69" s="5">
        <f>IFERROR(__xludf.DUMMYFUNCTION("FILTER(SemEval_2025_T2!$D$3:$D$132, 
  REGEXMATCH(SemEval_2025_T2!$A$3:$A$132, ""(?i)"" &amp; $H$21 &amp;""_"" &amp; $A69), NOT(REGEXMATCH(SemEval_2025_T2!$A$3:$A$132, ""(?i)complete""))
)"),0.044635044959538)</f>
        <v>0.04463504496</v>
      </c>
      <c r="J69" s="8"/>
      <c r="K69" s="8"/>
      <c r="L69" s="8"/>
    </row>
    <row r="70">
      <c r="A70" s="13" t="s">
        <v>47</v>
      </c>
      <c r="B70" s="5" t="str">
        <f t="shared" ref="B70:I70" si="51">IF(B69="", "", B$60-B69)</f>
        <v/>
      </c>
      <c r="C70" s="5" t="str">
        <f t="shared" si="51"/>
        <v/>
      </c>
      <c r="D70" s="5">
        <f t="shared" si="51"/>
        <v>0.06044838057</v>
      </c>
      <c r="E70" s="5">
        <f t="shared" si="51"/>
        <v>0.0276447754</v>
      </c>
      <c r="F70" s="5">
        <f t="shared" si="51"/>
        <v>0.02632134503</v>
      </c>
      <c r="G70" s="5">
        <f t="shared" si="51"/>
        <v>0.0531281723</v>
      </c>
      <c r="H70" s="5">
        <f t="shared" si="51"/>
        <v>-0.02453577475</v>
      </c>
      <c r="I70" s="5">
        <f t="shared" si="51"/>
        <v>-0.004886931085</v>
      </c>
      <c r="J70" s="24">
        <f t="shared" ref="J70:K70" si="52">AVERAGE(B70,D70,F70,H70)</f>
        <v>0.02074465028</v>
      </c>
      <c r="K70" s="24">
        <f t="shared" si="52"/>
        <v>0.02529533887</v>
      </c>
      <c r="L70" s="24">
        <f>AVERAGE(J70,K70)</f>
        <v>0.02301999458</v>
      </c>
    </row>
    <row r="71">
      <c r="A71" s="7" t="s">
        <v>61</v>
      </c>
      <c r="B71" s="5" t="str">
        <f>IFERROR(__xludf.DUMMYFUNCTION("FILTER(SemEval_2025_T2!$C$3:$C$132, 
  REGEXMATCH(SemEval_2025_T2!$A$3:$A$132, ""(?i)"" &amp; $B$21 &amp;""_"" &amp; $A71)
)"),"")</f>
        <v/>
      </c>
      <c r="C71" s="5" t="str">
        <f>IFERROR(__xludf.DUMMYFUNCTION("FILTER(SemEval_2025_T2!$D$3:$D$132, 
  REGEXMATCH(SemEval_2025_T2!$A$3:$A$132, ""(?i)"" &amp; $B$21 &amp;""_"" &amp; $A71)
)"),"")</f>
        <v/>
      </c>
      <c r="D71" s="5" t="str">
        <f>IFERROR(__xludf.DUMMYFUNCTION("FILTER(SemEval_2025_T2!$C$3:$C$132, 
  REGEXMATCH(SemEval_2025_T2!$A$3:$A$132, ""(?i)"" &amp; $D$21 &amp;""_"" &amp; $A71)
)"),"")</f>
        <v/>
      </c>
      <c r="E71" s="5" t="str">
        <f>IFERROR(__xludf.DUMMYFUNCTION("FILTER(SemEval_2025_T2!$D$3:$D$132, 
  REGEXMATCH(SemEval_2025_T2!$A$3:$A$132, ""(?i)"" &amp; $D$21 &amp;""_"" &amp; $A71)
)"),"")</f>
        <v/>
      </c>
      <c r="F71" s="5" t="str">
        <f>IFERROR(__xludf.DUMMYFUNCTION("FILTER(SemEval_2025_T2!$C$3:$C$132, 
  REGEXMATCH(SemEval_2025_T2!$A$3:$A$132, ""(?i)"" &amp; $F$21 &amp;""_"" &amp; $A71)
)"),"")</f>
        <v/>
      </c>
      <c r="G71" s="5" t="str">
        <f>IFERROR(__xludf.DUMMYFUNCTION("FILTER(SemEval_2025_T2!$D$3:$D$132, 
  REGEXMATCH(SemEval_2025_T2!$A$3:$A$132, ""(?i)"" &amp; $F$21 &amp;""_"" &amp; $A71)
)"),"")</f>
        <v/>
      </c>
      <c r="H71" s="5">
        <f>IFERROR(__xludf.DUMMYFUNCTION("FILTER(SemEval_2025_T2!$C$3:$C$132, 
  REGEXMATCH(SemEval_2025_T2!$A$3:$A$132, ""(?i)"" &amp; $H$21 &amp;""_"" &amp; $A71)
)"),0.171234207313154)</f>
        <v>0.1712342073</v>
      </c>
      <c r="I71" s="5">
        <f>IFERROR(__xludf.DUMMYFUNCTION("FILTER(SemEval_2025_T2!$D$3:$D$132, 
  REGEXMATCH(SemEval_2025_T2!$A$3:$A$132, ""(?i)"" &amp; $H$21 &amp;""_"" &amp; $A71)
)"),0.035726314913157)</f>
        <v>0.03572631491</v>
      </c>
      <c r="J71" s="8"/>
      <c r="K71" s="8"/>
      <c r="L71" s="8"/>
    </row>
    <row r="72">
      <c r="A72" s="13" t="s">
        <v>50</v>
      </c>
      <c r="B72" s="5" t="str">
        <f t="shared" ref="B72:I72" si="53">IF(B71="", "", B$60-B71)</f>
        <v/>
      </c>
      <c r="C72" s="5" t="str">
        <f t="shared" si="53"/>
        <v/>
      </c>
      <c r="D72" s="5" t="str">
        <f t="shared" si="53"/>
        <v/>
      </c>
      <c r="E72" s="5" t="str">
        <f t="shared" si="53"/>
        <v/>
      </c>
      <c r="F72" s="5" t="str">
        <f t="shared" si="53"/>
        <v/>
      </c>
      <c r="G72" s="5" t="str">
        <f t="shared" si="53"/>
        <v/>
      </c>
      <c r="H72" s="5">
        <f t="shared" si="53"/>
        <v>0.06093898908</v>
      </c>
      <c r="I72" s="5">
        <f t="shared" si="53"/>
        <v>0.004021798961</v>
      </c>
      <c r="J72" s="8"/>
      <c r="K72" s="8"/>
      <c r="L72" s="8"/>
    </row>
    <row r="73">
      <c r="A73" s="7" t="s">
        <v>63</v>
      </c>
      <c r="B73" s="5" t="str">
        <f>IFERROR(__xludf.DUMMYFUNCTION("FILTER(SemEval_2025_T2!$C$3:$C$132, 
  REGEXMATCH(SemEval_2025_T2!$A$3:$A$132, ""(?i)"" &amp; $B$21 &amp;""_"" &amp; $A73)
)"),"")</f>
        <v/>
      </c>
      <c r="C73" s="5" t="str">
        <f>IFERROR(__xludf.DUMMYFUNCTION("FILTER(SemEval_2025_T2!$D$3:$D$132, 
  REGEXMATCH(SemEval_2025_T2!$A$3:$A$132, ""(?i)"" &amp; $B$21 &amp;""_"" &amp; $A73)
)"),"")</f>
        <v/>
      </c>
      <c r="D73" s="5" t="str">
        <f>IFERROR(__xludf.DUMMYFUNCTION("FILTER(SemEval_2025_T2!$C$3:$C$132, 
  REGEXMATCH(SemEval_2025_T2!$A$3:$A$132, ""(?i)"" &amp; $D$21 &amp;""_"" &amp; $A73)
)"),"")</f>
        <v/>
      </c>
      <c r="E73" s="5" t="str">
        <f>IFERROR(__xludf.DUMMYFUNCTION("FILTER(SemEval_2025_T2!$D$3:$D$132, 
  REGEXMATCH(SemEval_2025_T2!$A$3:$A$132, ""(?i)"" &amp; $D$21 &amp;""_"" &amp; $A73)
)"),"")</f>
        <v/>
      </c>
      <c r="F73" s="5" t="str">
        <f>IFERROR(__xludf.DUMMYFUNCTION("FILTER(SemEval_2025_T2!$C$3:$C$132, 
  REGEXMATCH(SemEval_2025_T2!$A$3:$A$132, ""(?i)"" &amp; $F$21 &amp;""_"" &amp; $A73)
)"),"")</f>
        <v/>
      </c>
      <c r="G73" s="5" t="str">
        <f>IFERROR(__xludf.DUMMYFUNCTION("FILTER(SemEval_2025_T2!$D$3:$D$132, 
  REGEXMATCH(SemEval_2025_T2!$A$3:$A$132, ""(?i)"" &amp; $F$21 &amp;""_"" &amp; $A73)
)"),"")</f>
        <v/>
      </c>
      <c r="H73" s="5">
        <f>IFERROR(__xludf.DUMMYFUNCTION("FILTER(SemEval_2025_T2!$C$3:$C$132, 
  REGEXMATCH(SemEval_2025_T2!$A$3:$A$132, ""(?i)"" &amp; $H$21 &amp;""_"" &amp; $A73)
)"),0.228446018893387)</f>
        <v>0.2284460189</v>
      </c>
      <c r="I73" s="5">
        <f>IFERROR(__xludf.DUMMYFUNCTION("FILTER(SemEval_2025_T2!$D$3:$D$132, 
  REGEXMATCH(SemEval_2025_T2!$A$3:$A$132, ""(?i)"" &amp; $H$21 &amp;""_"" &amp; $A73)
)"),0.030942465137201)</f>
        <v>0.03094246514</v>
      </c>
      <c r="J73" s="8"/>
      <c r="K73" s="8"/>
      <c r="L73" s="8"/>
    </row>
    <row r="74">
      <c r="A74" s="13" t="s">
        <v>53</v>
      </c>
      <c r="B74" s="5" t="str">
        <f t="shared" ref="B74:I74" si="54">IF(B73="", "", B$60-B73)</f>
        <v/>
      </c>
      <c r="C74" s="5" t="str">
        <f t="shared" si="54"/>
        <v/>
      </c>
      <c r="D74" s="5" t="str">
        <f t="shared" si="54"/>
        <v/>
      </c>
      <c r="E74" s="5" t="str">
        <f t="shared" si="54"/>
        <v/>
      </c>
      <c r="F74" s="5" t="str">
        <f t="shared" si="54"/>
        <v/>
      </c>
      <c r="G74" s="5" t="str">
        <f t="shared" si="54"/>
        <v/>
      </c>
      <c r="H74" s="5">
        <f t="shared" si="54"/>
        <v>0.003727177501</v>
      </c>
      <c r="I74" s="5">
        <f t="shared" si="54"/>
        <v>0.008805648737</v>
      </c>
      <c r="J74" s="8"/>
      <c r="K74" s="8"/>
      <c r="L74" s="8"/>
    </row>
    <row r="75">
      <c r="B75" s="24">
        <f t="shared" ref="B75:I75" si="55">AVERAGE(B62,B64,B66,B68,B70,B72,B74)</f>
        <v>0.02770111906</v>
      </c>
      <c r="C75" s="24">
        <f t="shared" si="55"/>
        <v>0.01375133825</v>
      </c>
      <c r="D75" s="24">
        <f t="shared" si="55"/>
        <v>0.05903091896</v>
      </c>
      <c r="E75" s="24">
        <f t="shared" si="55"/>
        <v>0.02564448557</v>
      </c>
      <c r="F75" s="24">
        <f t="shared" si="55"/>
        <v>0.02481251526</v>
      </c>
      <c r="G75" s="24">
        <f t="shared" si="55"/>
        <v>0.04718261739</v>
      </c>
      <c r="H75" s="24">
        <f t="shared" si="55"/>
        <v>-0.00913789139</v>
      </c>
      <c r="I75" s="24">
        <f t="shared" si="55"/>
        <v>0.003847003418</v>
      </c>
    </row>
    <row r="76">
      <c r="B76" s="24">
        <f>AVERAGE(B75,C75)</f>
        <v>0.02072622865</v>
      </c>
      <c r="C76" s="8"/>
      <c r="D76" s="24">
        <f>AVERAGE(D75,E75)</f>
        <v>0.04233770227</v>
      </c>
      <c r="E76" s="8"/>
      <c r="F76" s="24">
        <f>AVERAGE(F75,G75)</f>
        <v>0.03599756632</v>
      </c>
      <c r="G76" s="8"/>
      <c r="H76" s="24">
        <f>AVERAGE(H75,I75)</f>
        <v>-0.002645443986</v>
      </c>
      <c r="I76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1">
      <c r="A1" s="1" t="s">
        <v>0</v>
      </c>
      <c r="B1" s="2" t="s">
        <v>2</v>
      </c>
      <c r="M1" s="3" t="s">
        <v>6</v>
      </c>
      <c r="P1" s="6" t="s">
        <v>7</v>
      </c>
      <c r="Q1" s="6" t="s">
        <v>8</v>
      </c>
      <c r="R1" s="6" t="s">
        <v>9</v>
      </c>
      <c r="S1" s="6" t="s">
        <v>10</v>
      </c>
      <c r="T1" s="6" t="s">
        <v>11</v>
      </c>
      <c r="U1" s="6" t="s">
        <v>12</v>
      </c>
    </row>
    <row r="2">
      <c r="A2" s="1" t="s">
        <v>14</v>
      </c>
      <c r="B2" s="7" t="s">
        <v>13</v>
      </c>
      <c r="D2" s="1" t="s">
        <v>15</v>
      </c>
      <c r="E2" s="5"/>
      <c r="F2" s="1" t="s">
        <v>16</v>
      </c>
      <c r="G2" s="5"/>
      <c r="H2" s="7" t="s">
        <v>17</v>
      </c>
      <c r="I2" s="5"/>
      <c r="L2" s="9" t="s">
        <v>19</v>
      </c>
      <c r="M2" s="10"/>
      <c r="N2" s="10"/>
      <c r="O2" s="17">
        <f>COUNTIF(B5:I5,"&gt;0") + COUNTIF(B7:I7,"&gt;0") + COUNTIF(B9:I9,"&gt;0") + COUNTIF(B11:I11,"&gt;0") + COUNTIF(B13:I13,"&gt;0") + COUNTIF(B15:I15,"&gt;0") + COUNTIF(B24:I24,"&gt;0") + COUNTIF(B26:I26,"&gt;0") + COUNTIF(B28:I28,"&gt;0") + COUNTIF(B30:I30,"&gt;0") + COUNTIF(B32:I32,"&gt;0") + COUNTIF(B34:I34,"&gt;0")  + COUNTIF(B41:I41,"&gt;0") + COUNTIF(B43:I43,"&gt;0") + COUNTIF(B45:I45,"&gt;0") + COUNTIF(B47:I47,"&gt;0") + COUNTIF(B49:I49,"&gt;0") + COUNTIF(B51:I51,"&gt;0") + COUNTIF(B58:I58,"&gt;0") + COUNTIF(B60:I60,"&gt;0") + COUNTIF(B62:I62,"&gt;0") + COUNTIF(B64:I64,"&gt;0") + COUNTIF(B66:I66,"&gt;0") + COUNTIF(B68:I68,"&gt;0") </f>
        <v>143</v>
      </c>
      <c r="P2" s="7">
        <v>154.0</v>
      </c>
      <c r="Q2" s="7">
        <v>144.0</v>
      </c>
      <c r="R2" s="7">
        <v>160.0</v>
      </c>
      <c r="S2" s="7">
        <v>146.0</v>
      </c>
      <c r="T2" s="7">
        <v>143.0</v>
      </c>
      <c r="U2" s="18">
        <f t="shared" ref="U2:U3" si="1">SUM(P2:T2)</f>
        <v>747</v>
      </c>
    </row>
    <row r="3">
      <c r="A3" s="7" t="s">
        <v>26</v>
      </c>
      <c r="B3" s="5">
        <f>IFERROR(__xludf.DUMMYFUNCTION("FILTER(Dipromats!C$3:C$101, 
  REGEXMATCH(Dipromats!$A$3:$A$101, ""(?i)"" &amp; $A3)
)"),0.638654812715595)</f>
        <v>0.6386548127</v>
      </c>
      <c r="C3" s="5">
        <f>IFERROR(__xludf.DUMMYFUNCTION("FILTER(Dipromats!D$3:D$101, 
  REGEXMATCH(Dipromats!$A$3:$A$101, ""(?i)"" &amp; $A3)
)"),0.613462791622532)</f>
        <v>0.6134627916</v>
      </c>
      <c r="D3" s="5">
        <f>IFERROR(__xludf.DUMMYFUNCTION("FILTER(Dipromats!E$3:E$101, 
  REGEXMATCH(Dipromats!$A$3:$A$101, ""(?i)"" &amp; $A3)
)"),0.624175131263906)</f>
        <v>0.6241751313</v>
      </c>
      <c r="E3" s="5">
        <f>IFERROR(__xludf.DUMMYFUNCTION("FILTER(Dipromats!F$3:F$101, 
  REGEXMATCH(Dipromats!$A$3:$A$101, ""(?i)"" &amp; $A3)
)"),0.593223331315557)</f>
        <v>0.5932233313</v>
      </c>
      <c r="F3" s="5">
        <f>IFERROR(__xludf.DUMMYFUNCTION("FILTER(Dipromats!G$3:G$101, 
  REGEXMATCH(Dipromats!$A$3:$A$101, ""(?i)"" &amp; $A3)
)"),0.572478446675392)</f>
        <v>0.5724784467</v>
      </c>
      <c r="G3" s="5">
        <f>IFERROR(__xludf.DUMMYFUNCTION("FILTER(Dipromats!H$3:H$101, 
  REGEXMATCH(Dipromats!$A$3:$A$101, ""(?i)"" &amp; $A3)
)"),0.534765902917699)</f>
        <v>0.5347659029</v>
      </c>
      <c r="H3" s="5">
        <f>IFERROR(__xludf.DUMMYFUNCTION("FILTER(Dipromats!I$3:I$101, 
  REGEXMATCH(Dipromats!$A$3:$A$101, ""(?i)"" &amp; $A3)
)"),0.335225441305954)</f>
        <v>0.3352254413</v>
      </c>
      <c r="I3" s="5">
        <f>IFERROR(__xludf.DUMMYFUNCTION("FILTER(Dipromats!J$3:J$101, 
  REGEXMATCH(Dipromats!$A$3:$A$101, ""(?i)"" &amp; $A3)
)"),0.352567599779278)</f>
        <v>0.3525675998</v>
      </c>
      <c r="L3" s="22" t="s">
        <v>33</v>
      </c>
      <c r="M3" s="23"/>
      <c r="N3" s="23"/>
      <c r="O3" s="28">
        <f>COUNTIF(B5:I5,"&lt;0") + COUNTIF(B7:I7,"&lt;0") + COUNTIF(B9:I9,"&lt;0") + COUNTIF(B11:I11,"&lt;0") + COUNTIF(B13:I13,"&lt;0") + COUNTIF(B15:I15,"&lt;0") + COUNTIF(B24:I24,"&lt;0") + COUNTIF(B26:I26,"&lt;0") + COUNTIF(B28:I28,"&lt;0") + COUNTIF(B30:I30,"&lt;0") + COUNTIF(B32:I32,"&lt;0") + COUNTIF(B34:I34,"&lt;0")  + COUNTIF(B41:I41,"&lt;0") + COUNTIF(B43:I43,"&lt;0") + COUNTIF(B45:I45,"&lt;0") + COUNTIF(B47:I47,"&lt;0") + COUNTIF(B49:I49,"&lt;0") + COUNTIF(B51:I51,"&lt;0") + COUNTIF(B58:I58,"&lt;0") + COUNTIF(B60:I60,"&lt;0") + COUNTIF(B62:I62,"&lt;0") + COUNTIF(B64:I64,"&lt;0") + COUNTIF(B66:I66,"&lt;0") + COUNTIF(B68:I68,"&lt;0") </f>
        <v>29</v>
      </c>
      <c r="P3" s="11">
        <v>20.0</v>
      </c>
      <c r="Q3" s="11">
        <v>28.0</v>
      </c>
      <c r="R3" s="11">
        <v>12.0</v>
      </c>
      <c r="S3" s="11">
        <v>26.0</v>
      </c>
      <c r="T3" s="11">
        <v>29.0</v>
      </c>
      <c r="U3" s="29">
        <f t="shared" si="1"/>
        <v>115</v>
      </c>
    </row>
    <row r="4">
      <c r="A4" s="7" t="s">
        <v>20</v>
      </c>
      <c r="B4" s="5">
        <f>IFERROR(__xludf.DUMMYFUNCTION("FILTER(Dipromats!C$3:C$101, 
  REGEXMATCH(Dipromats!$A$3:$A$101, ""(?i)"" &amp; $A4)
)"),0.621040280030557)</f>
        <v>0.62104028</v>
      </c>
      <c r="C4" s="5">
        <f>IFERROR(__xludf.DUMMYFUNCTION("FILTER(Dipromats!D$3:D$101, 
  REGEXMATCH(Dipromats!$A$3:$A$101, ""(?i)"" &amp; $A4)
)"),0.571358654012934)</f>
        <v>0.571358654</v>
      </c>
      <c r="D4" s="5">
        <f>IFERROR(__xludf.DUMMYFUNCTION("FILTER(Dipromats!E$3:E$101, 
  REGEXMATCH(Dipromats!$A$3:$A$101, ""(?i)"" &amp; $A4)
)"),0.57620875615112)</f>
        <v>0.5762087562</v>
      </c>
      <c r="E4" s="5">
        <f>IFERROR(__xludf.DUMMYFUNCTION("FILTER(Dipromats!F$3:F$101, 
  REGEXMATCH(Dipromats!$A$3:$A$101, ""(?i)"" &amp; $A4)
)"),0.531274741257453)</f>
        <v>0.5312747413</v>
      </c>
      <c r="F4" s="5">
        <f>IFERROR(__xludf.DUMMYFUNCTION("FILTER(Dipromats!G$3:G$101, 
  REGEXMATCH(Dipromats!$A$3:$A$101, ""(?i)"" &amp; $A4)
)"),0.506150051999198)</f>
        <v>0.506150052</v>
      </c>
      <c r="G4" s="5">
        <f>IFERROR(__xludf.DUMMYFUNCTION("FILTER(Dipromats!H$3:H$101, 
  REGEXMATCH(Dipromats!$A$3:$A$101, ""(?i)"" &amp; $A4)
)"),0.483697863941618)</f>
        <v>0.4836978639</v>
      </c>
      <c r="H4" s="5">
        <f>IFERROR(__xludf.DUMMYFUNCTION("FILTER(Dipromats!I$3:I$101, 
  REGEXMATCH(Dipromats!$A$3:$A$101, ""(?i)"" &amp; $A4)
)"),0.286129356930116)</f>
        <v>0.2861293569</v>
      </c>
      <c r="I4" s="5">
        <f>IFERROR(__xludf.DUMMYFUNCTION("FILTER(Dipromats!J$3:J$101, 
  REGEXMATCH(Dipromats!$A$3:$A$101, ""(?i)"" &amp; $A4)
)"),0.29837198245895)</f>
        <v>0.2983719825</v>
      </c>
      <c r="L4" s="22" t="s">
        <v>41</v>
      </c>
      <c r="M4" s="23"/>
      <c r="N4" s="23"/>
      <c r="O4" s="28">
        <f>100*O2/(O3+O2)</f>
        <v>83.13953488</v>
      </c>
      <c r="P4" s="11">
        <v>88.50574712643679</v>
      </c>
      <c r="Q4" s="11">
        <v>83.72093023255815</v>
      </c>
      <c r="R4" s="11">
        <v>93.02325581395348</v>
      </c>
      <c r="S4" s="11">
        <v>84.88372093023256</v>
      </c>
      <c r="T4" s="11">
        <v>83.13953488372093</v>
      </c>
      <c r="U4" s="31">
        <f>(U2*100)/(U2+U3)</f>
        <v>86.65893271</v>
      </c>
    </row>
    <row r="5">
      <c r="A5" s="13" t="s">
        <v>37</v>
      </c>
      <c r="B5" s="14">
        <f t="shared" ref="B5:I5" si="2">B3-B4</f>
        <v>0.01761453269</v>
      </c>
      <c r="C5" s="14">
        <f t="shared" si="2"/>
        <v>0.04210413761</v>
      </c>
      <c r="D5" s="14">
        <f t="shared" si="2"/>
        <v>0.04796637511</v>
      </c>
      <c r="E5" s="14">
        <f t="shared" si="2"/>
        <v>0.06194859006</v>
      </c>
      <c r="F5" s="14">
        <f t="shared" si="2"/>
        <v>0.06632839468</v>
      </c>
      <c r="G5" s="14">
        <f t="shared" si="2"/>
        <v>0.05106803898</v>
      </c>
      <c r="H5" s="14">
        <f t="shared" si="2"/>
        <v>0.04909608438</v>
      </c>
      <c r="I5" s="14">
        <f t="shared" si="2"/>
        <v>0.05419561732</v>
      </c>
      <c r="J5" s="24">
        <f>AVERAGE(B5:I5)</f>
        <v>0.04879022135</v>
      </c>
      <c r="K5" s="15"/>
      <c r="L5" s="36" t="s">
        <v>42</v>
      </c>
      <c r="M5" s="38"/>
      <c r="N5" s="38"/>
      <c r="O5" s="39">
        <f>100*O3/(O2+O3)</f>
        <v>16.86046512</v>
      </c>
      <c r="P5" s="15">
        <v>11.494252873563218</v>
      </c>
      <c r="Q5" s="15">
        <v>16.27906976744186</v>
      </c>
      <c r="R5" s="15">
        <v>6.976744186046512</v>
      </c>
      <c r="S5" s="15">
        <v>15.116279069767442</v>
      </c>
      <c r="T5" s="15">
        <v>16.86046511627907</v>
      </c>
      <c r="U5" s="31">
        <f>100-U4</f>
        <v>13.34106729</v>
      </c>
      <c r="V5" s="15"/>
      <c r="W5" s="15"/>
      <c r="X5" s="15"/>
      <c r="Y5" s="15"/>
      <c r="Z5" s="15"/>
    </row>
    <row r="6">
      <c r="A6" s="7" t="s">
        <v>22</v>
      </c>
      <c r="B6" s="5">
        <f>IFERROR(__xludf.DUMMYFUNCTION("FILTER(Dipromats!C$3:C$101, 
  REGEXMATCH(Dipromats!$A$3:$A$101, ""(?i)"" &amp; $A6)
)"),0.608500522443986)</f>
        <v>0.6085005224</v>
      </c>
      <c r="C6" s="5">
        <f>IFERROR(__xludf.DUMMYFUNCTION("FILTER(Dipromats!D$3:D$101, 
  REGEXMATCH(Dipromats!$A$3:$A$101, ""(?i)"" &amp; $A6)
)"),0.565727300132339)</f>
        <v>0.5657273001</v>
      </c>
      <c r="D6" s="5">
        <f>IFERROR(__xludf.DUMMYFUNCTION("FILTER(Dipromats!E$3:E$101, 
  REGEXMATCH(Dipromats!$A$3:$A$101, ""(?i)"" &amp; $A6)
)"),0.583927636565709)</f>
        <v>0.5839276366</v>
      </c>
      <c r="E6" s="5">
        <f>IFERROR(__xludf.DUMMYFUNCTION("FILTER(Dipromats!F$3:F$101, 
  REGEXMATCH(Dipromats!$A$3:$A$101, ""(?i)"" &amp; $A6)
)"),0.523712547832867)</f>
        <v>0.5237125478</v>
      </c>
      <c r="F6" s="5">
        <f>IFERROR(__xludf.DUMMYFUNCTION("FILTER(Dipromats!G$3:G$101, 
  REGEXMATCH(Dipromats!$A$3:$A$101, ""(?i)"" &amp; $A6)
)"),0.524902705155418)</f>
        <v>0.5249027052</v>
      </c>
      <c r="G6" s="5">
        <f>IFERROR(__xludf.DUMMYFUNCTION("FILTER(Dipromats!H$3:H$101, 
  REGEXMATCH(Dipromats!$A$3:$A$101, ""(?i)"" &amp; $A6)
)"),0.490732657736496)</f>
        <v>0.4907326577</v>
      </c>
      <c r="H6" s="5">
        <f>IFERROR(__xludf.DUMMYFUNCTION("FILTER(Dipromats!I$3:I$101, 
  REGEXMATCH(Dipromats!$A$3:$A$101, ""(?i)"" &amp; $A6)
)"),0.267289569310955)</f>
        <v>0.2672895693</v>
      </c>
      <c r="I6" s="5">
        <f>IFERROR(__xludf.DUMMYFUNCTION("FILTER(Dipromats!J$3:J$101, 
  REGEXMATCH(Dipromats!$A$3:$A$101, ""(?i)"" &amp; $A6)
)"),0.297865824391553)</f>
        <v>0.2978658244</v>
      </c>
      <c r="J6" s="8"/>
    </row>
    <row r="7">
      <c r="A7" s="13" t="s">
        <v>40</v>
      </c>
      <c r="B7" s="14">
        <f t="shared" ref="B7:I7" si="3">B3-B6</f>
        <v>0.03015429027</v>
      </c>
      <c r="C7" s="14">
        <f t="shared" si="3"/>
        <v>0.04773549149</v>
      </c>
      <c r="D7" s="14">
        <f t="shared" si="3"/>
        <v>0.0402474947</v>
      </c>
      <c r="E7" s="14">
        <f t="shared" si="3"/>
        <v>0.06951078348</v>
      </c>
      <c r="F7" s="14">
        <f t="shared" si="3"/>
        <v>0.04757574152</v>
      </c>
      <c r="G7" s="14">
        <f t="shared" si="3"/>
        <v>0.04403324518</v>
      </c>
      <c r="H7" s="14">
        <f t="shared" si="3"/>
        <v>0.06793587199</v>
      </c>
      <c r="I7" s="14">
        <f t="shared" si="3"/>
        <v>0.05470177539</v>
      </c>
      <c r="J7" s="24">
        <f>AVERAGE(B7:I7)</f>
        <v>0.05023683675</v>
      </c>
      <c r="K7" s="15"/>
      <c r="L7" s="7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1" t="s">
        <v>24</v>
      </c>
      <c r="B8" s="5">
        <f>IFERROR(__xludf.DUMMYFUNCTION("FILTER(Dipromats!C$3:C$101, 
  REGEXMATCH(Dipromats!$A$3:$A$101, ""(?i)"" &amp; $A8), NOT(REGEXMATCH(Dipromats!$A$3:$A$101, ""(?i)complete""))
)"),0.631787462260468)</f>
        <v>0.6317874623</v>
      </c>
      <c r="C8" s="5">
        <f>IFERROR(__xludf.DUMMYFUNCTION("FILTER(Dipromats!D$3:D$101, 
  REGEXMATCH(Dipromats!$A$3:$A$101, ""(?i)"" &amp; $A8), NOT(REGEXMATCH(Dipromats!$A$3:$A$101, ""(?i)complete""))
)"),0.618216042484733)</f>
        <v>0.6182160425</v>
      </c>
      <c r="D8" s="5">
        <f>IFERROR(__xludf.DUMMYFUNCTION("FILTER(Dipromats!E$3:E$101, 
  REGEXMATCH(Dipromats!$A$3:$A$101, ""(?i)"" &amp; $A8), NOT(REGEXMATCH(Dipromats!$A$3:$A$101, ""(?i)complete""))
)"),0.586439666342686)</f>
        <v>0.5864396663</v>
      </c>
      <c r="E8" s="5">
        <f>IFERROR(__xludf.DUMMYFUNCTION("FILTER(Dipromats!F$3:F$101, 
  REGEXMATCH(Dipromats!$A$3:$A$101, ""(?i)"" &amp; $A8), NOT(REGEXMATCH(Dipromats!$A$3:$A$101, ""(?i)complete""))
)"),0.569895182181278)</f>
        <v>0.5698951822</v>
      </c>
      <c r="F8" s="5">
        <f>IFERROR(__xludf.DUMMYFUNCTION("FILTER(Dipromats!G$3:G$101, 
  REGEXMATCH(Dipromats!$A$3:$A$101, ""(?i)"" &amp; $A8), NOT(REGEXMATCH(Dipromats!$A$3:$A$101, ""(?i)complete""))
)"),0.546258468663482)</f>
        <v>0.5462584687</v>
      </c>
      <c r="G8" s="5">
        <f>IFERROR(__xludf.DUMMYFUNCTION("FILTER(Dipromats!H$3:H$101, 
  REGEXMATCH(Dipromats!$A$3:$A$101, ""(?i)"" &amp; $A8), NOT(REGEXMATCH(Dipromats!$A$3:$A$101, ""(?i)complete""))
)"),0.512012998082786)</f>
        <v>0.5120129981</v>
      </c>
      <c r="H8" s="5">
        <f>IFERROR(__xludf.DUMMYFUNCTION("FILTER(Dipromats!I$3:I$101, 
  REGEXMATCH(Dipromats!$A$3:$A$101, ""(?i)"" &amp; $A8), NOT(REGEXMATCH(Dipromats!$A$3:$A$101, ""(?i)complete""))
)"),0.288938661231155)</f>
        <v>0.2889386612</v>
      </c>
      <c r="I8" s="5">
        <f>IFERROR(__xludf.DUMMYFUNCTION("FILTER(Dipromats!J$3:J$101, 
  REGEXMATCH(Dipromats!$A$3:$A$101, ""(?i)"" &amp; $A8), NOT(REGEXMATCH(Dipromats!$A$3:$A$101, ""(?i)complete""))
)"),0.329512617172151)</f>
        <v>0.3295126172</v>
      </c>
      <c r="J8" s="8"/>
      <c r="L8" s="7"/>
    </row>
    <row r="9">
      <c r="A9" s="13" t="s">
        <v>44</v>
      </c>
      <c r="B9" s="14">
        <f t="shared" ref="B9:I9" si="4">B3-B8</f>
        <v>0.006867350455</v>
      </c>
      <c r="C9" s="14">
        <f t="shared" si="4"/>
        <v>-0.004753250862</v>
      </c>
      <c r="D9" s="14">
        <f t="shared" si="4"/>
        <v>0.03773546492</v>
      </c>
      <c r="E9" s="14">
        <f t="shared" si="4"/>
        <v>0.02332814913</v>
      </c>
      <c r="F9" s="14">
        <f t="shared" si="4"/>
        <v>0.02621997801</v>
      </c>
      <c r="G9" s="14">
        <f t="shared" si="4"/>
        <v>0.02275290483</v>
      </c>
      <c r="H9" s="14">
        <f t="shared" si="4"/>
        <v>0.04628678007</v>
      </c>
      <c r="I9" s="14">
        <f t="shared" si="4"/>
        <v>0.02305498261</v>
      </c>
      <c r="J9" s="24">
        <f>AVERAGE(B9:I9)</f>
        <v>0.0226865449</v>
      </c>
      <c r="K9" s="15"/>
      <c r="L9" s="7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1" t="s">
        <v>25</v>
      </c>
      <c r="B10" s="5">
        <f>IFERROR(__xludf.DUMMYFUNCTION("FILTER(Dipromats!C$3:C$101, 
  REGEXMATCH(Dipromats!$A$3:$A$101, ""(?i)"" &amp; $A10), NOT(REGEXMATCH(Dipromats!$A$3:$A$101, ""(?i)complete""))
)"),0.640317661477475)</f>
        <v>0.6403176615</v>
      </c>
      <c r="C10" s="5">
        <f>IFERROR(__xludf.DUMMYFUNCTION("FILTER(Dipromats!D$3:D$101, 
  REGEXMATCH(Dipromats!$A$3:$A$101, ""(?i)"" &amp; $A10), NOT(REGEXMATCH(Dipromats!$A$3:$A$101, ""(?i)complete""))
)"),0.61354665612827)</f>
        <v>0.6135466561</v>
      </c>
      <c r="D10" s="5">
        <f>IFERROR(__xludf.DUMMYFUNCTION("FILTER(Dipromats!E$3:E$101, 
  REGEXMATCH(Dipromats!$A$3:$A$101, ""(?i)"" &amp; $A10), NOT(REGEXMATCH(Dipromats!$A$3:$A$101, ""(?i)complete""))
)"),0.613750839783722)</f>
        <v>0.6137508398</v>
      </c>
      <c r="E10" s="5">
        <f>IFERROR(__xludf.DUMMYFUNCTION("FILTER(Dipromats!F$3:F$101, 
  REGEXMATCH(Dipromats!$A$3:$A$101, ""(?i)"" &amp; $A10), NOT(REGEXMATCH(Dipromats!$A$3:$A$101, ""(?i)complete""))
)"),0.578681917130575)</f>
        <v>0.5786819171</v>
      </c>
      <c r="F10" s="5">
        <f>IFERROR(__xludf.DUMMYFUNCTION("FILTER(Dipromats!G$3:G$101, 
  REGEXMATCH(Dipromats!$A$3:$A$101, ""(?i)"" &amp; $A10), NOT(REGEXMATCH(Dipromats!$A$3:$A$101, ""(?i)complete""))
)"),0.545763744390765)</f>
        <v>0.5457637444</v>
      </c>
      <c r="G10" s="5">
        <f>IFERROR(__xludf.DUMMYFUNCTION("FILTER(Dipromats!H$3:H$101, 
  REGEXMATCH(Dipromats!$A$3:$A$101, ""(?i)"" &amp; $A10), NOT(REGEXMATCH(Dipromats!$A$3:$A$101, ""(?i)complete""))
)"),0.524262991587101)</f>
        <v>0.5242629916</v>
      </c>
      <c r="H10" s="5">
        <f>IFERROR(__xludf.DUMMYFUNCTION("FILTER(Dipromats!I$3:I$101, 
  REGEXMATCH(Dipromats!$A$3:$A$101, ""(?i)"" &amp; $A10), NOT(REGEXMATCH(Dipromats!$A$3:$A$101, ""(?i)complete""))
)"),0.284838731621514)</f>
        <v>0.2848387316</v>
      </c>
      <c r="I10" s="5">
        <f>IFERROR(__xludf.DUMMYFUNCTION("FILTER(Dipromats!J$3:J$101, 
  REGEXMATCH(Dipromats!$A$3:$A$101, ""(?i)"" &amp; $A10), NOT(REGEXMATCH(Dipromats!$A$3:$A$101, ""(?i)complete""))
)"),0.300772443809359)</f>
        <v>0.3007724438</v>
      </c>
      <c r="J10" s="8"/>
      <c r="L10" s="7"/>
    </row>
    <row r="11">
      <c r="A11" s="13" t="s">
        <v>47</v>
      </c>
      <c r="B11" s="14">
        <f t="shared" ref="B11:I11" si="5">B3-B10</f>
        <v>-0.001662848762</v>
      </c>
      <c r="C11" s="14">
        <f t="shared" si="5"/>
        <v>-0.00008386450574</v>
      </c>
      <c r="D11" s="14">
        <f t="shared" si="5"/>
        <v>0.01042429148</v>
      </c>
      <c r="E11" s="14">
        <f t="shared" si="5"/>
        <v>0.01454141418</v>
      </c>
      <c r="F11" s="14">
        <f t="shared" si="5"/>
        <v>0.02671470228</v>
      </c>
      <c r="G11" s="14">
        <f t="shared" si="5"/>
        <v>0.01050291133</v>
      </c>
      <c r="H11" s="14">
        <f t="shared" si="5"/>
        <v>0.05038670968</v>
      </c>
      <c r="I11" s="14">
        <f t="shared" si="5"/>
        <v>0.05179515597</v>
      </c>
      <c r="J11" s="24">
        <f>AVERAGE(B11:I11)</f>
        <v>0.02032730896</v>
      </c>
      <c r="K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1" t="s">
        <v>28</v>
      </c>
      <c r="B12" s="5">
        <f>IFERROR(__xludf.DUMMYFUNCTION("FILTER(Dipromats!C$3:C$101, 
  REGEXMATCH(Dipromats!$A$3:$A$101, ""(?i)"" &amp; $A12)
)"),0.632355163340107)</f>
        <v>0.6323551633</v>
      </c>
      <c r="C12" s="5">
        <f>IFERROR(__xludf.DUMMYFUNCTION("FILTER(Dipromats!D$3:D$101, 
  REGEXMATCH(Dipromats!$A$3:$A$101, ""(?i)"" &amp; $A12)
)"),0.606225827187698)</f>
        <v>0.6062258272</v>
      </c>
      <c r="D12" s="5">
        <f>IFERROR(__xludf.DUMMYFUNCTION("FILTER(Dipromats!E$3:E$101, 
  REGEXMATCH(Dipromats!$A$3:$A$101, ""(?i)"" &amp; $A12)
)"),0.535090217689681)</f>
        <v>0.5350902177</v>
      </c>
      <c r="E12" s="5">
        <f>IFERROR(__xludf.DUMMYFUNCTION("FILTER(Dipromats!F$3:F$101, 
  REGEXMATCH(Dipromats!$A$3:$A$101, ""(?i)"" &amp; $A12)
)"),0.477750371254548)</f>
        <v>0.4777503713</v>
      </c>
      <c r="F12" s="5">
        <f>IFERROR(__xludf.DUMMYFUNCTION("FILTER(Dipromats!G$3:G$101, 
  REGEXMATCH(Dipromats!$A$3:$A$101, ""(?i)"" &amp; $A12)
)"),0.457442229094388)</f>
        <v>0.4574422291</v>
      </c>
      <c r="G12" s="5">
        <f>IFERROR(__xludf.DUMMYFUNCTION("FILTER(Dipromats!H$3:H$101, 
  REGEXMATCH(Dipromats!$A$3:$A$101, ""(?i)"" &amp; $A12)
)"),0.427462251024684)</f>
        <v>0.427462251</v>
      </c>
      <c r="H12" s="5">
        <f>IFERROR(__xludf.DUMMYFUNCTION("FILTER(Dipromats!I$3:I$101, 
  REGEXMATCH(Dipromats!$A$3:$A$101, ""(?i)"" &amp; $A12)
)"),0.245367655632764)</f>
        <v>0.2453676556</v>
      </c>
      <c r="I12" s="5">
        <f>IFERROR(__xludf.DUMMYFUNCTION("FILTER(Dipromats!J$3:J$101, 
  REGEXMATCH(Dipromats!$A$3:$A$101, ""(?i)"" &amp; $A12)
)"),0.282654794342775)</f>
        <v>0.2826547943</v>
      </c>
      <c r="J12" s="8"/>
    </row>
    <row r="13">
      <c r="A13" s="13" t="s">
        <v>50</v>
      </c>
      <c r="B13" s="14">
        <f t="shared" ref="B13:I13" si="6">B3-B12</f>
        <v>0.006299649375</v>
      </c>
      <c r="C13" s="14">
        <f t="shared" si="6"/>
        <v>0.007236964435</v>
      </c>
      <c r="D13" s="14">
        <f t="shared" si="6"/>
        <v>0.08908491357</v>
      </c>
      <c r="E13" s="14">
        <f t="shared" si="6"/>
        <v>0.1154729601</v>
      </c>
      <c r="F13" s="14">
        <f t="shared" si="6"/>
        <v>0.1150362176</v>
      </c>
      <c r="G13" s="14">
        <f t="shared" si="6"/>
        <v>0.1073036519</v>
      </c>
      <c r="H13" s="14">
        <f t="shared" si="6"/>
        <v>0.08985778567</v>
      </c>
      <c r="I13" s="14">
        <f t="shared" si="6"/>
        <v>0.06991280544</v>
      </c>
      <c r="J13" s="24">
        <f>AVERAGE(B13:I13)</f>
        <v>0.0750256185</v>
      </c>
      <c r="K13" s="15"/>
      <c r="L13" s="7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1" t="s">
        <v>29</v>
      </c>
      <c r="B14" s="5">
        <f>IFERROR(__xludf.DUMMYFUNCTION("FILTER(Dipromats!C$3:C$101, 
  REGEXMATCH(Dipromats!$A$3:$A$101, ""(?i)"" &amp; $A14)
)"),0.626620634285161)</f>
        <v>0.6266206343</v>
      </c>
      <c r="C14" s="5">
        <f>IFERROR(__xludf.DUMMYFUNCTION("FILTER(Dipromats!D$3:D$101, 
  REGEXMATCH(Dipromats!$A$3:$A$101, ""(?i)"" &amp; $A14)
)"),0.604801060798369)</f>
        <v>0.6048010608</v>
      </c>
      <c r="D14" s="5">
        <f>IFERROR(__xludf.DUMMYFUNCTION("FILTER(Dipromats!E$3:E$101, 
  REGEXMATCH(Dipromats!$A$3:$A$101, ""(?i)"" &amp; $A14)
)"),0.274748595417237)</f>
        <v>0.2747485954</v>
      </c>
      <c r="E14" s="5">
        <f>IFERROR(__xludf.DUMMYFUNCTION("FILTER(Dipromats!F$3:F$101, 
  REGEXMATCH(Dipromats!$A$3:$A$101, ""(?i)"" &amp; $A14)
)"),0.380177808740426)</f>
        <v>0.3801778087</v>
      </c>
      <c r="F14" s="5">
        <f>IFERROR(__xludf.DUMMYFUNCTION("FILTER(Dipromats!G$3:G$101, 
  REGEXMATCH(Dipromats!$A$3:$A$101, ""(?i)"" &amp; $A14)
)"),0.484593915089339)</f>
        <v>0.4845939151</v>
      </c>
      <c r="G14" s="5">
        <f>IFERROR(__xludf.DUMMYFUNCTION("FILTER(Dipromats!H$3:H$101, 
  REGEXMATCH(Dipromats!$A$3:$A$101, ""(?i)"" &amp; $A14)
)"),0.437797137788191)</f>
        <v>0.4377971378</v>
      </c>
      <c r="H14" s="5">
        <f>IFERROR(__xludf.DUMMYFUNCTION("FILTER(Dipromats!I$3:I$101, 
  REGEXMATCH(Dipromats!$A$3:$A$101, ""(?i)"" &amp; $A14)
)"),0.220620940157727)</f>
        <v>0.2206209402</v>
      </c>
      <c r="I14" s="5">
        <f>IFERROR(__xludf.DUMMYFUNCTION("FILTER(Dipromats!J$3:J$101, 
  REGEXMATCH(Dipromats!$A$3:$A$101, ""(?i)"" &amp; $A14)
)"),0.271705614091627)</f>
        <v>0.2717056141</v>
      </c>
      <c r="J14" s="8"/>
      <c r="L14" s="7"/>
    </row>
    <row r="15">
      <c r="A15" s="13" t="s">
        <v>53</v>
      </c>
      <c r="B15" s="14">
        <f t="shared" ref="B15:I15" si="7">B3-B14</f>
        <v>0.01203417843</v>
      </c>
      <c r="C15" s="14">
        <f t="shared" si="7"/>
        <v>0.008661730824</v>
      </c>
      <c r="D15" s="14">
        <f t="shared" si="7"/>
        <v>0.3494265358</v>
      </c>
      <c r="E15" s="14">
        <f t="shared" si="7"/>
        <v>0.2130455226</v>
      </c>
      <c r="F15" s="14">
        <f t="shared" si="7"/>
        <v>0.08788453159</v>
      </c>
      <c r="G15" s="14">
        <f t="shared" si="7"/>
        <v>0.09696876513</v>
      </c>
      <c r="H15" s="14">
        <f t="shared" si="7"/>
        <v>0.1146045011</v>
      </c>
      <c r="I15" s="14">
        <f t="shared" si="7"/>
        <v>0.08086198569</v>
      </c>
      <c r="J15" s="24">
        <f>AVERAGE(B15:I15)</f>
        <v>0.1204359689</v>
      </c>
      <c r="K15" s="15"/>
      <c r="L15" s="7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B16" s="24">
        <f t="shared" ref="B16:I16" si="8">AVERAGE(B5,B7,B9,B11,B13,B15)</f>
        <v>0.01188452541</v>
      </c>
      <c r="C16" s="24">
        <f t="shared" si="8"/>
        <v>0.01681686817</v>
      </c>
      <c r="D16" s="24">
        <f t="shared" si="8"/>
        <v>0.09581417927</v>
      </c>
      <c r="E16" s="24">
        <f t="shared" si="8"/>
        <v>0.08297456992</v>
      </c>
      <c r="F16" s="24">
        <f t="shared" si="8"/>
        <v>0.06162659428</v>
      </c>
      <c r="G16" s="24">
        <f t="shared" si="8"/>
        <v>0.05543825289</v>
      </c>
      <c r="H16" s="24">
        <f t="shared" si="8"/>
        <v>0.06969462216</v>
      </c>
      <c r="I16" s="24">
        <f t="shared" si="8"/>
        <v>0.0557537204</v>
      </c>
      <c r="L16" s="7"/>
    </row>
    <row r="17">
      <c r="B17" s="24">
        <f>AVERAGE(B16:C16)</f>
        <v>0.01435069679</v>
      </c>
      <c r="C17" s="8"/>
      <c r="D17" s="24">
        <f>AVERAGE(D16:E16)</f>
        <v>0.08939437459</v>
      </c>
      <c r="E17" s="8"/>
      <c r="F17" s="24">
        <f>AVERAGE(F16:G16)</f>
        <v>0.05853242358</v>
      </c>
      <c r="G17" s="8"/>
      <c r="H17" s="24">
        <f>AVERAGE(H16:I16)</f>
        <v>0.06272417128</v>
      </c>
      <c r="I17" s="8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9">
      <c r="A19" s="1"/>
      <c r="D19" s="1"/>
      <c r="E19" s="1"/>
      <c r="F19" s="1"/>
      <c r="G19" s="1"/>
      <c r="I19" s="1"/>
    </row>
    <row r="20">
      <c r="B20" s="5"/>
      <c r="C20" s="5"/>
      <c r="D20" s="5"/>
      <c r="E20" s="5"/>
      <c r="F20" s="5"/>
      <c r="G20" s="5"/>
      <c r="H20" s="5"/>
      <c r="I20" s="5"/>
    </row>
    <row r="21">
      <c r="A21" s="1" t="s">
        <v>57</v>
      </c>
      <c r="B21" s="7" t="s">
        <v>13</v>
      </c>
      <c r="D21" s="1" t="s">
        <v>15</v>
      </c>
      <c r="E21" s="1"/>
      <c r="F21" s="1" t="s">
        <v>16</v>
      </c>
      <c r="G21" s="1"/>
      <c r="H21" s="7" t="s">
        <v>17</v>
      </c>
      <c r="I21" s="1"/>
    </row>
    <row r="22">
      <c r="A22" s="7" t="s">
        <v>26</v>
      </c>
      <c r="B22" s="5">
        <f>IFERROR(__xludf.DUMMYFUNCTION("FILTER(SemEval_2025_T2!$G$3:$G$132, 
  REGEXMATCH(SemEval_2025_T2!$A$3:$A$132, ""(?i)"" &amp; $B$21 &amp;""_"" &amp; $A22)
)"),0.514035206022048)</f>
        <v>0.514035206</v>
      </c>
      <c r="C22" s="5">
        <f>IFERROR(__xludf.DUMMYFUNCTION("FILTER(SemEval_2025_T2!$H$3:$H$132, 
  REGEXMATCH(SemEval_2025_T2!$A$3:$A$132, ""(?i)"" &amp; $B$21 &amp;""_"" &amp; $A22)
)"),0.307645133386631)</f>
        <v>0.3076451334</v>
      </c>
      <c r="D22" s="5">
        <f>IFERROR(__xludf.DUMMYFUNCTION("FILTER(SemEval_2025_T2!$G$3:$G$132, 
  REGEXMATCH(SemEval_2025_T2!$A$3:$A$132, ""(?i)"" &amp; $D$21 &amp;""_"" &amp; $A22)
)"),0.381269392078906)</f>
        <v>0.3812693921</v>
      </c>
      <c r="E22" s="5">
        <f>IFERROR(__xludf.DUMMYFUNCTION("FILTER(SemEval_2025_T2!$H$3:$H$132, 
  REGEXMATCH(SemEval_2025_T2!$A$3:$A$132, ""(?i)"" &amp; $D$21 &amp;""_"" &amp; $A22)
)"),0.213641884382488)</f>
        <v>0.2136418844</v>
      </c>
      <c r="F22" s="5">
        <f>IFERROR(__xludf.DUMMYFUNCTION("FILTER(SemEval_2025_T2!$G$3:$G$132, 
  REGEXMATCH(SemEval_2025_T2!$A$3:$A$132, ""(?i)"" &amp; $F$21 &amp;""_"" &amp; $A22)
)"),0.297130229419703)</f>
        <v>0.2971302294</v>
      </c>
      <c r="G22" s="5">
        <f>IFERROR(__xludf.DUMMYFUNCTION("FILTER(SemEval_2025_T2!$H$3:$H$132, 
  REGEXMATCH(SemEval_2025_T2!$A$3:$A$132, ""(?i)"" &amp; $F$21 &amp;""_"" &amp; $A22)
)"),0.118694163326551)</f>
        <v>0.1186941633</v>
      </c>
      <c r="H22" s="5">
        <f>IFERROR(__xludf.DUMMYFUNCTION("FILTER(SemEval_2025_T2!$G$3:$G$132, 
  REGEXMATCH(SemEval_2025_T2!$A$3:$A$132, ""(?i)"" &amp; $H$21 &amp;""_"" &amp; $A22)
)"),0.238378224888286)</f>
        <v>0.2383782249</v>
      </c>
      <c r="I22" s="5">
        <f>IFERROR(__xludf.DUMMYFUNCTION("FILTER(SemEval_2025_T2!$H$3:$H$132, 
  REGEXMATCH(SemEval_2025_T2!$A$3:$A$132, ""(?i)"" &amp; $H$21 &amp;""_"" &amp; $A22)
)"),0.083454375288068)</f>
        <v>0.08345437529</v>
      </c>
    </row>
    <row r="23">
      <c r="A23" s="7" t="s">
        <v>58</v>
      </c>
      <c r="B23" s="5">
        <f>IFERROR(__xludf.DUMMYFUNCTION("FILTER(SemEval_2025_T2!$G$3:$G$132, 
  REGEXMATCH(SemEval_2025_T2!$A$3:$A$132, ""(?i)"" &amp; $B$21 &amp;""_"" &amp; $A23)
)"),0.443146947744113)</f>
        <v>0.4431469477</v>
      </c>
      <c r="C23" s="5">
        <f>IFERROR(__xludf.DUMMYFUNCTION("FILTER(SemEval_2025_T2!$H$3:$H$132, 
  REGEXMATCH(SemEval_2025_T2!$A$3:$A$132, ""(?i)"" &amp; $B$21 &amp;""_"" &amp; $A23)
)"),0.278619253553464)</f>
        <v>0.2786192536</v>
      </c>
      <c r="D23" s="5">
        <f>IFERROR(__xludf.DUMMYFUNCTION("FILTER(SemEval_2025_T2!$G$3:$G$132, 
  REGEXMATCH(SemEval_2025_T2!$A$3:$A$132, ""(?i)"" &amp; $D$21 &amp;""_"" &amp; $A23)
)"),0.183951176893282)</f>
        <v>0.1839511769</v>
      </c>
      <c r="E23" s="5">
        <f>IFERROR(__xludf.DUMMYFUNCTION("FILTER(SemEval_2025_T2!$H$3:$H$132, 
  REGEXMATCH(SemEval_2025_T2!$A$3:$A$132, ""(?i)"" &amp; $D$21 &amp;""_"" &amp; $A23)
)"),0.076478375942546)</f>
        <v>0.07647837594</v>
      </c>
      <c r="F23" s="5">
        <f>IFERROR(__xludf.DUMMYFUNCTION("FILTER(SemEval_2025_T2!$G$3:$G$132, 
  REGEXMATCH(SemEval_2025_T2!$A$3:$A$132, ""(?i)"" &amp; $F$21 &amp;""_"" &amp; $A23)
)"),0.322483844225949)</f>
        <v>0.3224838442</v>
      </c>
      <c r="G23" s="5">
        <f>IFERROR(__xludf.DUMMYFUNCTION("FILTER(SemEval_2025_T2!$H$3:$H$132, 
  REGEXMATCH(SemEval_2025_T2!$A$3:$A$132, ""(?i)"" &amp; $F$21 &amp;""_"" &amp; $A23)
)"),0.137031714619164)</f>
        <v>0.1370317146</v>
      </c>
      <c r="H23" s="5">
        <f>IFERROR(__xludf.DUMMYFUNCTION("FILTER(SemEval_2025_T2!$G$3:$G$132, 
  REGEXMATCH(SemEval_2025_T2!$A$3:$A$132, ""(?i)"" &amp; $H$21 &amp;""_"" &amp; $A23)
)"),0.159618888713625)</f>
        <v>0.1596188887</v>
      </c>
      <c r="I23" s="5">
        <f>IFERROR(__xludf.DUMMYFUNCTION("FILTER(SemEval_2025_T2!$H$3:$H$132, 
  REGEXMATCH(SemEval_2025_T2!$A$3:$A$132, ""(?i)"" &amp; $H$21 &amp;""_"" &amp; $A23)
)"),0.051741760021139)</f>
        <v>0.05174176002</v>
      </c>
      <c r="J23" s="8"/>
      <c r="K23" s="8"/>
      <c r="L23" s="8"/>
      <c r="N23" s="41"/>
      <c r="O23" s="42"/>
      <c r="P23" s="6" t="s">
        <v>7</v>
      </c>
      <c r="Q23" s="6" t="s">
        <v>8</v>
      </c>
      <c r="R23" s="6" t="s">
        <v>9</v>
      </c>
      <c r="S23" s="6" t="s">
        <v>10</v>
      </c>
      <c r="T23" s="6" t="s">
        <v>11</v>
      </c>
      <c r="U23" s="6" t="s">
        <v>12</v>
      </c>
    </row>
    <row r="24">
      <c r="A24" s="13" t="s">
        <v>37</v>
      </c>
      <c r="B24" s="14">
        <f t="shared" ref="B24:I24" si="9">B$22-B23</f>
        <v>0.07088825828</v>
      </c>
      <c r="C24" s="14">
        <f t="shared" si="9"/>
        <v>0.02902587983</v>
      </c>
      <c r="D24" s="14">
        <f t="shared" si="9"/>
        <v>0.1973182152</v>
      </c>
      <c r="E24" s="14">
        <f t="shared" si="9"/>
        <v>0.1371635084</v>
      </c>
      <c r="F24" s="14">
        <f t="shared" si="9"/>
        <v>-0.02535361481</v>
      </c>
      <c r="G24" s="14">
        <f t="shared" si="9"/>
        <v>-0.01833755129</v>
      </c>
      <c r="H24" s="14">
        <f t="shared" si="9"/>
        <v>0.07875933617</v>
      </c>
      <c r="I24" s="14">
        <f t="shared" si="9"/>
        <v>0.03171261527</v>
      </c>
      <c r="J24" s="24">
        <f t="shared" ref="J24:K24" si="10">AVERAGE(B24,D24,F24,H24)</f>
        <v>0.08040304871</v>
      </c>
      <c r="K24" s="24">
        <f t="shared" si="10"/>
        <v>0.04489111306</v>
      </c>
      <c r="L24" s="24">
        <f>AVERAGE(J24,K24)</f>
        <v>0.06264708088</v>
      </c>
      <c r="M24" s="15"/>
      <c r="N24" s="43" t="s">
        <v>37</v>
      </c>
      <c r="O24" s="5">
        <f>AVERAGE(L24,L41,L58)</f>
        <v>0.02313263555</v>
      </c>
      <c r="P24" s="44">
        <v>0.03900494022665941</v>
      </c>
      <c r="Q24" s="5">
        <v>0.020250820880338832</v>
      </c>
      <c r="R24" s="5">
        <v>0.045974636213761445</v>
      </c>
      <c r="S24" s="5">
        <v>0.03439416898971983</v>
      </c>
      <c r="T24" s="5">
        <v>0.023132635547038444</v>
      </c>
      <c r="U24" s="45">
        <f t="shared" ref="U24:U29" si="11">AVERAGE(P24:T24)</f>
        <v>0.03255144037</v>
      </c>
      <c r="V24" s="15"/>
      <c r="W24" s="15"/>
      <c r="X24" s="15"/>
      <c r="Y24" s="15"/>
      <c r="Z24" s="15"/>
    </row>
    <row r="25">
      <c r="A25" s="7" t="s">
        <v>38</v>
      </c>
      <c r="B25" s="5">
        <f>IFERROR(__xludf.DUMMYFUNCTION("FILTER(SemEval_2025_T2!$G$3:$G$132, 
  REGEXMATCH(SemEval_2025_T2!$A$3:$A$132, ""(?i)"" &amp; $B$21 &amp;""_"" &amp; $A25)
)"),0.413172598162071)</f>
        <v>0.4131725982</v>
      </c>
      <c r="C25" s="5">
        <f>IFERROR(__xludf.DUMMYFUNCTION("FILTER(SemEval_2025_T2!$H$3:$H$132, 
  REGEXMATCH(SemEval_2025_T2!$A$3:$A$132, ""(?i)"" &amp; $B$21 &amp;""_"" &amp; $A25)
)"),0.238469869626549)</f>
        <v>0.2384698696</v>
      </c>
      <c r="D25" s="5">
        <f>IFERROR(__xludf.DUMMYFUNCTION("FILTER(SemEval_2025_T2!$G$3:$G$132, 
  REGEXMATCH(SemEval_2025_T2!$A$3:$A$132, ""(?i)"" &amp; $D$21 &amp;""_"" &amp; $A25)
)"),0.201656347341367)</f>
        <v>0.2016563473</v>
      </c>
      <c r="E25" s="5">
        <f>IFERROR(__xludf.DUMMYFUNCTION("FILTER(SemEval_2025_T2!$H$3:$H$132, 
  REGEXMATCH(SemEval_2025_T2!$A$3:$A$132, ""(?i)"" &amp; $D$21 &amp;""_"" &amp; $A25)
)"),0.098389118476481)</f>
        <v>0.09838911848</v>
      </c>
      <c r="F25" s="5">
        <f>IFERROR(__xludf.DUMMYFUNCTION("FILTER(SemEval_2025_T2!$G$3:$G$132, 
  REGEXMATCH(SemEval_2025_T2!$A$3:$A$132, ""(?i)"" &amp; $F$21 &amp;""_"" &amp; $A25)
)"),0.266104055009318)</f>
        <v>0.266104055</v>
      </c>
      <c r="G25" s="5">
        <f>IFERROR(__xludf.DUMMYFUNCTION("FILTER(SemEval_2025_T2!$H$3:$H$132, 
  REGEXMATCH(SemEval_2025_T2!$A$3:$A$132, ""(?i)"" &amp; $F$21 &amp;""_"" &amp; $A25)
)"),0.099810456390213)</f>
        <v>0.09981045639</v>
      </c>
      <c r="H25" s="5">
        <f>IFERROR(__xludf.DUMMYFUNCTION("FILTER(SemEval_2025_T2!$G$3:$G$132, 
  REGEXMATCH(SemEval_2025_T2!$A$3:$A$132, ""(?i)"" &amp; $H$21 &amp;""_"" &amp; $A25)
)"),0.246870696554907)</f>
        <v>0.2468706966</v>
      </c>
      <c r="I25" s="5">
        <f>IFERROR(__xludf.DUMMYFUNCTION("FILTER(SemEval_2025_T2!$H$3:$H$132, 
  REGEXMATCH(SemEval_2025_T2!$A$3:$A$132, ""(?i)"" &amp; $H$21 &amp;""_"" &amp; $A25)
)"),0.059954252922066)</f>
        <v>0.05995425292</v>
      </c>
      <c r="J25" s="8"/>
      <c r="K25" s="8"/>
      <c r="L25" s="8"/>
      <c r="N25" s="43" t="s">
        <v>40</v>
      </c>
      <c r="O25" s="5">
        <f>AVERAGE(L26,L43,L60)</f>
        <v>0.02458246361</v>
      </c>
      <c r="P25" s="44">
        <v>0.03837000965767666</v>
      </c>
      <c r="Q25" s="5">
        <v>0.020574979829323475</v>
      </c>
      <c r="R25" s="5">
        <v>0.05159966042418434</v>
      </c>
      <c r="S25" s="5">
        <v>0.03595751796385762</v>
      </c>
      <c r="T25" s="5">
        <v>0.024582463606579386</v>
      </c>
      <c r="U25" s="45">
        <f t="shared" si="11"/>
        <v>0.0342169263</v>
      </c>
    </row>
    <row r="26">
      <c r="A26" s="13" t="s">
        <v>40</v>
      </c>
      <c r="B26" s="14">
        <f t="shared" ref="B26:I26" si="12">B$22-B25</f>
        <v>0.1008626079</v>
      </c>
      <c r="C26" s="14">
        <f t="shared" si="12"/>
        <v>0.06917526376</v>
      </c>
      <c r="D26" s="14">
        <f t="shared" si="12"/>
        <v>0.1796130447</v>
      </c>
      <c r="E26" s="14">
        <f t="shared" si="12"/>
        <v>0.1152527659</v>
      </c>
      <c r="F26" s="14">
        <f t="shared" si="12"/>
        <v>0.03102617441</v>
      </c>
      <c r="G26" s="14">
        <f t="shared" si="12"/>
        <v>0.01888370694</v>
      </c>
      <c r="H26" s="14">
        <f t="shared" si="12"/>
        <v>-0.008492471667</v>
      </c>
      <c r="I26" s="14">
        <f t="shared" si="12"/>
        <v>0.02350012237</v>
      </c>
      <c r="J26" s="24">
        <f t="shared" ref="J26:K26" si="13">AVERAGE(B26,D26,F26,H26)</f>
        <v>0.07575233884</v>
      </c>
      <c r="K26" s="24">
        <f t="shared" si="13"/>
        <v>0.05670296474</v>
      </c>
      <c r="L26" s="24">
        <f>AVERAGE(J26,K26)</f>
        <v>0.06622765179</v>
      </c>
      <c r="M26" s="15"/>
      <c r="N26" s="43" t="s">
        <v>44</v>
      </c>
      <c r="O26" s="5">
        <f>AVERAGE(L28,L45,L62)</f>
        <v>0.01525389292</v>
      </c>
      <c r="P26" s="44">
        <v>0.02290430310407972</v>
      </c>
      <c r="Q26" s="5">
        <v>0.017705299682637593</v>
      </c>
      <c r="R26" s="5">
        <v>0.046244693972415256</v>
      </c>
      <c r="S26" s="5">
        <v>0.028120029318103767</v>
      </c>
      <c r="T26" s="5">
        <v>0.015253892915017539</v>
      </c>
      <c r="U26" s="45">
        <f t="shared" si="11"/>
        <v>0.0260456438</v>
      </c>
      <c r="V26" s="15"/>
      <c r="W26" s="15"/>
      <c r="X26" s="15"/>
      <c r="Y26" s="15"/>
      <c r="Z26" s="15"/>
    </row>
    <row r="27">
      <c r="A27" s="7" t="s">
        <v>59</v>
      </c>
      <c r="B27" s="5">
        <f>IFERROR(__xludf.DUMMYFUNCTION("FILTER(SemEval_2025_T2!$G$3:$G$132, 
  REGEXMATCH(SemEval_2025_T2!$A$3:$A$132, ""(?i)"" &amp; $B$21 &amp;""_"" &amp; $A27), NOT(REGEXMATCH(SemEval_2025_T2!$A$3:$A$132, ""(?i)complete""))
)"),0.475694995063416)</f>
        <v>0.4756949951</v>
      </c>
      <c r="C27" s="5">
        <f>IFERROR(__xludf.DUMMYFUNCTION("FILTER(SemEval_2025_T2!$H$3:$H$132, 
  REGEXMATCH(SemEval_2025_T2!$A$3:$A$132, ""(?i)"" &amp; $B$21 &amp;""_"" &amp; $A27), NOT(REGEXMATCH(SemEval_2025_T2!$A$3:$A$132, ""(?i)complete""))
)"),0.255848749114133)</f>
        <v>0.2558487491</v>
      </c>
      <c r="D27" s="5">
        <f>IFERROR(__xludf.DUMMYFUNCTION("FILTER(SemEval_2025_T2!$G$3:$G$132, 
  REGEXMATCH(SemEval_2025_T2!$A$3:$A$132, ""(?i)"" &amp; $D$21 &amp;""_"" &amp; $A27), NOT(REGEXMATCH(SemEval_2025_T2!$A$3:$A$132, ""(?i)complete""))
)"),0.263223865900181)</f>
        <v>0.2632238659</v>
      </c>
      <c r="E27" s="5">
        <f>IFERROR(__xludf.DUMMYFUNCTION("FILTER(SemEval_2025_T2!$H$3:$H$132, 
  REGEXMATCH(SemEval_2025_T2!$A$3:$A$132, ""(?i)"" &amp; $D$21 &amp;""_"" &amp; $A27), NOT(REGEXMATCH(SemEval_2025_T2!$A$3:$A$132, ""(?i)complete""))
)"),0.12963188756561)</f>
        <v>0.1296318876</v>
      </c>
      <c r="F27" s="5">
        <f>IFERROR(__xludf.DUMMYFUNCTION("FILTER(SemEval_2025_T2!$G$3:$G$132, 
  REGEXMATCH(SemEval_2025_T2!$A$3:$A$132, ""(?i)"" &amp; $F$21 &amp;""_"" &amp; $A27), NOT(REGEXMATCH(SemEval_2025_T2!$A$3:$A$132, ""(?i)complete""))
)"),0.301315471370734)</f>
        <v>0.3013154714</v>
      </c>
      <c r="G27" s="5">
        <f>IFERROR(__xludf.DUMMYFUNCTION("FILTER(SemEval_2025_T2!$H$3:$H$132, 
  REGEXMATCH(SemEval_2025_T2!$A$3:$A$132, ""(?i)"" &amp; $F$21 &amp;""_"" &amp; $A27), NOT(REGEXMATCH(SemEval_2025_T2!$A$3:$A$132, ""(?i)complete""))
)"),0.111016939313498)</f>
        <v>0.1110169393</v>
      </c>
      <c r="H27" s="5">
        <f>IFERROR(__xludf.DUMMYFUNCTION("FILTER(SemEval_2025_T2!$G$3:$G$132, 
  REGEXMATCH(SemEval_2025_T2!$A$3:$A$132, ""(?i)"" &amp; $H$21 &amp;""_"" &amp; $A27), NOT(REGEXMATCH(SemEval_2025_T2!$A$3:$A$132, ""(?i)complete""))
)"),0.236880045685308)</f>
        <v>0.2368800457</v>
      </c>
      <c r="I27" s="5">
        <f>IFERROR(__xludf.DUMMYFUNCTION("FILTER(SemEval_2025_T2!$H$3:$H$132, 
  REGEXMATCH(SemEval_2025_T2!$A$3:$A$132, ""(?i)"" &amp; $H$21 &amp;""_"" &amp; $A27), NOT(REGEXMATCH(SemEval_2025_T2!$A$3:$A$132, ""(?i)complete""))
)"),0.068547640773795)</f>
        <v>0.06854764077</v>
      </c>
      <c r="J27" s="8"/>
      <c r="K27" s="8"/>
      <c r="L27" s="8"/>
      <c r="N27" s="43" t="s">
        <v>47</v>
      </c>
      <c r="O27" s="5">
        <f>AVERAGE(L30,L47,L64)</f>
        <v>0.02696317484</v>
      </c>
      <c r="P27" s="44">
        <v>0.026806959780489432</v>
      </c>
      <c r="Q27" s="5">
        <v>0.0167553168117865</v>
      </c>
      <c r="R27" s="5">
        <v>0.03384800818080586</v>
      </c>
      <c r="S27" s="5">
        <v>0.028145968655813192</v>
      </c>
      <c r="T27" s="5">
        <v>0.026963174835703468</v>
      </c>
      <c r="U27" s="45">
        <f t="shared" si="11"/>
        <v>0.02650388565</v>
      </c>
    </row>
    <row r="28">
      <c r="A28" s="13" t="s">
        <v>44</v>
      </c>
      <c r="B28" s="14">
        <f t="shared" ref="B28:I28" si="14">B$22-B27</f>
        <v>0.03834021096</v>
      </c>
      <c r="C28" s="14">
        <f t="shared" si="14"/>
        <v>0.05179638427</v>
      </c>
      <c r="D28" s="14">
        <f t="shared" si="14"/>
        <v>0.1180455262</v>
      </c>
      <c r="E28" s="14">
        <f t="shared" si="14"/>
        <v>0.08400999682</v>
      </c>
      <c r="F28" s="14">
        <f t="shared" si="14"/>
        <v>-0.004185241951</v>
      </c>
      <c r="G28" s="14">
        <f t="shared" si="14"/>
        <v>0.007677224013</v>
      </c>
      <c r="H28" s="14">
        <f t="shared" si="14"/>
        <v>0.001498179203</v>
      </c>
      <c r="I28" s="14">
        <f t="shared" si="14"/>
        <v>0.01490673451</v>
      </c>
      <c r="J28" s="24">
        <f t="shared" ref="J28:K28" si="15">AVERAGE(B28,D28,F28,H28)</f>
        <v>0.0384246686</v>
      </c>
      <c r="K28" s="24">
        <f t="shared" si="15"/>
        <v>0.0395975849</v>
      </c>
      <c r="L28" s="24">
        <f>AVERAGE(J28,K28)</f>
        <v>0.03901112675</v>
      </c>
      <c r="M28" s="15"/>
      <c r="N28" s="43" t="s">
        <v>50</v>
      </c>
      <c r="O28" s="5">
        <f>AVERAGE(L32,L49)</f>
        <v>0.07301138002</v>
      </c>
      <c r="P28" s="44">
        <v>0.04822754261179281</v>
      </c>
      <c r="Q28" s="5">
        <v>0.04338604362241537</v>
      </c>
      <c r="R28" s="5">
        <v>0.10760792456074357</v>
      </c>
      <c r="S28" s="5">
        <v>0.07407284692234119</v>
      </c>
      <c r="T28" s="5">
        <v>0.07301138002245969</v>
      </c>
      <c r="U28" s="45">
        <f t="shared" si="11"/>
        <v>0.06926114755</v>
      </c>
      <c r="V28" s="15"/>
      <c r="W28" s="15"/>
      <c r="X28" s="15"/>
      <c r="Y28" s="15"/>
      <c r="Z28" s="15"/>
    </row>
    <row r="29">
      <c r="A29" s="7" t="s">
        <v>60</v>
      </c>
      <c r="B29" s="5">
        <f>IFERROR(__xludf.DUMMYFUNCTION("FILTER(SemEval_2025_T2!$G$3:$G$132, 
  REGEXMATCH(SemEval_2025_T2!$A$3:$A$132, ""(?i)"" &amp; $B$21 &amp;""_"" &amp; $A29), NOT(REGEXMATCH(SemEval_2025_T2!$A$3:$A$132, ""(?i)complete""))
)"),0.447556318827371)</f>
        <v>0.4475563188</v>
      </c>
      <c r="C29" s="5">
        <f>IFERROR(__xludf.DUMMYFUNCTION("FILTER(SemEval_2025_T2!$H$3:$H$132, 
  REGEXMATCH(SemEval_2025_T2!$A$3:$A$132, ""(?i)"" &amp; $B$21 &amp;""_"" &amp; $A29), NOT(REGEXMATCH(SemEval_2025_T2!$A$3:$A$132, ""(?i)complete""))
)"),0.260569443848998)</f>
        <v>0.2605694438</v>
      </c>
      <c r="D29" s="5">
        <f>IFERROR(__xludf.DUMMYFUNCTION("FILTER(SemEval_2025_T2!$G$3:$G$132, 
  REGEXMATCH(SemEval_2025_T2!$A$3:$A$132, ""(?i)"" &amp; $D$21 &amp;""_"" &amp; $A29), NOT(REGEXMATCH(SemEval_2025_T2!$A$3:$A$132, ""(?i)complete""))
)"),0.214114112495691)</f>
        <v>0.2141141125</v>
      </c>
      <c r="E29" s="5">
        <f>IFERROR(__xludf.DUMMYFUNCTION("FILTER(SemEval_2025_T2!$H$3:$H$132, 
  REGEXMATCH(SemEval_2025_T2!$A$3:$A$132, ""(?i)"" &amp; $D$21 &amp;""_"" &amp; $A29), NOT(REGEXMATCH(SemEval_2025_T2!$A$3:$A$132, ""(?i)complete""))
)"),0.106058068538986)</f>
        <v>0.1060580685</v>
      </c>
      <c r="F29" s="5">
        <f>IFERROR(__xludf.DUMMYFUNCTION("FILTER(SemEval_2025_T2!$G$3:$G$132, 
  REGEXMATCH(SemEval_2025_T2!$A$3:$A$132, ""(?i)"" &amp; $F$21 &amp;""_"" &amp; $A29), NOT(REGEXMATCH(SemEval_2025_T2!$A$3:$A$132, ""(?i)complete""))
)"),0.283892118115802)</f>
        <v>0.2838921181</v>
      </c>
      <c r="G29" s="5">
        <f>IFERROR(__xludf.DUMMYFUNCTION("FILTER(SemEval_2025_T2!$H$3:$H$132, 
  REGEXMATCH(SemEval_2025_T2!$A$3:$A$132, ""(?i)"" &amp; $F$21 &amp;""_"" &amp; $A29), NOT(REGEXMATCH(SemEval_2025_T2!$A$3:$A$132, ""(?i)complete""))
)"),0.113968810788851)</f>
        <v>0.1139688108</v>
      </c>
      <c r="H29" s="5">
        <f>IFERROR(__xludf.DUMMYFUNCTION("FILTER(SemEval_2025_T2!$G$3:$G$132, 
  REGEXMATCH(SemEval_2025_T2!$A$3:$A$132, ""(?i)"" &amp; $H$21 &amp;""_"" &amp; $A29), NOT(REGEXMATCH(SemEval_2025_T2!$A$3:$A$132, ""(?i)complete""))
)"),0.212448441324757)</f>
        <v>0.2124484413</v>
      </c>
      <c r="I29" s="5">
        <f>IFERROR(__xludf.DUMMYFUNCTION("FILTER(SemEval_2025_T2!$H$3:$H$132, 
  REGEXMATCH(SemEval_2025_T2!$A$3:$A$132, ""(?i)"" &amp; $H$21 &amp;""_"" &amp; $A29), NOT(REGEXMATCH(SemEval_2025_T2!$A$3:$A$132, ""(?i)complete""))
)"),0.062289598997493)</f>
        <v>0.062289599</v>
      </c>
      <c r="J29" s="8"/>
      <c r="K29" s="8"/>
      <c r="L29" s="8"/>
      <c r="N29" s="51" t="s">
        <v>53</v>
      </c>
      <c r="O29" s="5">
        <f>AVERAGE(L34,L51)</f>
        <v>0.06000715481</v>
      </c>
      <c r="P29" s="52">
        <v>0.043004540272302376</v>
      </c>
      <c r="Q29" s="53">
        <v>0.02600611965621831</v>
      </c>
      <c r="R29" s="53">
        <v>0.07243980038148931</v>
      </c>
      <c r="S29" s="53">
        <v>0.05080682677086412</v>
      </c>
      <c r="T29" s="53">
        <v>0.06000715480581188</v>
      </c>
      <c r="U29" s="54">
        <f t="shared" si="11"/>
        <v>0.05045288838</v>
      </c>
    </row>
    <row r="30">
      <c r="A30" s="13" t="s">
        <v>47</v>
      </c>
      <c r="B30" s="14">
        <f t="shared" ref="B30:I30" si="16">B$22-B29</f>
        <v>0.06647888719</v>
      </c>
      <c r="C30" s="14">
        <f t="shared" si="16"/>
        <v>0.04707568954</v>
      </c>
      <c r="D30" s="14">
        <f t="shared" si="16"/>
        <v>0.1671552796</v>
      </c>
      <c r="E30" s="14">
        <f t="shared" si="16"/>
        <v>0.1075838158</v>
      </c>
      <c r="F30" s="14">
        <f t="shared" si="16"/>
        <v>0.0132381113</v>
      </c>
      <c r="G30" s="14">
        <f t="shared" si="16"/>
        <v>0.004725352538</v>
      </c>
      <c r="H30" s="14">
        <f t="shared" si="16"/>
        <v>0.02592978356</v>
      </c>
      <c r="I30" s="14">
        <f t="shared" si="16"/>
        <v>0.02116477629</v>
      </c>
      <c r="J30" s="24">
        <f t="shared" ref="J30:K30" si="17">AVERAGE(B30,D30,F30,H30)</f>
        <v>0.06820051541</v>
      </c>
      <c r="K30" s="24">
        <f t="shared" si="17"/>
        <v>0.04513740855</v>
      </c>
      <c r="L30" s="24">
        <f>AVERAGE(J30,K30)</f>
        <v>0.05666896198</v>
      </c>
      <c r="M30" s="15"/>
      <c r="V30" s="15"/>
      <c r="W30" s="15"/>
      <c r="X30" s="15"/>
      <c r="Y30" s="15"/>
      <c r="Z30" s="15"/>
    </row>
    <row r="31">
      <c r="A31" s="7" t="s">
        <v>61</v>
      </c>
      <c r="B31" s="5">
        <f>IFERROR(__xludf.DUMMYFUNCTION("FILTER(SemEval_2025_T2!$G$3:$G$132, 
  REGEXMATCH(SemEval_2025_T2!$A$3:$A$132, ""(?i)"" &amp; $B$21 &amp;""_"" &amp; $A31)
)"),0.430385701433069)</f>
        <v>0.4303857014</v>
      </c>
      <c r="C31" s="5">
        <f>IFERROR(__xludf.DUMMYFUNCTION("FILTER(SemEval_2025_T2!$H$3:$H$132, 
  REGEXMATCH(SemEval_2025_T2!$A$3:$A$132, ""(?i)"" &amp; $B$21 &amp;""_"" &amp; $A31)
)"),0.246254129631052)</f>
        <v>0.2462541296</v>
      </c>
      <c r="D31" s="5">
        <f>IFERROR(__xludf.DUMMYFUNCTION("FILTER(SemEval_2025_T2!$G$3:$G$132, 
  REGEXMATCH(SemEval_2025_T2!$A$3:$A$132, ""(?i)"" &amp; $D$21 &amp;""_"" &amp; $A31)
)"),0.031951417004048)</f>
        <v>0.031951417</v>
      </c>
      <c r="E31" s="5">
        <f>IFERROR(__xludf.DUMMYFUNCTION("FILTER(SemEval_2025_T2!$H$3:$H$132, 
  REGEXMATCH(SemEval_2025_T2!$A$3:$A$132, ""(?i)"" &amp; $D$21 &amp;""_"" &amp; $A31)
)"),0.016105263157894)</f>
        <v>0.01610526316</v>
      </c>
      <c r="F31" s="5">
        <f>IFERROR(__xludf.DUMMYFUNCTION("FILTER(SemEval_2025_T2!$G$3:$G$132, 
  REGEXMATCH(SemEval_2025_T2!$A$3:$A$132, ""(?i)"" &amp; $F$21 &amp;""_"" &amp; $A31)
)"),0.288692243429085)</f>
        <v>0.2886922434</v>
      </c>
      <c r="G31" s="5">
        <f>IFERROR(__xludf.DUMMYFUNCTION("FILTER(SemEval_2025_T2!$H$3:$H$132, 
  REGEXMATCH(SemEval_2025_T2!$A$3:$A$132, ""(?i)"" &amp; $F$21 &amp;""_"" &amp; $A31)
)"),0.125237610500161)</f>
        <v>0.1252376105</v>
      </c>
      <c r="H31" s="5">
        <f>IFERROR(__xludf.DUMMYFUNCTION("FILTER(SemEval_2025_T2!$G$3:$G$132, 
  REGEXMATCH(SemEval_2025_T2!$A$3:$A$132, ""(?i)"" &amp; $H$21 &amp;""_"" &amp; $A31)
)"),0.160590853882959)</f>
        <v>0.1605908539</v>
      </c>
      <c r="I31" s="5">
        <f>IFERROR(__xludf.DUMMYFUNCTION("FILTER(SemEval_2025_T2!$H$3:$H$132, 
  REGEXMATCH(SemEval_2025_T2!$A$3:$A$132, ""(?i)"" &amp; $H$21 &amp;""_"" &amp; $A31)
)"),0.059550146974033)</f>
        <v>0.05955014697</v>
      </c>
      <c r="J31" s="8"/>
      <c r="K31" s="8"/>
      <c r="L31" s="8"/>
    </row>
    <row r="32">
      <c r="A32" s="13" t="s">
        <v>50</v>
      </c>
      <c r="B32" s="14">
        <f t="shared" ref="B32:I32" si="18">B$22-B31</f>
        <v>0.08364950459</v>
      </c>
      <c r="C32" s="14">
        <f t="shared" si="18"/>
        <v>0.06139100376</v>
      </c>
      <c r="D32" s="14">
        <f t="shared" si="18"/>
        <v>0.3493179751</v>
      </c>
      <c r="E32" s="14">
        <f t="shared" si="18"/>
        <v>0.1975366212</v>
      </c>
      <c r="F32" s="14">
        <f t="shared" si="18"/>
        <v>0.008437985991</v>
      </c>
      <c r="G32" s="14">
        <f t="shared" si="18"/>
        <v>-0.006543447174</v>
      </c>
      <c r="H32" s="14">
        <f t="shared" si="18"/>
        <v>0.07778737101</v>
      </c>
      <c r="I32" s="14">
        <f t="shared" si="18"/>
        <v>0.02390422831</v>
      </c>
      <c r="J32" s="24">
        <f t="shared" ref="J32:K32" si="19">AVERAGE(B32,D32,F32,H32)</f>
        <v>0.1297982092</v>
      </c>
      <c r="K32" s="24">
        <f t="shared" si="19"/>
        <v>0.06907210153</v>
      </c>
      <c r="L32" s="24">
        <f>AVERAGE(J32,K32)</f>
        <v>0.09943515535</v>
      </c>
      <c r="N32" s="55" t="s">
        <v>62</v>
      </c>
      <c r="O32" s="42"/>
      <c r="P32" s="6" t="s">
        <v>7</v>
      </c>
      <c r="Q32" s="6" t="s">
        <v>8</v>
      </c>
      <c r="R32" s="6" t="s">
        <v>9</v>
      </c>
      <c r="S32" s="6" t="s">
        <v>10</v>
      </c>
      <c r="T32" s="6" t="s">
        <v>11</v>
      </c>
      <c r="U32" s="6" t="s">
        <v>12</v>
      </c>
      <c r="V32" s="15"/>
      <c r="W32" s="15"/>
      <c r="X32" s="15"/>
      <c r="Y32" s="15"/>
      <c r="Z32" s="15"/>
    </row>
    <row r="33">
      <c r="A33" s="7" t="s">
        <v>63</v>
      </c>
      <c r="B33" s="5">
        <f>IFERROR(__xludf.DUMMYFUNCTION("FILTER(SemEval_2025_T2!$G$3:$G$132, 
  REGEXMATCH(SemEval_2025_T2!$A$3:$A$132, ""(?i)"" &amp; $B$21 &amp;""_"" &amp; $A33)
)"),0.387901176016965)</f>
        <v>0.387901176</v>
      </c>
      <c r="C33" s="5">
        <f>IFERROR(__xludf.DUMMYFUNCTION("FILTER(SemEval_2025_T2!$H$3:$H$132, 
  REGEXMATCH(SemEval_2025_T2!$A$3:$A$132, ""(?i)"" &amp; $B$21 &amp;""_"" &amp; $A33)
)"),0.233524755451476)</f>
        <v>0.2335247555</v>
      </c>
      <c r="D33" s="5">
        <f>IFERROR(__xludf.DUMMYFUNCTION("FILTER(SemEval_2025_T2!$G$3:$G$132, 
  REGEXMATCH(SemEval_2025_T2!$A$3:$A$132, ""(?i)"" &amp; $D$21 &amp;""_"" &amp; $A33)
)"),0.190261348592927)</f>
        <v>0.1902613486</v>
      </c>
      <c r="E33" s="5">
        <f>IFERROR(__xludf.DUMMYFUNCTION("FILTER(SemEval_2025_T2!$H$3:$H$132, 
  REGEXMATCH(SemEval_2025_T2!$A$3:$A$132, ""(?i)"" &amp; $D$21 &amp;""_"" &amp; $A33)
)"),0.088050555691827)</f>
        <v>0.08805055569</v>
      </c>
      <c r="F33" s="5">
        <f>IFERROR(__xludf.DUMMYFUNCTION("FILTER(SemEval_2025_T2!$G$3:$G$132, 
  REGEXMATCH(SemEval_2025_T2!$A$3:$A$132, ""(?i)"" &amp; $F$21 &amp;""_"" &amp; $A33)
)"),0.259401876486087)</f>
        <v>0.2594018765</v>
      </c>
      <c r="G33" s="5">
        <f>IFERROR(__xludf.DUMMYFUNCTION("FILTER(SemEval_2025_T2!$H$3:$H$132, 
  REGEXMATCH(SemEval_2025_T2!$A$3:$A$132, ""(?i)"" &amp; $F$21 &amp;""_"" &amp; $A33)
)"),0.116199203293332)</f>
        <v>0.1161992033</v>
      </c>
      <c r="H33" s="5">
        <f>IFERROR(__xludf.DUMMYFUNCTION("FILTER(SemEval_2025_T2!$G$3:$G$132, 
  REGEXMATCH(SemEval_2025_T2!$A$3:$A$132, ""(?i)"" &amp; $H$21 &amp;""_"" &amp; $A33)
)"),0.192691655712708)</f>
        <v>0.1926916557</v>
      </c>
      <c r="I33" s="5">
        <f>IFERROR(__xludf.DUMMYFUNCTION("FILTER(SemEval_2025_T2!$H$3:$H$132, 
  REGEXMATCH(SemEval_2025_T2!$A$3:$A$132, ""(?i)"" &amp; $H$21 &amp;""_"" &amp; $A33)
)"),0.035547496655391)</f>
        <v>0.03554749666</v>
      </c>
      <c r="J33" s="8"/>
      <c r="K33" s="8"/>
      <c r="L33" s="8"/>
      <c r="N33" s="43" t="s">
        <v>37</v>
      </c>
      <c r="O33" s="5">
        <f>AVERAGE(J24,J41,J58)</f>
        <v>0.0243801242</v>
      </c>
      <c r="P33" s="44">
        <v>0.04874105319449049</v>
      </c>
      <c r="Q33" s="5">
        <v>0.028445797401314945</v>
      </c>
      <c r="R33" s="5">
        <v>0.06208640924809725</v>
      </c>
      <c r="S33" s="5">
        <v>0.041446764679142475</v>
      </c>
      <c r="T33" s="5">
        <v>0.024380124197562</v>
      </c>
      <c r="U33" s="45">
        <f t="shared" ref="U33:U38" si="22">AVERAGE(P33:T33)</f>
        <v>0.04102002974</v>
      </c>
    </row>
    <row r="34">
      <c r="A34" s="13" t="s">
        <v>53</v>
      </c>
      <c r="B34" s="14">
        <f t="shared" ref="B34:I34" si="20">B$22-B33</f>
        <v>0.12613403</v>
      </c>
      <c r="C34" s="14">
        <f t="shared" si="20"/>
        <v>0.07412037794</v>
      </c>
      <c r="D34" s="14">
        <f t="shared" si="20"/>
        <v>0.1910080435</v>
      </c>
      <c r="E34" s="14">
        <f t="shared" si="20"/>
        <v>0.1255913287</v>
      </c>
      <c r="F34" s="14">
        <f t="shared" si="20"/>
        <v>0.03772835293</v>
      </c>
      <c r="G34" s="14">
        <f t="shared" si="20"/>
        <v>0.002494960033</v>
      </c>
      <c r="H34" s="14">
        <f t="shared" si="20"/>
        <v>0.04568656918</v>
      </c>
      <c r="I34" s="14">
        <f t="shared" si="20"/>
        <v>0.04790687863</v>
      </c>
      <c r="J34" s="24">
        <f t="shared" ref="J34:K34" si="21">AVERAGE(B34,D34,F34,H34)</f>
        <v>0.1001392489</v>
      </c>
      <c r="K34" s="24">
        <f t="shared" si="21"/>
        <v>0.06252838632</v>
      </c>
      <c r="L34" s="24">
        <f>AVERAGE(J34,K34)</f>
        <v>0.08133381761</v>
      </c>
      <c r="N34" s="43" t="s">
        <v>40</v>
      </c>
      <c r="O34" s="5">
        <f>AVERAGE(J26,J43,J60)</f>
        <v>0.02367283689</v>
      </c>
      <c r="P34" s="44">
        <v>0.056904707859130106</v>
      </c>
      <c r="Q34" s="5">
        <v>0.028617426819432443</v>
      </c>
      <c r="R34" s="5">
        <v>0.06760575625014509</v>
      </c>
      <c r="S34" s="5">
        <v>0.040138791264871104</v>
      </c>
      <c r="T34" s="5">
        <v>0.02367283689172536</v>
      </c>
      <c r="U34" s="45">
        <f t="shared" si="22"/>
        <v>0.04338790382</v>
      </c>
      <c r="V34" s="15"/>
      <c r="W34" s="15"/>
      <c r="X34" s="15"/>
      <c r="Y34" s="15"/>
      <c r="Z34" s="15"/>
    </row>
    <row r="35">
      <c r="B35" s="8" t="str">
        <f t="shared" ref="B35:I35" si="23">AVERAGE(#REF!,B24,B26,B28,B30,B32,B34)</f>
        <v>#REF!</v>
      </c>
      <c r="C35" s="8" t="str">
        <f t="shared" si="23"/>
        <v>#REF!</v>
      </c>
      <c r="D35" s="8" t="str">
        <f t="shared" si="23"/>
        <v>#REF!</v>
      </c>
      <c r="E35" s="8" t="str">
        <f t="shared" si="23"/>
        <v>#REF!</v>
      </c>
      <c r="F35" s="8" t="str">
        <f t="shared" si="23"/>
        <v>#REF!</v>
      </c>
      <c r="G35" s="8" t="str">
        <f t="shared" si="23"/>
        <v>#REF!</v>
      </c>
      <c r="H35" s="8" t="str">
        <f t="shared" si="23"/>
        <v>#REF!</v>
      </c>
      <c r="I35" s="8" t="str">
        <f t="shared" si="23"/>
        <v>#REF!</v>
      </c>
      <c r="N35" s="43" t="s">
        <v>44</v>
      </c>
      <c r="O35" s="5">
        <f>AVERAGE(J28,J45,J62)</f>
        <v>0.008889073229</v>
      </c>
      <c r="P35" s="44">
        <v>0.032674288826353</v>
      </c>
      <c r="Q35" s="5">
        <v>0.02704407901410205</v>
      </c>
      <c r="R35" s="5">
        <v>0.06036072161612591</v>
      </c>
      <c r="S35" s="5">
        <v>0.03392443351472404</v>
      </c>
      <c r="T35" s="5">
        <v>0.008889073228862497</v>
      </c>
      <c r="U35" s="45">
        <f t="shared" si="22"/>
        <v>0.03257851924</v>
      </c>
    </row>
    <row r="36">
      <c r="B36" s="8" t="str">
        <f>AVERAGE(B35,C35)</f>
        <v>#REF!</v>
      </c>
      <c r="C36" s="8"/>
      <c r="D36" s="8" t="str">
        <f>AVERAGE(D35,E35)</f>
        <v>#REF!</v>
      </c>
      <c r="E36" s="8"/>
      <c r="F36" s="8" t="str">
        <f>AVERAGE(F35,G35)</f>
        <v>#REF!</v>
      </c>
      <c r="G36" s="8"/>
      <c r="H36" s="8" t="str">
        <f>AVERAGE(H35,I35)</f>
        <v>#REF!</v>
      </c>
      <c r="I36" s="8"/>
      <c r="N36" s="43" t="s">
        <v>47</v>
      </c>
      <c r="O36" s="5">
        <f>AVERAGE(J30,J47,J64)</f>
        <v>0.029201098</v>
      </c>
      <c r="P36" s="44">
        <v>0.04068021063742636</v>
      </c>
      <c r="Q36" s="5">
        <v>0.023646582610610086</v>
      </c>
      <c r="R36" s="5">
        <v>0.044417580213927915</v>
      </c>
      <c r="S36" s="5">
        <v>0.03197906454882767</v>
      </c>
      <c r="T36" s="5">
        <v>0.029201097997466164</v>
      </c>
      <c r="U36" s="45">
        <f t="shared" si="22"/>
        <v>0.0339849072</v>
      </c>
    </row>
    <row r="37">
      <c r="N37" s="43" t="s">
        <v>50</v>
      </c>
      <c r="O37" s="5">
        <f>AVERAGE(J32,J49)</f>
        <v>0.08906231951</v>
      </c>
      <c r="P37" s="44">
        <v>0.05359186448188613</v>
      </c>
      <c r="Q37" s="5">
        <v>0.04900719066192875</v>
      </c>
      <c r="R37" s="5">
        <v>0.14132138951280052</v>
      </c>
      <c r="S37" s="5">
        <v>0.08082668261274925</v>
      </c>
      <c r="T37" s="5">
        <v>0.08906231951081925</v>
      </c>
      <c r="U37" s="45">
        <f t="shared" si="22"/>
        <v>0.08276188936</v>
      </c>
    </row>
    <row r="38">
      <c r="A38" s="1" t="s">
        <v>80</v>
      </c>
      <c r="B38" s="7" t="s">
        <v>13</v>
      </c>
      <c r="D38" s="1" t="s">
        <v>15</v>
      </c>
      <c r="E38" s="1"/>
      <c r="F38" s="1" t="s">
        <v>16</v>
      </c>
      <c r="G38" s="1"/>
      <c r="H38" s="7" t="s">
        <v>17</v>
      </c>
      <c r="I38" s="1"/>
      <c r="N38" s="51" t="s">
        <v>53</v>
      </c>
      <c r="O38" s="5">
        <f>AVERAGE(J34,J51)</f>
        <v>0.07107732961</v>
      </c>
      <c r="P38" s="52">
        <v>0.052155017402291004</v>
      </c>
      <c r="Q38" s="53">
        <v>0.03467659111462099</v>
      </c>
      <c r="R38" s="53">
        <v>0.09291277324829787</v>
      </c>
      <c r="S38" s="53">
        <v>0.05632690586522313</v>
      </c>
      <c r="T38" s="53">
        <v>0.07107732961036875</v>
      </c>
      <c r="U38" s="54">
        <f t="shared" si="22"/>
        <v>0.06142972345</v>
      </c>
    </row>
    <row r="39">
      <c r="A39" s="7" t="s">
        <v>26</v>
      </c>
      <c r="B39" s="5">
        <f>IFERROR(__xludf.DUMMYFUNCTION("FILTER(SemEval_2025_T2!$E$3:$E$132, 
  REGEXMATCH(SemEval_2025_T2!$A$3:$A$132, ""(?i)"" &amp; $B$21 &amp;""_"" &amp; $A39)
)"),0.515748946083156)</f>
        <v>0.5157489461</v>
      </c>
      <c r="C39" s="5">
        <f>IFERROR(__xludf.DUMMYFUNCTION("FILTER(SemEval_2025_T2!$F$3:$F$132, 
  REGEXMATCH(SemEval_2025_T2!$A$3:$A$132, ""(?i)"" &amp; $B$21 &amp;""_"" &amp; $A39)
)"),0.304809111760933)</f>
        <v>0.3048091118</v>
      </c>
      <c r="D39" s="5">
        <f>IFERROR(__xludf.DUMMYFUNCTION("FILTER(SemEval_2025_T2!$E$3:$E$132, 
  REGEXMATCH(SemEval_2025_T2!$A$3:$A$132, ""(?i)"" &amp; $D$21 &amp;""_"" &amp; $A39)
)"),0.255187902448428)</f>
        <v>0.2551879024</v>
      </c>
      <c r="E39" s="5">
        <f>IFERROR(__xludf.DUMMYFUNCTION("FILTER(SemEval_2025_T2!$F$3:$F$132, 
  REGEXMATCH(SemEval_2025_T2!$A$3:$A$132, ""(?i)"" &amp; $D$21 &amp;""_"" &amp; $A39)
)"),0.125488533980639)</f>
        <v>0.125488534</v>
      </c>
      <c r="F39" s="5">
        <f>IFERROR(__xludf.DUMMYFUNCTION("FILTER(SemEval_2025_T2!$E$3:$E$132, 
  REGEXMATCH(SemEval_2025_T2!$A$3:$A$132, ""(?i)"" &amp; $F$21 &amp;""_"" &amp; $A39)
)"),0.29827218687745)</f>
        <v>0.2982721869</v>
      </c>
      <c r="G39" s="5">
        <f>IFERROR(__xludf.DUMMYFUNCTION("FILTER(SemEval_2025_T2!$F$3:$F$132, 
  REGEXMATCH(SemEval_2025_T2!$A$3:$A$132, ""(?i)"" &amp; $F$21 &amp;""_"" &amp; $A39)
)"),0.096927893451577)</f>
        <v>0.09692789345</v>
      </c>
      <c r="H39" s="5">
        <f>IFERROR(__xludf.DUMMYFUNCTION("FILTER(SemEval_2025_T2!$E$3:$E$132, 
  REGEXMATCH(SemEval_2025_T2!$A$3:$A$132, ""(?i)"" &amp; $H$21 &amp;""_"" &amp; $A39)
)"),0.321656297795771)</f>
        <v>0.3216562978</v>
      </c>
      <c r="I39" s="5">
        <f>IFERROR(__xludf.DUMMYFUNCTION("FILTER(SemEval_2025_T2!$F$3:$F$132, 
  REGEXMATCH(SemEval_2025_T2!$A$3:$A$132, ""(?i)"" &amp; $H$21 &amp;""_"" &amp; $A39)
)"),0.04430764314408)</f>
        <v>0.04430764314</v>
      </c>
    </row>
    <row r="40">
      <c r="A40" s="7" t="s">
        <v>58</v>
      </c>
      <c r="B40" s="5">
        <f>IFERROR(__xludf.DUMMYFUNCTION("FILTER(SemEval_2025_T2!$E$3:$E$132, 
  REGEXMATCH(SemEval_2025_T2!$A$3:$A$132, ""(?i)"" &amp; $B$21 &amp;""_"" &amp; $A40)
)"),0.499190977443609)</f>
        <v>0.4991909774</v>
      </c>
      <c r="C40" s="5">
        <f>IFERROR(__xludf.DUMMYFUNCTION("FILTER(SemEval_2025_T2!$F$3:$F$132, 
  REGEXMATCH(SemEval_2025_T2!$A$3:$A$132, ""(?i)"" &amp; $B$21 &amp;""_"" &amp; $A40)
)"),0.293747720745291)</f>
        <v>0.2937477207</v>
      </c>
      <c r="D40" s="5">
        <f>IFERROR(__xludf.DUMMYFUNCTION("FILTER(SemEval_2025_T2!$E$3:$E$132, 
  REGEXMATCH(SemEval_2025_T2!$A$3:$A$132, ""(?i)"" &amp; $D$21 &amp;""_"" &amp; $A40)
)"),0.256158582353319)</f>
        <v>0.2561585824</v>
      </c>
      <c r="E40" s="5">
        <f>IFERROR(__xludf.DUMMYFUNCTION("FILTER(SemEval_2025_T2!$F$3:$F$132, 
  REGEXMATCH(SemEval_2025_T2!$A$3:$A$132, ""(?i)"" &amp; $D$21 &amp;""_"" &amp; $A40)
)"),0.104719207692891)</f>
        <v>0.1047192077</v>
      </c>
      <c r="F40" s="5">
        <f>IFERROR(__xludf.DUMMYFUNCTION("FILTER(SemEval_2025_T2!$E$3:$E$132, 
  REGEXMATCH(SemEval_2025_T2!$A$3:$A$132, ""(?i)"" &amp; $F$21 &amp;""_"" &amp; $A40)
)"),0.319426180836707)</f>
        <v>0.3194261808</v>
      </c>
      <c r="G40" s="5">
        <f>IFERROR(__xludf.DUMMYFUNCTION("FILTER(SemEval_2025_T2!$F$3:$F$132, 
  REGEXMATCH(SemEval_2025_T2!$A$3:$A$132, ""(?i)"" &amp; $F$21 &amp;""_"" &amp; $A40)
)"),0.06204916136495)</f>
        <v>0.06204916136</v>
      </c>
      <c r="H40" s="5">
        <f>IFERROR(__xludf.DUMMYFUNCTION("FILTER(SemEval_2025_T2!$E$3:$E$132, 
  REGEXMATCH(SemEval_2025_T2!$A$3:$A$132, ""(?i)"" &amp; $H$21 &amp;""_"" &amp; $A40)
)"),0.265505709787288)</f>
        <v>0.2655057098</v>
      </c>
      <c r="I40" s="5">
        <f>IFERROR(__xludf.DUMMYFUNCTION("FILTER(SemEval_2025_T2!$F$3:$F$132, 
  REGEXMATCH(SemEval_2025_T2!$A$3:$A$132, ""(?i)"" &amp; $H$21 &amp;""_"" &amp; $A40)
)"),0.028443701912122)</f>
        <v>0.02844370191</v>
      </c>
      <c r="J40" s="8"/>
      <c r="K40" s="8"/>
      <c r="L40" s="8"/>
    </row>
    <row r="41">
      <c r="A41" s="13" t="s">
        <v>37</v>
      </c>
      <c r="B41" s="14">
        <f t="shared" ref="B41:I41" si="24">B$39-B40</f>
        <v>0.01655796864</v>
      </c>
      <c r="C41" s="14">
        <f t="shared" si="24"/>
        <v>0.01106139102</v>
      </c>
      <c r="D41" s="14">
        <f t="shared" si="24"/>
        <v>-0.0009706799049</v>
      </c>
      <c r="E41" s="14">
        <f t="shared" si="24"/>
        <v>0.02076932629</v>
      </c>
      <c r="F41" s="14">
        <f t="shared" si="24"/>
        <v>-0.02115399396</v>
      </c>
      <c r="G41" s="14">
        <f t="shared" si="24"/>
        <v>0.03487873209</v>
      </c>
      <c r="H41" s="14">
        <f t="shared" si="24"/>
        <v>0.05615058801</v>
      </c>
      <c r="I41" s="14">
        <f t="shared" si="24"/>
        <v>0.01586394123</v>
      </c>
      <c r="J41" s="24">
        <f t="shared" ref="J41:K41" si="25">AVERAGE(B41,D41,F41,H41)</f>
        <v>0.0126459707</v>
      </c>
      <c r="K41" s="24">
        <f t="shared" si="25"/>
        <v>0.02064334766</v>
      </c>
      <c r="L41" s="24">
        <f>AVERAGE(J41,K41)</f>
        <v>0.01664465918</v>
      </c>
      <c r="N41" s="55" t="s">
        <v>81</v>
      </c>
      <c r="O41" s="42"/>
      <c r="P41" s="69"/>
      <c r="Q41" s="69"/>
      <c r="R41" s="69"/>
      <c r="S41" s="69"/>
      <c r="T41" s="69"/>
      <c r="U41" s="6" t="s">
        <v>12</v>
      </c>
    </row>
    <row r="42">
      <c r="A42" s="7" t="s">
        <v>38</v>
      </c>
      <c r="B42" s="5">
        <f>IFERROR(__xludf.DUMMYFUNCTION("FILTER(SemEval_2025_T2!$E$3:$E$132, 
  REGEXMATCH(SemEval_2025_T2!$A$3:$A$132, ""(?i)"" &amp; $B$21 &amp;""_"" &amp; $A42)
)"),0.507974487500803)</f>
        <v>0.5079744875</v>
      </c>
      <c r="C42" s="5">
        <f>IFERROR(__xludf.DUMMYFUNCTION("FILTER(SemEval_2025_T2!$F$3:$F$132, 
  REGEXMATCH(SemEval_2025_T2!$A$3:$A$132, ""(?i)"" &amp; $B$21 &amp;""_"" &amp; $A42)
)"),0.302492234036768)</f>
        <v>0.302492234</v>
      </c>
      <c r="D42" s="5">
        <f>IFERROR(__xludf.DUMMYFUNCTION("FILTER(SemEval_2025_T2!$E$3:$E$132, 
  REGEXMATCH(SemEval_2025_T2!$A$3:$A$132, ""(?i)"" &amp; $D$21 &amp;""_"" &amp; $A42)
)"),0.239861981877771)</f>
        <v>0.2398619819</v>
      </c>
      <c r="E42" s="5">
        <f>IFERROR(__xludf.DUMMYFUNCTION("FILTER(SemEval_2025_T2!$F$3:$F$132, 
  REGEXMATCH(SemEval_2025_T2!$A$3:$A$132, ""(?i)"" &amp; $D$21 &amp;""_"" &amp; $A42)
)"),0.08960207015207)</f>
        <v>0.08960207015</v>
      </c>
      <c r="F42" s="5">
        <f>IFERROR(__xludf.DUMMYFUNCTION("FILTER(SemEval_2025_T2!$E$3:$E$132, 
  REGEXMATCH(SemEval_2025_T2!$A$3:$A$132, ""(?i)"" &amp; $F$21 &amp;""_"" &amp; $A42)
)"),0.32236522717049)</f>
        <v>0.3223652272</v>
      </c>
      <c r="G42" s="5">
        <f>IFERROR(__xludf.DUMMYFUNCTION("FILTER(SemEval_2025_T2!$F$3:$F$132, 
  REGEXMATCH(SemEval_2025_T2!$A$3:$A$132, ""(?i)"" &amp; $F$21 &amp;""_"" &amp; $A42)
)"),0.068857975942186)</f>
        <v>0.06885797594</v>
      </c>
      <c r="H42" s="5">
        <f>IFERROR(__xludf.DUMMYFUNCTION("FILTER(SemEval_2025_T2!$E$3:$E$132, 
  REGEXMATCH(SemEval_2025_T2!$A$3:$A$132, ""(?i)"" &amp; $H$21 &amp;""_"" &amp; $A42)
)"),0.286967640254482)</f>
        <v>0.2869676403</v>
      </c>
      <c r="I42" s="5">
        <f>IFERROR(__xludf.DUMMYFUNCTION("FILTER(SemEval_2025_T2!$F$3:$F$132, 
  REGEXMATCH(SemEval_2025_T2!$A$3:$A$132, ""(?i)"" &amp; $H$21 &amp;""_"" &amp; $A42)
)"),0.030866897137949)</f>
        <v>0.03086689714</v>
      </c>
      <c r="J42" s="8"/>
      <c r="K42" s="8"/>
      <c r="L42" s="8"/>
      <c r="N42" s="43" t="s">
        <v>37</v>
      </c>
      <c r="O42" s="5">
        <f>AVERAGE(K24,K41,K58)</f>
        <v>0.0218851469</v>
      </c>
      <c r="P42" s="44">
        <v>0.02926882725882833</v>
      </c>
      <c r="Q42" s="5">
        <v>0.012055844359362721</v>
      </c>
      <c r="R42" s="5">
        <v>0.02986286317942564</v>
      </c>
      <c r="S42" s="5">
        <v>0.027341573300297187</v>
      </c>
      <c r="T42" s="5">
        <v>0.021885146896514888</v>
      </c>
      <c r="U42" s="45">
        <f t="shared" ref="U42:U47" si="28">AVERAGE(P42:T42)</f>
        <v>0.024082851</v>
      </c>
    </row>
    <row r="43">
      <c r="A43" s="13" t="s">
        <v>40</v>
      </c>
      <c r="B43" s="14">
        <f t="shared" ref="B43:I43" si="26">B$39-B42</f>
        <v>0.007774458582</v>
      </c>
      <c r="C43" s="14">
        <f t="shared" si="26"/>
        <v>0.002316877724</v>
      </c>
      <c r="D43" s="14">
        <f t="shared" si="26"/>
        <v>0.01532592057</v>
      </c>
      <c r="E43" s="14">
        <f t="shared" si="26"/>
        <v>0.03588646383</v>
      </c>
      <c r="F43" s="14">
        <f t="shared" si="26"/>
        <v>-0.02409304029</v>
      </c>
      <c r="G43" s="14">
        <f t="shared" si="26"/>
        <v>0.02806991751</v>
      </c>
      <c r="H43" s="14">
        <f t="shared" si="26"/>
        <v>0.03468865754</v>
      </c>
      <c r="I43" s="14">
        <f t="shared" si="26"/>
        <v>0.01344074601</v>
      </c>
      <c r="J43" s="24">
        <f t="shared" ref="J43:K43" si="27">AVERAGE(B43,D43,F43,H43)</f>
        <v>0.0084239991</v>
      </c>
      <c r="K43" s="24">
        <f t="shared" si="27"/>
        <v>0.01992850127</v>
      </c>
      <c r="L43" s="24">
        <f>AVERAGE(J43,K43)</f>
        <v>0.01417625018</v>
      </c>
      <c r="N43" s="43" t="s">
        <v>40</v>
      </c>
      <c r="O43" s="5">
        <f>AVERAGE(K26,K43,K60)</f>
        <v>0.02549209032</v>
      </c>
      <c r="P43" s="44">
        <v>0.01983531145622322</v>
      </c>
      <c r="Q43" s="5">
        <v>0.0125325328392145</v>
      </c>
      <c r="R43" s="5">
        <v>0.03559356459822358</v>
      </c>
      <c r="S43" s="5">
        <v>0.03177624466284413</v>
      </c>
      <c r="T43" s="5">
        <v>0.02549209032143342</v>
      </c>
      <c r="U43" s="45">
        <f t="shared" si="28"/>
        <v>0.02504594878</v>
      </c>
    </row>
    <row r="44">
      <c r="A44" s="7" t="s">
        <v>59</v>
      </c>
      <c r="B44" s="5">
        <f>IFERROR(__xludf.DUMMYFUNCTION("FILTER(SemEval_2025_T2!$E$3:$E$132, 
  REGEXMATCH(SemEval_2025_T2!$A$3:$A$132, ""(?i)"" &amp; $B$21 &amp;""_"" &amp; $A44), NOT(REGEXMATCH(SemEval_2025_T2!$A$3:$A$132, ""(?i)complete""))
)"),0.523713880855986)</f>
        <v>0.5237138809</v>
      </c>
      <c r="C44" s="5">
        <f>IFERROR(__xludf.DUMMYFUNCTION("FILTER(SemEval_2025_T2!$F$3:$F$132, 
  REGEXMATCH(SemEval_2025_T2!$A$3:$A$132, ""(?i)"" &amp; $B$21 &amp;""_"" &amp; $A44), NOT(REGEXMATCH(SemEval_2025_T2!$A$3:$A$132, ""(?i)complete""))
)"),0.298182340601368)</f>
        <v>0.2981823406</v>
      </c>
      <c r="D44" s="5">
        <f>IFERROR(__xludf.DUMMYFUNCTION("FILTER(SemEval_2025_T2!$E$3:$E$132, 
  REGEXMATCH(SemEval_2025_T2!$A$3:$A$132, ""(?i)"" &amp; $D$21 &amp;""_"" &amp; $A44), NOT(REGEXMATCH(SemEval_2025_T2!$A$3:$A$132, ""(?i)complete""))
)"),0.255036344065291)</f>
        <v>0.2550363441</v>
      </c>
      <c r="E44" s="5">
        <f>IFERROR(__xludf.DUMMYFUNCTION("FILTER(SemEval_2025_T2!$F$3:$F$132, 
  REGEXMATCH(SemEval_2025_T2!$A$3:$A$132, ""(?i)"" &amp; $D$21 &amp;""_"" &amp; $A44), NOT(REGEXMATCH(SemEval_2025_T2!$A$3:$A$132, ""(?i)complete""))
)"),0.10422726630095)</f>
        <v>0.1042272663</v>
      </c>
      <c r="F44" s="5">
        <f>IFERROR(__xludf.DUMMYFUNCTION("FILTER(SemEval_2025_T2!$E$3:$E$132, 
  REGEXMATCH(SemEval_2025_T2!$A$3:$A$132, ""(?i)"" &amp; $F$21 &amp;""_"" &amp; $A44), NOT(REGEXMATCH(SemEval_2025_T2!$A$3:$A$132, ""(?i)complete""))
)"),0.303224179037336)</f>
        <v>0.303224179</v>
      </c>
      <c r="G44" s="5">
        <f>IFERROR(__xludf.DUMMYFUNCTION("FILTER(SemEval_2025_T2!$F$3:$F$132, 
  REGEXMATCH(SemEval_2025_T2!$A$3:$A$132, ""(?i)"" &amp; $F$21 &amp;""_"" &amp; $A44), NOT(REGEXMATCH(SemEval_2025_T2!$A$3:$A$132, ""(?i)complete""))
)"),0.06794643339117)</f>
        <v>0.06794643339</v>
      </c>
      <c r="H44" s="5">
        <f>IFERROR(__xludf.DUMMYFUNCTION("FILTER(SemEval_2025_T2!$E$3:$E$132, 
  REGEXMATCH(SemEval_2025_T2!$A$3:$A$132, ""(?i)"" &amp; $H$21 &amp;""_"" &amp; $A44), NOT(REGEXMATCH(SemEval_2025_T2!$A$3:$A$132, ""(?i)complete""))
)"),0.28368918449971)</f>
        <v>0.2836891845</v>
      </c>
      <c r="I44" s="5">
        <f>IFERROR(__xludf.DUMMYFUNCTION("FILTER(SemEval_2025_T2!$F$3:$F$132, 
  REGEXMATCH(SemEval_2025_T2!$A$3:$A$132, ""(?i)"" &amp; $H$21 &amp;""_"" &amp; $A44), NOT(REGEXMATCH(SemEval_2025_T2!$A$3:$A$132, ""(?i)complete""))
)"),0.022842436218752)</f>
        <v>0.02284243622</v>
      </c>
      <c r="J44" s="8"/>
      <c r="K44" s="8"/>
      <c r="L44" s="8"/>
      <c r="N44" s="43" t="s">
        <v>44</v>
      </c>
      <c r="O44" s="5">
        <f>AVERAGE(K28,K45,K62)</f>
        <v>0.0216187126</v>
      </c>
      <c r="P44" s="44">
        <v>0.013134317381806442</v>
      </c>
      <c r="Q44" s="5">
        <v>0.008366520351173136</v>
      </c>
      <c r="R44" s="5">
        <v>0.032128666328704585</v>
      </c>
      <c r="S44" s="5">
        <v>0.022315625121483496</v>
      </c>
      <c r="T44" s="5">
        <v>0.02161871260117258</v>
      </c>
      <c r="U44" s="45">
        <f t="shared" si="28"/>
        <v>0.01951276836</v>
      </c>
    </row>
    <row r="45">
      <c r="A45" s="13" t="s">
        <v>44</v>
      </c>
      <c r="B45" s="14">
        <f t="shared" ref="B45:I45" si="29">B$39-B44</f>
        <v>-0.007964934773</v>
      </c>
      <c r="C45" s="14">
        <f t="shared" si="29"/>
        <v>0.00662677116</v>
      </c>
      <c r="D45" s="14">
        <f t="shared" si="29"/>
        <v>0.0001515583831</v>
      </c>
      <c r="E45" s="14">
        <f t="shared" si="29"/>
        <v>0.02126126768</v>
      </c>
      <c r="F45" s="14">
        <f t="shared" si="29"/>
        <v>-0.00495199216</v>
      </c>
      <c r="G45" s="14">
        <f t="shared" si="29"/>
        <v>0.02898146006</v>
      </c>
      <c r="H45" s="14">
        <f t="shared" si="29"/>
        <v>0.0379671133</v>
      </c>
      <c r="I45" s="14">
        <f t="shared" si="29"/>
        <v>0.02146520693</v>
      </c>
      <c r="J45" s="24">
        <f t="shared" ref="J45:K45" si="30">AVERAGE(B45,D45,F45,H45)</f>
        <v>0.006300436187</v>
      </c>
      <c r="K45" s="24">
        <f t="shared" si="30"/>
        <v>0.01958367646</v>
      </c>
      <c r="L45" s="24">
        <f>AVERAGE(J45,K45)</f>
        <v>0.01294205632</v>
      </c>
      <c r="N45" s="43" t="s">
        <v>47</v>
      </c>
      <c r="O45" s="5">
        <f>AVERAGE(K30,K47,K64)</f>
        <v>0.02472525167</v>
      </c>
      <c r="P45" s="44">
        <v>0.012933708923552502</v>
      </c>
      <c r="Q45" s="5">
        <v>0.009864051012962914</v>
      </c>
      <c r="R45" s="5">
        <v>0.02327843614768381</v>
      </c>
      <c r="S45" s="5">
        <v>0.024312872762798716</v>
      </c>
      <c r="T45" s="5">
        <v>0.02472525167394078</v>
      </c>
      <c r="U45" s="45">
        <f t="shared" si="28"/>
        <v>0.0190228641</v>
      </c>
    </row>
    <row r="46">
      <c r="A46" s="7" t="s">
        <v>60</v>
      </c>
      <c r="B46" s="5">
        <f>IFERROR(__xludf.DUMMYFUNCTION("FILTER(SemEval_2025_T2!$E$3:$E$132, 
  REGEXMATCH(SemEval_2025_T2!$A$3:$A$132, ""(?i)"" &amp; $B$21 &amp;""_"" &amp; $A46), NOT(REGEXMATCH(SemEval_2025_T2!$A$3:$A$132, ""(?i)complete""))
)"),0.499797384486858)</f>
        <v>0.4997973845</v>
      </c>
      <c r="C46" s="5">
        <f>IFERROR(__xludf.DUMMYFUNCTION("FILTER(SemEval_2025_T2!$F$3:$F$132, 
  REGEXMATCH(SemEval_2025_T2!$A$3:$A$132, ""(?i)"" &amp; $B$21 &amp;""_"" &amp; $A46), NOT(REGEXMATCH(SemEval_2025_T2!$A$3:$A$132, ""(?i)complete""))
)"),0.275172661886022)</f>
        <v>0.2751726619</v>
      </c>
      <c r="D46" s="5">
        <f>IFERROR(__xludf.DUMMYFUNCTION("FILTER(SemEval_2025_T2!$E$3:$E$132, 
  REGEXMATCH(SemEval_2025_T2!$A$3:$A$132, ""(?i)"" &amp; $D$21 &amp;""_"" &amp; $A46), NOT(REGEXMATCH(SemEval_2025_T2!$A$3:$A$132, ""(?i)complete""))
)"),0.225635200179937)</f>
        <v>0.2256352002</v>
      </c>
      <c r="E46" s="5">
        <f>IFERROR(__xludf.DUMMYFUNCTION("FILTER(SemEval_2025_T2!$F$3:$F$132, 
  REGEXMATCH(SemEval_2025_T2!$A$3:$A$132, ""(?i)"" &amp; $D$21 &amp;""_"" &amp; $A46), NOT(REGEXMATCH(SemEval_2025_T2!$A$3:$A$132, ""(?i)complete""))
)"),0.095786284475758)</f>
        <v>0.09578628448</v>
      </c>
      <c r="F46" s="5">
        <f>IFERROR(__xludf.DUMMYFUNCTION("FILTER(SemEval_2025_T2!$E$3:$E$132, 
  REGEXMATCH(SemEval_2025_T2!$A$3:$A$132, ""(?i)"" &amp; $F$21 &amp;""_"" &amp; $A46), NOT(REGEXMATCH(SemEval_2025_T2!$A$3:$A$132, ""(?i)complete""))
)"),0.283900443416232)</f>
        <v>0.2839004434</v>
      </c>
      <c r="G46" s="5">
        <f>IFERROR(__xludf.DUMMYFUNCTION("FILTER(SemEval_2025_T2!$F$3:$F$132, 
  REGEXMATCH(SemEval_2025_T2!$A$3:$A$132, ""(?i)"" &amp; $F$21 &amp;""_"" &amp; $A46), NOT(REGEXMATCH(SemEval_2025_T2!$A$3:$A$132, ""(?i)complete""))
)"),0.063735660223716)</f>
        <v>0.06373566022</v>
      </c>
      <c r="H46" s="5">
        <f>IFERROR(__xludf.DUMMYFUNCTION("FILTER(SemEval_2025_T2!$E$3:$E$132, 
  REGEXMATCH(SemEval_2025_T2!$A$3:$A$132, ""(?i)"" &amp; $H$21 &amp;""_"" &amp; $A46), NOT(REGEXMATCH(SemEval_2025_T2!$A$3:$A$132, ""(?i)complete""))
)"),0.259658161429214)</f>
        <v>0.2596581614</v>
      </c>
      <c r="I46" s="5">
        <f>IFERROR(__xludf.DUMMYFUNCTION("FILTER(SemEval_2025_T2!$F$3:$F$132, 
  REGEXMATCH(SemEval_2025_T2!$A$3:$A$132, ""(?i)"" &amp; $H$21 &amp;""_"" &amp; $A46), NOT(REGEXMATCH(SemEval_2025_T2!$A$3:$A$132, ""(?i)complete""))
)"),0.026723515261167)</f>
        <v>0.02672351526</v>
      </c>
      <c r="J46" s="8"/>
      <c r="K46" s="8"/>
      <c r="L46" s="8"/>
      <c r="N46" s="43" t="s">
        <v>50</v>
      </c>
      <c r="O46" s="5">
        <f>AVERAGE(K32,K49)</f>
        <v>0.05696044053</v>
      </c>
      <c r="P46" s="44">
        <v>0.042863220741699494</v>
      </c>
      <c r="Q46" s="5">
        <v>0.037764896582902</v>
      </c>
      <c r="R46" s="5">
        <v>0.07389445960868662</v>
      </c>
      <c r="S46" s="5">
        <v>0.06731901123193312</v>
      </c>
      <c r="T46" s="5">
        <v>0.05696044053410012</v>
      </c>
      <c r="U46" s="45">
        <f t="shared" si="28"/>
        <v>0.05576040574</v>
      </c>
    </row>
    <row r="47">
      <c r="A47" s="13" t="s">
        <v>47</v>
      </c>
      <c r="B47" s="14">
        <f t="shared" ref="B47:I47" si="31">B$39-B46</f>
        <v>0.0159515616</v>
      </c>
      <c r="C47" s="14">
        <f t="shared" si="31"/>
        <v>0.02963644987</v>
      </c>
      <c r="D47" s="14">
        <f t="shared" si="31"/>
        <v>0.02955270227</v>
      </c>
      <c r="E47" s="14">
        <f t="shared" si="31"/>
        <v>0.0297022495</v>
      </c>
      <c r="F47" s="14">
        <f t="shared" si="31"/>
        <v>0.01437174346</v>
      </c>
      <c r="G47" s="14">
        <f t="shared" si="31"/>
        <v>0.03319223323</v>
      </c>
      <c r="H47" s="14">
        <f t="shared" si="31"/>
        <v>0.06199813637</v>
      </c>
      <c r="I47" s="14">
        <f t="shared" si="31"/>
        <v>0.01758412788</v>
      </c>
      <c r="J47" s="24">
        <f t="shared" ref="J47:K47" si="32">AVERAGE(B47,D47,F47,H47)</f>
        <v>0.03046853592</v>
      </c>
      <c r="K47" s="24">
        <f t="shared" si="32"/>
        <v>0.02752876512</v>
      </c>
      <c r="L47" s="24">
        <f>AVERAGE(J47,K47)</f>
        <v>0.02899865052</v>
      </c>
      <c r="N47" s="51" t="s">
        <v>53</v>
      </c>
      <c r="O47" s="5">
        <f>AVERAGE(K34,K51)</f>
        <v>0.04893698</v>
      </c>
      <c r="P47" s="52">
        <v>0.03385406314231375</v>
      </c>
      <c r="Q47" s="53">
        <v>0.01733564819781562</v>
      </c>
      <c r="R47" s="53">
        <v>0.05196682751468075</v>
      </c>
      <c r="S47" s="53">
        <v>0.04528674767650512</v>
      </c>
      <c r="T47" s="53">
        <v>0.048936980001255</v>
      </c>
      <c r="U47" s="54">
        <f t="shared" si="28"/>
        <v>0.03947605331</v>
      </c>
    </row>
    <row r="48">
      <c r="A48" s="7" t="s">
        <v>61</v>
      </c>
      <c r="B48" s="5">
        <f>IFERROR(__xludf.DUMMYFUNCTION("FILTER(SemEval_2025_T2!$E$3:$E$132, 
  REGEXMATCH(SemEval_2025_T2!$A$3:$A$132, ""(?i)"" &amp; $B$21 &amp;""_"" &amp; $A48)
)"),0.493213067926225)</f>
        <v>0.4932130679</v>
      </c>
      <c r="C48" s="5">
        <f>IFERROR(__xludf.DUMMYFUNCTION("FILTER(SemEval_2025_T2!$F$3:$F$132, 
  REGEXMATCH(SemEval_2025_T2!$A$3:$A$132, ""(?i)"" &amp; $B$21 &amp;""_"" &amp; $A48)
)"),0.274709964596806)</f>
        <v>0.2747099646</v>
      </c>
      <c r="D48" s="5">
        <f>IFERROR(__xludf.DUMMYFUNCTION("FILTER(SemEval_2025_T2!$E$3:$E$132, 
  REGEXMATCH(SemEval_2025_T2!$A$3:$A$132, ""(?i)"" &amp; $D$21 &amp;""_"" &amp; $A48)
)"),0.223272228648544)</f>
        <v>0.2232722286</v>
      </c>
      <c r="E48" s="5">
        <f>IFERROR(__xludf.DUMMYFUNCTION("FILTER(SemEval_2025_T2!$F$3:$F$132, 
  REGEXMATCH(SemEval_2025_T2!$A$3:$A$132, ""(?i)"" &amp; $D$21 &amp;""_"" &amp; $A48)
)"),0.054960912389454)</f>
        <v>0.05496091239</v>
      </c>
      <c r="F48" s="5">
        <f>IFERROR(__xludf.DUMMYFUNCTION("FILTER(SemEval_2025_T2!$E$3:$E$132, 
  REGEXMATCH(SemEval_2025_T2!$A$3:$A$132, ""(?i)"" &amp; $F$21 &amp;""_"" &amp; $A48)
)"),0.300439374076216)</f>
        <v>0.3004393741</v>
      </c>
      <c r="G48" s="5">
        <f>IFERROR(__xludf.DUMMYFUNCTION("FILTER(SemEval_2025_T2!$F$3:$F$132, 
  REGEXMATCH(SemEval_2025_T2!$A$3:$A$132, ""(?i)"" &amp; $F$21 &amp;""_"" &amp; $A48)
)"),0.040366798406272)</f>
        <v>0.04036679841</v>
      </c>
      <c r="H48" s="5">
        <f>IFERROR(__xludf.DUMMYFUNCTION("FILTER(SemEval_2025_T2!$E$3:$E$132, 
  REGEXMATCH(SemEval_2025_T2!$A$3:$A$132, ""(?i)"" &amp; $H$21 &amp;""_"" &amp; $A48)
)"),0.180634943127048)</f>
        <v>0.1806349431</v>
      </c>
      <c r="I48" s="5">
        <f>IFERROR(__xludf.DUMMYFUNCTION("FILTER(SemEval_2025_T2!$F$3:$F$132, 
  REGEXMATCH(SemEval_2025_T2!$A$3:$A$132, ""(?i)"" &amp; $H$21 &amp;""_"" &amp; $A48)
)"),0.022100388792494)</f>
        <v>0.02210038879</v>
      </c>
      <c r="J48" s="8"/>
      <c r="K48" s="8"/>
      <c r="L48" s="8"/>
    </row>
    <row r="49">
      <c r="A49" s="13" t="s">
        <v>50</v>
      </c>
      <c r="B49" s="14">
        <f t="shared" ref="B49:I49" si="33">B$39-B48</f>
        <v>0.02253587816</v>
      </c>
      <c r="C49" s="14">
        <f t="shared" si="33"/>
        <v>0.03009914716</v>
      </c>
      <c r="D49" s="14">
        <f t="shared" si="33"/>
        <v>0.0319156738</v>
      </c>
      <c r="E49" s="14">
        <f t="shared" si="33"/>
        <v>0.07052762159</v>
      </c>
      <c r="F49" s="14">
        <f t="shared" si="33"/>
        <v>-0.002167187199</v>
      </c>
      <c r="G49" s="14">
        <f t="shared" si="33"/>
        <v>0.05656109505</v>
      </c>
      <c r="H49" s="14">
        <f t="shared" si="33"/>
        <v>0.1410213547</v>
      </c>
      <c r="I49" s="14">
        <f t="shared" si="33"/>
        <v>0.02220725435</v>
      </c>
      <c r="J49" s="24">
        <f t="shared" ref="J49:K49" si="34">AVERAGE(B49,D49,F49,H49)</f>
        <v>0.04832642986</v>
      </c>
      <c r="K49" s="24">
        <f t="shared" si="34"/>
        <v>0.04484877954</v>
      </c>
      <c r="L49" s="24">
        <f>AVERAGE(J49,K49)</f>
        <v>0.0465876047</v>
      </c>
    </row>
    <row r="50">
      <c r="A50" s="7" t="s">
        <v>63</v>
      </c>
      <c r="B50" s="5">
        <f>IFERROR(__xludf.DUMMYFUNCTION("FILTER(SemEval_2025_T2!$E$3:$E$132, 
  REGEXMATCH(SemEval_2025_T2!$A$3:$A$132, ""(?i)"" &amp; $B$21 &amp;""_"" &amp; $A50)
)"),0.506004639804639)</f>
        <v>0.5060046398</v>
      </c>
      <c r="C50" s="5">
        <f>IFERROR(__xludf.DUMMYFUNCTION("FILTER(SemEval_2025_T2!$F$3:$F$132, 
  REGEXMATCH(SemEval_2025_T2!$A$3:$A$132, ""(?i)"" &amp; $B$21 &amp;""_"" &amp; $A50)
)"),0.278838425519599)</f>
        <v>0.2788384255</v>
      </c>
      <c r="D50" s="5">
        <f>IFERROR(__xludf.DUMMYFUNCTION("FILTER(SemEval_2025_T2!$E$3:$E$132, 
  REGEXMATCH(SemEval_2025_T2!$A$3:$A$132, ""(?i)"" &amp; $D$21 &amp;""_"" &amp; $A50)
)"),0.196936048454469)</f>
        <v>0.1969360485</v>
      </c>
      <c r="E50" s="5">
        <f>IFERROR(__xludf.DUMMYFUNCTION("FILTER(SemEval_2025_T2!$F$3:$F$132, 
  REGEXMATCH(SemEval_2025_T2!$A$3:$A$132, ""(?i)"" &amp; $D$21 &amp;""_"" &amp; $A50)
)"),0.063800009931588)</f>
        <v>0.06380000993</v>
      </c>
      <c r="F50" s="5">
        <f>IFERROR(__xludf.DUMMYFUNCTION("FILTER(SemEval_2025_T2!$E$3:$E$132, 
  REGEXMATCH(SemEval_2025_T2!$A$3:$A$132, ""(?i)"" &amp; $F$21 &amp;""_"" &amp; $A50)
)"),0.2725549900392)</f>
        <v>0.27255499</v>
      </c>
      <c r="G50" s="5">
        <f>IFERROR(__xludf.DUMMYFUNCTION("FILTER(SemEval_2025_T2!$F$3:$F$132, 
  REGEXMATCH(SemEval_2025_T2!$A$3:$A$132, ""(?i)"" &amp; $F$21 &amp;""_"" &amp; $A50)
)"),0.056369605248552)</f>
        <v>0.05636960525</v>
      </c>
      <c r="H50" s="5">
        <f>IFERROR(__xludf.DUMMYFUNCTION("FILTER(SemEval_2025_T2!$E$3:$E$132, 
  REGEXMATCH(SemEval_2025_T2!$A$3:$A$132, ""(?i)"" &amp; $H$21 &amp;""_"" &amp; $A50)
)"),0.247308013623803)</f>
        <v>0.2473080136</v>
      </c>
      <c r="I50" s="5">
        <f>IFERROR(__xludf.DUMMYFUNCTION("FILTER(SemEval_2025_T2!$F$3:$F$132, 
  REGEXMATCH(SemEval_2025_T2!$A$3:$A$132, ""(?i)"" &amp; $H$21 &amp;""_"" &amp; $A50)
)"),0.031142846919162)</f>
        <v>0.03114284692</v>
      </c>
      <c r="J50" s="8"/>
      <c r="K50" s="8"/>
      <c r="L50" s="8"/>
    </row>
    <row r="51">
      <c r="A51" s="13" t="s">
        <v>53</v>
      </c>
      <c r="B51" s="14">
        <f t="shared" ref="B51:I51" si="35">B$39-B50</f>
        <v>0.009744306279</v>
      </c>
      <c r="C51" s="14">
        <f t="shared" si="35"/>
        <v>0.02597068624</v>
      </c>
      <c r="D51" s="14">
        <f t="shared" si="35"/>
        <v>0.05825185399</v>
      </c>
      <c r="E51" s="14">
        <f t="shared" si="35"/>
        <v>0.06168852405</v>
      </c>
      <c r="F51" s="14">
        <f t="shared" si="35"/>
        <v>0.02571719684</v>
      </c>
      <c r="G51" s="14">
        <f t="shared" si="35"/>
        <v>0.0405582882</v>
      </c>
      <c r="H51" s="14">
        <f t="shared" si="35"/>
        <v>0.07434828417</v>
      </c>
      <c r="I51" s="14">
        <f t="shared" si="35"/>
        <v>0.01316479622</v>
      </c>
      <c r="J51" s="24">
        <f t="shared" ref="J51:K51" si="36">AVERAGE(B51,D51,F51,H51)</f>
        <v>0.04201541032</v>
      </c>
      <c r="K51" s="24">
        <f t="shared" si="36"/>
        <v>0.03534557368</v>
      </c>
      <c r="L51" s="24">
        <f>AVERAGE(J51,K51)</f>
        <v>0.038680492</v>
      </c>
    </row>
    <row r="52">
      <c r="B52" s="8" t="str">
        <f t="shared" ref="B52:I52" si="37">AVERAGE(#REF!,B41,B43,B45,B47,B49,B51)</f>
        <v>#REF!</v>
      </c>
      <c r="C52" s="8" t="str">
        <f t="shared" si="37"/>
        <v>#REF!</v>
      </c>
      <c r="D52" s="8" t="str">
        <f t="shared" si="37"/>
        <v>#REF!</v>
      </c>
      <c r="E52" s="8" t="str">
        <f t="shared" si="37"/>
        <v>#REF!</v>
      </c>
      <c r="F52" s="8" t="str">
        <f t="shared" si="37"/>
        <v>#REF!</v>
      </c>
      <c r="G52" s="8" t="str">
        <f t="shared" si="37"/>
        <v>#REF!</v>
      </c>
      <c r="H52" s="8" t="str">
        <f t="shared" si="37"/>
        <v>#REF!</v>
      </c>
      <c r="I52" s="8" t="str">
        <f t="shared" si="37"/>
        <v>#REF!</v>
      </c>
    </row>
    <row r="53">
      <c r="B53" s="8" t="str">
        <f>AVERAGE(B52,C52)</f>
        <v>#REF!</v>
      </c>
      <c r="C53" s="8"/>
      <c r="D53" s="8" t="str">
        <f>AVERAGE(D52,E52)</f>
        <v>#REF!</v>
      </c>
      <c r="E53" s="8"/>
      <c r="F53" s="8" t="str">
        <f>AVERAGE(F52,G52)</f>
        <v>#REF!</v>
      </c>
      <c r="G53" s="8"/>
      <c r="H53" s="8" t="str">
        <f>AVERAGE(H52,I52)</f>
        <v>#REF!</v>
      </c>
      <c r="I53" s="8"/>
    </row>
    <row r="55">
      <c r="A55" s="1" t="s">
        <v>79</v>
      </c>
      <c r="B55" s="7" t="s">
        <v>13</v>
      </c>
      <c r="D55" s="1" t="s">
        <v>15</v>
      </c>
      <c r="E55" s="1"/>
      <c r="F55" s="1" t="s">
        <v>16</v>
      </c>
      <c r="G55" s="1"/>
      <c r="H55" s="7" t="s">
        <v>17</v>
      </c>
      <c r="I55" s="1"/>
    </row>
    <row r="56">
      <c r="A56" s="7" t="s">
        <v>26</v>
      </c>
      <c r="B56" s="5">
        <f>IFERROR(__xludf.DUMMYFUNCTION("FILTER(SemEval_2025_T2!$C$3:$C$132, 
  REGEXMATCH(SemEval_2025_T2!$A$3:$A$132, ""(?i)"" &amp; $B$21 &amp;""_"" &amp; $A56)
)"),0.509893371248634)</f>
        <v>0.5098933712</v>
      </c>
      <c r="C56" s="5">
        <f>IFERROR(__xludf.DUMMYFUNCTION("FILTER(SemEval_2025_T2!$D$3:$D$132, 
  REGEXMATCH(SemEval_2025_T2!$A$3:$A$132, ""(?i)"" &amp; $B$21 &amp;""_"" &amp; $A56)
)"),0.311016641253483)</f>
        <v>0.3110166413</v>
      </c>
      <c r="D56" s="5">
        <f>IFERROR(__xludf.DUMMYFUNCTION("FILTER(SemEval_2025_T2!$C$3:$C$132, 
  REGEXMATCH(SemEval_2025_T2!$A$3:$A$132, ""(?i)"" &amp; $D$21 &amp;""_"" &amp; $A56)
)"),0.053231630357946)</f>
        <v>0.05323163036</v>
      </c>
      <c r="E56" s="5">
        <f>IFERROR(__xludf.DUMMYFUNCTION("FILTER(SemEval_2025_T2!$D$3:$D$132, 
  REGEXMATCH(SemEval_2025_T2!$A$3:$A$132, ""(?i)"" &amp; $D$21 &amp;""_"" &amp; $A56)
)"),0.026355581260844)</f>
        <v>0.02635558126</v>
      </c>
      <c r="F56" s="5">
        <f>IFERROR(__xludf.DUMMYFUNCTION("FILTER(SemEval_2025_T2!$C$3:$C$132, 
  REGEXMATCH(SemEval_2025_T2!$A$3:$A$132, ""(?i)"" &amp; $F$21 &amp;""_"" &amp; $A56)
)"),0.260835643596169)</f>
        <v>0.2608356436</v>
      </c>
      <c r="G56" s="5">
        <f>IFERROR(__xludf.DUMMYFUNCTION("FILTER(SemEval_2025_T2!$D$3:$D$132, 
  REGEXMATCH(SemEval_2025_T2!$A$3:$A$132, ""(?i)"" &amp; $F$21 &amp;""_"" &amp; $A56)
)"),0.06056911772438)</f>
        <v>0.06056911772</v>
      </c>
      <c r="H56" s="5">
        <f>IFERROR(__xludf.DUMMYFUNCTION("FILTER(SemEval_2025_T2!$C$3:$C$132, 
  REGEXMATCH(SemEval_2025_T2!$A$3:$A$132, ""(?i)"" &amp; $H$21 &amp;""_"" &amp; $A56)
)"),0.230424664224664)</f>
        <v>0.2304246642</v>
      </c>
      <c r="I56" s="5">
        <f>IFERROR(__xludf.DUMMYFUNCTION("FILTER(SemEval_2025_T2!$D$3:$D$132, 
  REGEXMATCH(SemEval_2025_T2!$A$3:$A$132, ""(?i)"" &amp; $H$21 &amp;""_"" &amp; $A56)
)"),0.023545608350264)</f>
        <v>0.02354560835</v>
      </c>
    </row>
    <row r="57">
      <c r="A57" s="7" t="s">
        <v>58</v>
      </c>
      <c r="B57" s="5" t="str">
        <f>IFERROR(__xludf.DUMMYFUNCTION("FILTER(SemEval_2025_T2!$C$3:$C$132, 
  REGEXMATCH(SemEval_2025_T2!$A$3:$A$132, ""(?i)"" &amp; $B$21 &amp;""_"" &amp; $A57)
)"),"")</f>
        <v/>
      </c>
      <c r="C57" s="5" t="str">
        <f>IFERROR(__xludf.DUMMYFUNCTION("FILTER(SemEval_2025_T2!$D$3:$D$132, 
  REGEXMATCH(SemEval_2025_T2!$A$3:$A$132, ""(?i)"" &amp; $B$21 &amp;""_"" &amp; $A57)
)"),"")</f>
        <v/>
      </c>
      <c r="D57" s="5">
        <f>IFERROR(__xludf.DUMMYFUNCTION("FILTER(SemEval_2025_T2!$C$3:$C$132, 
  REGEXMATCH(SemEval_2025_T2!$A$3:$A$132, ""(?i)"" &amp; $D$21 &amp;""_"" &amp; $A57)
)"),0.061765240023134)</f>
        <v>0.06176524002</v>
      </c>
      <c r="E57" s="5">
        <f>IFERROR(__xludf.DUMMYFUNCTION("FILTER(SemEval_2025_T2!$D$3:$D$132, 
  REGEXMATCH(SemEval_2025_T2!$A$3:$A$132, ""(?i)"" &amp; $D$21 &amp;""_"" &amp; $A57)
)"),0.029348708309234)</f>
        <v>0.02934870831</v>
      </c>
      <c r="F57" s="5">
        <f>IFERROR(__xludf.DUMMYFUNCTION("FILTER(SemEval_2025_T2!$C$3:$C$132, 
  REGEXMATCH(SemEval_2025_T2!$A$3:$A$132, ""(?i)"" &amp; $F$21 &amp;""_"" &amp; $A57)
)"),0.286909321380373)</f>
        <v>0.2869093214</v>
      </c>
      <c r="G57" s="5">
        <f>IFERROR(__xludf.DUMMYFUNCTION("FILTER(SemEval_2025_T2!$D$3:$D$132, 
  REGEXMATCH(SemEval_2025_T2!$A$3:$A$132, ""(?i)"" &amp; $F$21 &amp;""_"" &amp; $A57)
)"),0.040739516331621)</f>
        <v>0.04073951633</v>
      </c>
      <c r="H57" s="5">
        <f>IFERROR(__xludf.DUMMYFUNCTION("FILTER(SemEval_2025_T2!$C$3:$C$132, 
  REGEXMATCH(SemEval_2025_T2!$A$3:$A$132, ""(?i)"" &amp; $H$21 &amp;""_"" &amp; $A57)
)"),0.255543317209106)</f>
        <v>0.2555433172</v>
      </c>
      <c r="I57" s="5">
        <f>IFERROR(__xludf.DUMMYFUNCTION("FILTER(SemEval_2025_T2!$D$3:$D$132, 
  REGEXMATCH(SemEval_2025_T2!$A$3:$A$132, ""(?i)"" &amp; $H$21 &amp;""_"" &amp; $A57)
)"),0.040019142778049)</f>
        <v>0.04001914278</v>
      </c>
      <c r="J57" s="8"/>
      <c r="K57" s="8"/>
      <c r="L57" s="8"/>
    </row>
    <row r="58">
      <c r="A58" s="13" t="s">
        <v>37</v>
      </c>
      <c r="B58" s="5" t="str">
        <f t="shared" ref="B58:I58" si="38">IF(B57="", "", B$56-B57)</f>
        <v/>
      </c>
      <c r="C58" s="5" t="str">
        <f t="shared" si="38"/>
        <v/>
      </c>
      <c r="D58" s="5">
        <f t="shared" si="38"/>
        <v>-0.008533609665</v>
      </c>
      <c r="E58" s="5">
        <f t="shared" si="38"/>
        <v>-0.002993127048</v>
      </c>
      <c r="F58" s="5">
        <f t="shared" si="38"/>
        <v>-0.02607367778</v>
      </c>
      <c r="G58" s="5">
        <f t="shared" si="38"/>
        <v>0.01982960139</v>
      </c>
      <c r="H58" s="5">
        <f t="shared" si="38"/>
        <v>-0.02511865298</v>
      </c>
      <c r="I58" s="5">
        <f t="shared" si="38"/>
        <v>-0.01647353443</v>
      </c>
      <c r="J58" s="24">
        <f t="shared" ref="J58:K58" si="39">AVERAGE(B58,D58,F58,H58)</f>
        <v>-0.01990864681</v>
      </c>
      <c r="K58" s="24">
        <f t="shared" si="39"/>
        <v>0.0001209799722</v>
      </c>
      <c r="L58" s="24">
        <f>AVERAGE(J58,K58)</f>
        <v>-0.00989383342</v>
      </c>
    </row>
    <row r="59">
      <c r="A59" s="7" t="s">
        <v>38</v>
      </c>
      <c r="B59" s="5" t="str">
        <f>IFERROR(__xludf.DUMMYFUNCTION("FILTER(SemEval_2025_T2!$C$3:$C$132, 
  REGEXMATCH(SemEval_2025_T2!$A$3:$A$132, ""(?i)"" &amp; $B$21 &amp;""_"" &amp; $A59)
)"),"")</f>
        <v/>
      </c>
      <c r="C59" s="5" t="str">
        <f>IFERROR(__xludf.DUMMYFUNCTION("FILTER(SemEval_2025_T2!$D$3:$D$132, 
  REGEXMATCH(SemEval_2025_T2!$A$3:$A$132, ""(?i)"" &amp; $B$21 &amp;""_"" &amp; $A59)
)"),"")</f>
        <v/>
      </c>
      <c r="D59" s="5">
        <f>IFERROR(__xludf.DUMMYFUNCTION("FILTER(SemEval_2025_T2!$C$3:$C$132, 
  REGEXMATCH(SemEval_2025_T2!$A$3:$A$132, ""(?i)"" &amp; $D$21 &amp;""_"" &amp; $A59)
)"),0.037621149026412)</f>
        <v>0.03762114903</v>
      </c>
      <c r="E59" s="5">
        <f>IFERROR(__xludf.DUMMYFUNCTION("FILTER(SemEval_2025_T2!$D$3:$D$132, 
  REGEXMATCH(SemEval_2025_T2!$A$3:$A$132, ""(?i)"" &amp; $D$21 &amp;""_"" &amp; $A59)
)"),0.018537574705995)</f>
        <v>0.01853757471</v>
      </c>
      <c r="F59" s="5">
        <f>IFERROR(__xludf.DUMMYFUNCTION("FILTER(SemEval_2025_T2!$C$3:$C$132, 
  REGEXMATCH(SemEval_2025_T2!$A$3:$A$132, ""(?i)"" &amp; $F$21 &amp;""_"" &amp; $A59)
)"),0.281565625602467)</f>
        <v>0.2815656256</v>
      </c>
      <c r="G59" s="5">
        <f>IFERROR(__xludf.DUMMYFUNCTION("FILTER(SemEval_2025_T2!$D$3:$D$132, 
  REGEXMATCH(SemEval_2025_T2!$A$3:$A$132, ""(?i)"" &amp; $F$21 &amp;""_"" &amp; $A59)
)"),0.036163580571475)</f>
        <v>0.03616358057</v>
      </c>
      <c r="H59" s="5">
        <f>IFERROR(__xludf.DUMMYFUNCTION("FILTER(SemEval_2025_T2!$C$3:$C$132, 
  REGEXMATCH(SemEval_2025_T2!$A$3:$A$132, ""(?i)"" &amp; $H$21 &amp;""_"" &amp; $A59)
)"),0.264778645331276)</f>
        <v>0.2647786453</v>
      </c>
      <c r="I59" s="5">
        <f>IFERROR(__xludf.DUMMYFUNCTION("FILTER(SemEval_2025_T2!$D$3:$D$132, 
  REGEXMATCH(SemEval_2025_T2!$A$3:$A$132, ""(?i)"" &amp; $H$21 &amp;""_"" &amp; $A59)
)"),0.056234737192631)</f>
        <v>0.05623473719</v>
      </c>
      <c r="J59" s="8"/>
      <c r="K59" s="8"/>
      <c r="L59" s="8"/>
    </row>
    <row r="60">
      <c r="A60" s="13" t="s">
        <v>40</v>
      </c>
      <c r="B60" s="5" t="str">
        <f t="shared" ref="B60:I60" si="40">IF(B59="", "", B$56-B59)</f>
        <v/>
      </c>
      <c r="C60" s="5" t="str">
        <f t="shared" si="40"/>
        <v/>
      </c>
      <c r="D60" s="5">
        <f t="shared" si="40"/>
        <v>0.01561048133</v>
      </c>
      <c r="E60" s="5">
        <f t="shared" si="40"/>
        <v>0.007818006555</v>
      </c>
      <c r="F60" s="5">
        <f t="shared" si="40"/>
        <v>-0.02072998201</v>
      </c>
      <c r="G60" s="5">
        <f t="shared" si="40"/>
        <v>0.02440553715</v>
      </c>
      <c r="H60" s="5">
        <f t="shared" si="40"/>
        <v>-0.03435398111</v>
      </c>
      <c r="I60" s="5">
        <f t="shared" si="40"/>
        <v>-0.03268912884</v>
      </c>
      <c r="J60" s="24">
        <f t="shared" ref="J60:K60" si="41">AVERAGE(B60,D60,F60,H60)</f>
        <v>-0.01315782726</v>
      </c>
      <c r="K60" s="24">
        <f t="shared" si="41"/>
        <v>-0.0001551950449</v>
      </c>
      <c r="L60" s="24">
        <f>AVERAGE(J60,K60)</f>
        <v>-0.006656511153</v>
      </c>
    </row>
    <row r="61">
      <c r="A61" s="7" t="s">
        <v>59</v>
      </c>
      <c r="B61" s="5" t="str">
        <f>IFERROR(__xludf.DUMMYFUNCTION("FILTER(SemEval_2025_T2!$C$3:$C$132, 
  REGEXMATCH(SemEval_2025_T2!$A$3:$A$132, ""(?i)"" &amp; $B$21 &amp;""_"" &amp; $A61), NOT(REGEXMATCH(SemEval_2025_T2!$A$3:$A$132, ""(?i)complete""))
)"),"")</f>
        <v/>
      </c>
      <c r="C61" s="5" t="str">
        <f>IFERROR(__xludf.DUMMYFUNCTION("FILTER(SemEval_2025_T2!$D$3:$D$132, 
  REGEXMATCH(SemEval_2025_T2!$A$3:$A$132, ""(?i)"" &amp; $B$21 &amp;""_"" &amp; $A61), NOT(REGEXMATCH(SemEval_2025_T2!$A$3:$A$132, ""(?i)complete""))
)"),"")</f>
        <v/>
      </c>
      <c r="D61" s="5">
        <f>IFERROR(__xludf.DUMMYFUNCTION("FILTER(SemEval_2025_T2!$C$3:$C$132, 
  REGEXMATCH(SemEval_2025_T2!$A$3:$A$132, ""(?i)"" &amp; $D$21 &amp;""_"" &amp; $A61), NOT(REGEXMATCH(SemEval_2025_T2!$A$3:$A$132, ""(?i)complete""))
)"),0.043328475033738)</f>
        <v>0.04332847503</v>
      </c>
      <c r="E61" s="5">
        <f>IFERROR(__xludf.DUMMYFUNCTION("FILTER(SemEval_2025_T2!$D$3:$D$132, 
  REGEXMATCH(SemEval_2025_T2!$A$3:$A$132, ""(?i)"" &amp; $D$21 &amp;""_"" &amp; $A61), NOT(REGEXMATCH(SemEval_2025_T2!$A$3:$A$132, ""(?i)complete""))
)"),0.02139393997815)</f>
        <v>0.02139393998</v>
      </c>
      <c r="F61" s="5">
        <f>IFERROR(__xludf.DUMMYFUNCTION("FILTER(SemEval_2025_T2!$C$3:$C$132, 
  REGEXMATCH(SemEval_2025_T2!$A$3:$A$132, ""(?i)"" &amp; $F$21 &amp;""_"" &amp; $A61), NOT(REGEXMATCH(SemEval_2025_T2!$A$3:$A$132, ""(?i)complete""))
)"),0.273295328063749)</f>
        <v>0.2732953281</v>
      </c>
      <c r="G61" s="5">
        <f>IFERROR(__xludf.DUMMYFUNCTION("FILTER(SemEval_2025_T2!$D$3:$D$132, 
  REGEXMATCH(SemEval_2025_T2!$A$3:$A$132, ""(?i)"" &amp; $F$21 &amp;""_"" &amp; $A61), NOT(REGEXMATCH(SemEval_2025_T2!$A$3:$A$132, ""(?i)complete""))
)"),0.051847278160436)</f>
        <v>0.05184727816</v>
      </c>
      <c r="H61" s="5">
        <f>IFERROR(__xludf.DUMMYFUNCTION("FILTER(SemEval_2025_T2!$C$3:$C$132, 
  REGEXMATCH(SemEval_2025_T2!$A$3:$A$132, ""(?i)"" &amp; $H$21 &amp;""_"" &amp; $A61), NOT(REGEXMATCH(SemEval_2025_T2!$A$3:$A$132, ""(?i)complete""))
)"),0.282041790373369)</f>
        <v>0.2820417904</v>
      </c>
      <c r="I61" s="5">
        <f>IFERROR(__xludf.DUMMYFUNCTION("FILTER(SemEval_2025_T2!$D$3:$D$132, 
  REGEXMATCH(SemEval_2025_T2!$A$3:$A$132, ""(?i)"" &amp; $H$21 &amp;""_"" &amp; $A61), NOT(REGEXMATCH(SemEval_2025_T2!$A$3:$A$132, ""(?i)complete""))
)"),0.020204459867617)</f>
        <v>0.02020445987</v>
      </c>
      <c r="J61" s="8"/>
      <c r="K61" s="8"/>
      <c r="L61" s="8"/>
    </row>
    <row r="62">
      <c r="A62" s="13" t="s">
        <v>44</v>
      </c>
      <c r="B62" s="5" t="str">
        <f t="shared" ref="B62:I62" si="42">IF(B61="", "", B$56-B61)</f>
        <v/>
      </c>
      <c r="C62" s="5" t="str">
        <f t="shared" si="42"/>
        <v/>
      </c>
      <c r="D62" s="5">
        <f t="shared" si="42"/>
        <v>0.009903155324</v>
      </c>
      <c r="E62" s="5">
        <f t="shared" si="42"/>
        <v>0.004961641283</v>
      </c>
      <c r="F62" s="5">
        <f t="shared" si="42"/>
        <v>-0.01245968447</v>
      </c>
      <c r="G62" s="5">
        <f t="shared" si="42"/>
        <v>0.008721839564</v>
      </c>
      <c r="H62" s="5">
        <f t="shared" si="42"/>
        <v>-0.05161712615</v>
      </c>
      <c r="I62" s="5">
        <f t="shared" si="42"/>
        <v>0.003341148483</v>
      </c>
      <c r="J62" s="24">
        <f t="shared" ref="J62:K62" si="43">AVERAGE(B62,D62,F62,H62)</f>
        <v>-0.0180578851</v>
      </c>
      <c r="K62" s="24">
        <f t="shared" si="43"/>
        <v>0.005674876443</v>
      </c>
      <c r="L62" s="24">
        <f>AVERAGE(J62,K62)</f>
        <v>-0.006191504327</v>
      </c>
    </row>
    <row r="63">
      <c r="A63" s="7" t="s">
        <v>60</v>
      </c>
      <c r="B63" s="5" t="str">
        <f>IFERROR(__xludf.DUMMYFUNCTION("FILTER(SemEval_2025_T2!$C$3:$C$132, 
  REGEXMATCH(SemEval_2025_T2!$A$3:$A$132, ""(?i)"" &amp; $B$21 &amp;""_"" &amp; $A63), NOT(REGEXMATCH(SemEval_2025_T2!$A$3:$A$132, ""(?i)complete""))
)"),"")</f>
        <v/>
      </c>
      <c r="C63" s="5" t="str">
        <f>IFERROR(__xludf.DUMMYFUNCTION("FILTER(SemEval_2025_T2!$D$3:$D$132, 
  REGEXMATCH(SemEval_2025_T2!$A$3:$A$132, ""(?i)"" &amp; $B$21 &amp;""_"" &amp; $A63), NOT(REGEXMATCH(SemEval_2025_T2!$A$3:$A$132, ""(?i)complete""))
)"),"")</f>
        <v/>
      </c>
      <c r="D63" s="5">
        <f>IFERROR(__xludf.DUMMYFUNCTION("FILTER(SemEval_2025_T2!$C$3:$C$132, 
  REGEXMATCH(SemEval_2025_T2!$A$3:$A$132, ""(?i)"" &amp; $D$21 &amp;""_"" &amp; $A63), NOT(REGEXMATCH(SemEval_2025_T2!$A$3:$A$132, ""(?i)complete""))
)"),0.047214796606901)</f>
        <v>0.04721479661</v>
      </c>
      <c r="E63" s="5">
        <f>IFERROR(__xludf.DUMMYFUNCTION("FILTER(SemEval_2025_T2!$D$3:$D$132, 
  REGEXMATCH(SemEval_2025_T2!$A$3:$A$132, ""(?i)"" &amp; $D$21 &amp;""_"" &amp; $A63), NOT(REGEXMATCH(SemEval_2025_T2!$A$3:$A$132, ""(?i)complete""))
)"),0.021408588779641)</f>
        <v>0.02140858878</v>
      </c>
      <c r="F63" s="5">
        <f>IFERROR(__xludf.DUMMYFUNCTION("FILTER(SemEval_2025_T2!$C$3:$C$132, 
  REGEXMATCH(SemEval_2025_T2!$A$3:$A$132, ""(?i)"" &amp; $F$21 &amp;""_"" &amp; $A63), NOT(REGEXMATCH(SemEval_2025_T2!$A$3:$A$132, ""(?i)complete""))
)"),0.273765442452284)</f>
        <v>0.2737654425</v>
      </c>
      <c r="G63" s="5">
        <f>IFERROR(__xludf.DUMMYFUNCTION("FILTER(SemEval_2025_T2!$D$3:$D$132, 
  REGEXMATCH(SemEval_2025_T2!$A$3:$A$132, ""(?i)"" &amp; $F$21 &amp;""_"" &amp; $A63), NOT(REGEXMATCH(SemEval_2025_T2!$A$3:$A$132, ""(?i)complete""))
)"),0.039897929555824)</f>
        <v>0.03989792956</v>
      </c>
      <c r="H63" s="5">
        <f>IFERROR(__xludf.DUMMYFUNCTION("FILTER(SemEval_2025_T2!$C$3:$C$132, 
  REGEXMATCH(SemEval_2025_T2!$A$3:$A$132, ""(?i)"" &amp; $H$21 &amp;""_"" &amp; $A63), NOT(REGEXMATCH(SemEval_2025_T2!$A$3:$A$132, ""(?i)complete""))
)"),0.256708971145813)</f>
        <v>0.2567089711</v>
      </c>
      <c r="I63" s="5">
        <f>IFERROR(__xludf.DUMMYFUNCTION("FILTER(SemEval_2025_T2!$D$3:$D$132, 
  REGEXMATCH(SemEval_2025_T2!$A$3:$A$132, ""(?i)"" &amp; $H$21 &amp;""_"" &amp; $A63), NOT(REGEXMATCH(SemEval_2025_T2!$A$3:$A$132, ""(?i)complete""))
)"),0.044635044959538)</f>
        <v>0.04463504496</v>
      </c>
      <c r="J63" s="8"/>
      <c r="K63" s="8"/>
      <c r="L63" s="8"/>
    </row>
    <row r="64">
      <c r="A64" s="13" t="s">
        <v>47</v>
      </c>
      <c r="B64" s="5" t="str">
        <f t="shared" ref="B64:I64" si="44">IF(B63="", "", B$56-B63)</f>
        <v/>
      </c>
      <c r="C64" s="5" t="str">
        <f t="shared" si="44"/>
        <v/>
      </c>
      <c r="D64" s="5">
        <f t="shared" si="44"/>
        <v>0.006016833751</v>
      </c>
      <c r="E64" s="5">
        <f t="shared" si="44"/>
        <v>0.004946992481</v>
      </c>
      <c r="F64" s="5">
        <f t="shared" si="44"/>
        <v>-0.01292979886</v>
      </c>
      <c r="G64" s="5">
        <f t="shared" si="44"/>
        <v>0.02067118817</v>
      </c>
      <c r="H64" s="5">
        <f t="shared" si="44"/>
        <v>-0.02628430692</v>
      </c>
      <c r="I64" s="5">
        <f t="shared" si="44"/>
        <v>-0.02108943661</v>
      </c>
      <c r="J64" s="24">
        <f t="shared" ref="J64:K64" si="45">AVERAGE(B64,D64,F64,H64)</f>
        <v>-0.01106575734</v>
      </c>
      <c r="K64" s="24">
        <f t="shared" si="45"/>
        <v>0.001509581347</v>
      </c>
      <c r="L64" s="24">
        <f>AVERAGE(J64,K64)</f>
        <v>-0.004778087998</v>
      </c>
    </row>
    <row r="65">
      <c r="A65" s="7" t="s">
        <v>61</v>
      </c>
      <c r="B65" s="5" t="str">
        <f>IFERROR(__xludf.DUMMYFUNCTION("FILTER(SemEval_2025_T2!$C$3:$C$132, 
  REGEXMATCH(SemEval_2025_T2!$A$3:$A$132, ""(?i)"" &amp; $B$21 &amp;""_"" &amp; $A65)
)"),"")</f>
        <v/>
      </c>
      <c r="C65" s="5" t="str">
        <f>IFERROR(__xludf.DUMMYFUNCTION("FILTER(SemEval_2025_T2!$D$3:$D$132, 
  REGEXMATCH(SemEval_2025_T2!$A$3:$A$132, ""(?i)"" &amp; $B$21 &amp;""_"" &amp; $A65)
)"),"")</f>
        <v/>
      </c>
      <c r="D65" s="5" t="str">
        <f>IFERROR(__xludf.DUMMYFUNCTION("FILTER(SemEval_2025_T2!$C$3:$C$132, 
  REGEXMATCH(SemEval_2025_T2!$A$3:$A$132, ""(?i)"" &amp; $D$21 &amp;""_"" &amp; $A65)
)"),"")</f>
        <v/>
      </c>
      <c r="E65" s="5" t="str">
        <f>IFERROR(__xludf.DUMMYFUNCTION("FILTER(SemEval_2025_T2!$D$3:$D$132, 
  REGEXMATCH(SemEval_2025_T2!$A$3:$A$132, ""(?i)"" &amp; $D$21 &amp;""_"" &amp; $A65)
)"),"")</f>
        <v/>
      </c>
      <c r="F65" s="5" t="str">
        <f>IFERROR(__xludf.DUMMYFUNCTION("FILTER(SemEval_2025_T2!$C$3:$C$132, 
  REGEXMATCH(SemEval_2025_T2!$A$3:$A$132, ""(?i)"" &amp; $F$21 &amp;""_"" &amp; $A65)
)"),"")</f>
        <v/>
      </c>
      <c r="G65" s="5" t="str">
        <f>IFERROR(__xludf.DUMMYFUNCTION("FILTER(SemEval_2025_T2!$D$3:$D$132, 
  REGEXMATCH(SemEval_2025_T2!$A$3:$A$132, ""(?i)"" &amp; $F$21 &amp;""_"" &amp; $A65)
)"),"")</f>
        <v/>
      </c>
      <c r="H65" s="5">
        <f>IFERROR(__xludf.DUMMYFUNCTION("FILTER(SemEval_2025_T2!$C$3:$C$132, 
  REGEXMATCH(SemEval_2025_T2!$A$3:$A$132, ""(?i)"" &amp; $H$21 &amp;""_"" &amp; $A65)
)"),0.171234207313154)</f>
        <v>0.1712342073</v>
      </c>
      <c r="I65" s="5">
        <f>IFERROR(__xludf.DUMMYFUNCTION("FILTER(SemEval_2025_T2!$D$3:$D$132, 
  REGEXMATCH(SemEval_2025_T2!$A$3:$A$132, ""(?i)"" &amp; $H$21 &amp;""_"" &amp; $A65)
)"),0.035726314913157)</f>
        <v>0.03572631491</v>
      </c>
      <c r="J65" s="8"/>
      <c r="K65" s="8"/>
      <c r="L65" s="8"/>
    </row>
    <row r="66">
      <c r="A66" s="13" t="s">
        <v>50</v>
      </c>
      <c r="B66" s="5" t="str">
        <f t="shared" ref="B66:I66" si="46">IF(B65="", "", B$56-B65)</f>
        <v/>
      </c>
      <c r="C66" s="5" t="str">
        <f t="shared" si="46"/>
        <v/>
      </c>
      <c r="D66" s="5" t="str">
        <f t="shared" si="46"/>
        <v/>
      </c>
      <c r="E66" s="5" t="str">
        <f t="shared" si="46"/>
        <v/>
      </c>
      <c r="F66" s="5" t="str">
        <f t="shared" si="46"/>
        <v/>
      </c>
      <c r="G66" s="5" t="str">
        <f t="shared" si="46"/>
        <v/>
      </c>
      <c r="H66" s="5">
        <f t="shared" si="46"/>
        <v>0.05919045691</v>
      </c>
      <c r="I66" s="5">
        <f t="shared" si="46"/>
        <v>-0.01218070656</v>
      </c>
      <c r="J66" s="8"/>
      <c r="K66" s="8"/>
      <c r="L66" s="8"/>
    </row>
    <row r="67">
      <c r="A67" s="7" t="s">
        <v>63</v>
      </c>
      <c r="B67" s="5" t="str">
        <f>IFERROR(__xludf.DUMMYFUNCTION("FILTER(SemEval_2025_T2!$C$3:$C$132, 
  REGEXMATCH(SemEval_2025_T2!$A$3:$A$132, ""(?i)"" &amp; $B$21 &amp;""_"" &amp; $A67)
)"),"")</f>
        <v/>
      </c>
      <c r="C67" s="5" t="str">
        <f>IFERROR(__xludf.DUMMYFUNCTION("FILTER(SemEval_2025_T2!$D$3:$D$132, 
  REGEXMATCH(SemEval_2025_T2!$A$3:$A$132, ""(?i)"" &amp; $B$21 &amp;""_"" &amp; $A67)
)"),"")</f>
        <v/>
      </c>
      <c r="D67" s="5" t="str">
        <f>IFERROR(__xludf.DUMMYFUNCTION("FILTER(SemEval_2025_T2!$C$3:$C$132, 
  REGEXMATCH(SemEval_2025_T2!$A$3:$A$132, ""(?i)"" &amp; $D$21 &amp;""_"" &amp; $A67)
)"),"")</f>
        <v/>
      </c>
      <c r="E67" s="5" t="str">
        <f>IFERROR(__xludf.DUMMYFUNCTION("FILTER(SemEval_2025_T2!$D$3:$D$132, 
  REGEXMATCH(SemEval_2025_T2!$A$3:$A$132, ""(?i)"" &amp; $D$21 &amp;""_"" &amp; $A67)
)"),"")</f>
        <v/>
      </c>
      <c r="F67" s="5" t="str">
        <f>IFERROR(__xludf.DUMMYFUNCTION("FILTER(SemEval_2025_T2!$C$3:$C$132, 
  REGEXMATCH(SemEval_2025_T2!$A$3:$A$132, ""(?i)"" &amp; $F$21 &amp;""_"" &amp; $A67)
)"),"")</f>
        <v/>
      </c>
      <c r="G67" s="5" t="str">
        <f>IFERROR(__xludf.DUMMYFUNCTION("FILTER(SemEval_2025_T2!$D$3:$D$132, 
  REGEXMATCH(SemEval_2025_T2!$A$3:$A$132, ""(?i)"" &amp; $F$21 &amp;""_"" &amp; $A67)
)"),"")</f>
        <v/>
      </c>
      <c r="H67" s="5">
        <f>IFERROR(__xludf.DUMMYFUNCTION("FILTER(SemEval_2025_T2!$C$3:$C$132, 
  REGEXMATCH(SemEval_2025_T2!$A$3:$A$132, ""(?i)"" &amp; $H$21 &amp;""_"" &amp; $A67)
)"),0.228446018893387)</f>
        <v>0.2284460189</v>
      </c>
      <c r="I67" s="5">
        <f>IFERROR(__xludf.DUMMYFUNCTION("FILTER(SemEval_2025_T2!$D$3:$D$132, 
  REGEXMATCH(SemEval_2025_T2!$A$3:$A$132, ""(?i)"" &amp; $H$21 &amp;""_"" &amp; $A67)
)"),0.030942465137201)</f>
        <v>0.03094246514</v>
      </c>
      <c r="J67" s="8"/>
      <c r="K67" s="8"/>
      <c r="L67" s="8"/>
    </row>
    <row r="68">
      <c r="A68" s="13" t="s">
        <v>53</v>
      </c>
      <c r="B68" s="5" t="str">
        <f t="shared" ref="B68:I68" si="47">IF(B67="", "", B$56-B67)</f>
        <v/>
      </c>
      <c r="C68" s="5" t="str">
        <f t="shared" si="47"/>
        <v/>
      </c>
      <c r="D68" s="5" t="str">
        <f t="shared" si="47"/>
        <v/>
      </c>
      <c r="E68" s="5" t="str">
        <f t="shared" si="47"/>
        <v/>
      </c>
      <c r="F68" s="5" t="str">
        <f t="shared" si="47"/>
        <v/>
      </c>
      <c r="G68" s="5" t="str">
        <f t="shared" si="47"/>
        <v/>
      </c>
      <c r="H68" s="5">
        <f t="shared" si="47"/>
        <v>0.001978645331</v>
      </c>
      <c r="I68" s="5">
        <f t="shared" si="47"/>
        <v>-0.007396856787</v>
      </c>
      <c r="J68" s="8"/>
      <c r="K68" s="8"/>
      <c r="L68" s="8"/>
    </row>
    <row r="69">
      <c r="B69" s="8" t="str">
        <f t="shared" ref="B69:I69" si="48">AVERAGE(#REF!,B58,B60,B62,B64,B66,B68)</f>
        <v>#REF!</v>
      </c>
      <c r="C69" s="8" t="str">
        <f t="shared" si="48"/>
        <v>#REF!</v>
      </c>
      <c r="D69" s="8" t="str">
        <f t="shared" si="48"/>
        <v>#REF!</v>
      </c>
      <c r="E69" s="8" t="str">
        <f t="shared" si="48"/>
        <v>#REF!</v>
      </c>
      <c r="F69" s="8" t="str">
        <f t="shared" si="48"/>
        <v>#REF!</v>
      </c>
      <c r="G69" s="8" t="str">
        <f t="shared" si="48"/>
        <v>#REF!</v>
      </c>
      <c r="H69" s="8" t="str">
        <f t="shared" si="48"/>
        <v>#REF!</v>
      </c>
      <c r="I69" s="8" t="str">
        <f t="shared" si="48"/>
        <v>#REF!</v>
      </c>
    </row>
    <row r="70">
      <c r="B70" s="8" t="str">
        <f>AVERAGE(B69,C69)</f>
        <v>#REF!</v>
      </c>
      <c r="C70" s="8"/>
      <c r="D70" s="8" t="str">
        <f>AVERAGE(D69,E69)</f>
        <v>#REF!</v>
      </c>
      <c r="E70" s="8"/>
      <c r="F70" s="8" t="str">
        <f>AVERAGE(F69,G69)</f>
        <v>#REF!</v>
      </c>
      <c r="G70" s="8"/>
      <c r="H70" s="8" t="str">
        <f>AVERAGE(H69,I69)</f>
        <v>#REF!</v>
      </c>
      <c r="I7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13" max="13" width="22.63"/>
  </cols>
  <sheetData>
    <row r="1">
      <c r="A1" s="1" t="s">
        <v>1</v>
      </c>
      <c r="B1" s="2" t="s">
        <v>3</v>
      </c>
      <c r="M1" s="3"/>
    </row>
    <row r="2">
      <c r="A2" s="1" t="s">
        <v>14</v>
      </c>
      <c r="B2" s="7" t="s">
        <v>13</v>
      </c>
      <c r="D2" s="1" t="s">
        <v>15</v>
      </c>
      <c r="E2" s="5"/>
      <c r="F2" s="1" t="s">
        <v>16</v>
      </c>
      <c r="G2" s="5"/>
      <c r="H2" s="7" t="s">
        <v>17</v>
      </c>
      <c r="I2" s="5"/>
      <c r="L2" s="12"/>
    </row>
    <row r="3">
      <c r="A3" s="7" t="s">
        <v>21</v>
      </c>
      <c r="B3" s="5">
        <f>IFERROR(__xludf.DUMMYFUNCTION("FILTER(Dipromats!C$3:C$101, 
  REGEXMATCH(Dipromats!$A$3:$A$101, ""(?i)"" &amp; $A3)
)"),0.634504615288617)</f>
        <v>0.6345046153</v>
      </c>
      <c r="C3" s="5">
        <f>IFERROR(__xludf.DUMMYFUNCTION("FILTER(Dipromats!D$3:D$101, 
  REGEXMATCH(Dipromats!$A$3:$A$101, ""(?i)"" &amp; $A3)
)"),0.583394320061881)</f>
        <v>0.5833943201</v>
      </c>
      <c r="D3" s="5">
        <f>IFERROR(__xludf.DUMMYFUNCTION("FILTER(Dipromats!E$3:E$101, 
  REGEXMATCH(Dipromats!$A$3:$A$101, ""(?i)"" &amp; $A3)
)"),0.612546907727468)</f>
        <v>0.6125469077</v>
      </c>
      <c r="E3" s="5">
        <f>IFERROR(__xludf.DUMMYFUNCTION("FILTER(Dipromats!F$3:F$101, 
  REGEXMATCH(Dipromats!$A$3:$A$101, ""(?i)"" &amp; $A3)
)"),0.564694414756619)</f>
        <v>0.5646944148</v>
      </c>
      <c r="F3" s="5">
        <f>IFERROR(__xludf.DUMMYFUNCTION("FILTER(Dipromats!G$3:G$101, 
  REGEXMATCH(Dipromats!$A$3:$A$101, ""(?i)"" &amp; $A3)
)"),0.551936514723647)</f>
        <v>0.5519365147</v>
      </c>
      <c r="G3" s="5">
        <f>IFERROR(__xludf.DUMMYFUNCTION("FILTER(Dipromats!H$3:H$101, 
  REGEXMATCH(Dipromats!$A$3:$A$101, ""(?i)"" &amp; $A3)
)"),0.498994997427713)</f>
        <v>0.4989949974</v>
      </c>
      <c r="H3" s="5">
        <f>IFERROR(__xludf.DUMMYFUNCTION("FILTER(Dipromats!I$3:I$101, 
  REGEXMATCH(Dipromats!$A$3:$A$101, ""(?i)"" &amp; $A3)
)"),0.333605146281453)</f>
        <v>0.3336051463</v>
      </c>
      <c r="I3" s="5">
        <f>IFERROR(__xludf.DUMMYFUNCTION("FILTER(Dipromats!J$3:J$101, 
  REGEXMATCH(Dipromats!$A$3:$A$101, ""(?i)"" &amp; $A3)
)"),0.367508834746624)</f>
        <v>0.3675088347</v>
      </c>
      <c r="L3" s="16"/>
    </row>
    <row r="4">
      <c r="A4" s="7" t="s">
        <v>26</v>
      </c>
      <c r="B4" s="5">
        <f>IFERROR(__xludf.DUMMYFUNCTION("FILTER(Dipromats!C$3:C$101, 
  REGEXMATCH(Dipromats!$A$3:$A$101, ""(?i)"" &amp; $A4)
)"),0.638654812715595)</f>
        <v>0.6386548127</v>
      </c>
      <c r="C4" s="5">
        <f>IFERROR(__xludf.DUMMYFUNCTION("FILTER(Dipromats!D$3:D$101, 
  REGEXMATCH(Dipromats!$A$3:$A$101, ""(?i)"" &amp; $A4)
)"),0.613462791622532)</f>
        <v>0.6134627916</v>
      </c>
      <c r="D4" s="5">
        <f>IFERROR(__xludf.DUMMYFUNCTION("FILTER(Dipromats!E$3:E$101, 
  REGEXMATCH(Dipromats!$A$3:$A$101, ""(?i)"" &amp; $A4)
)"),0.624175131263906)</f>
        <v>0.6241751313</v>
      </c>
      <c r="E4" s="5">
        <f>IFERROR(__xludf.DUMMYFUNCTION("FILTER(Dipromats!F$3:F$101, 
  REGEXMATCH(Dipromats!$A$3:$A$101, ""(?i)"" &amp; $A4)
)"),0.593223331315557)</f>
        <v>0.5932233313</v>
      </c>
      <c r="F4" s="5">
        <f>IFERROR(__xludf.DUMMYFUNCTION("FILTER(Dipromats!G$3:G$101, 
  REGEXMATCH(Dipromats!$A$3:$A$101, ""(?i)"" &amp; $A4)
)"),0.572478446675392)</f>
        <v>0.5724784467</v>
      </c>
      <c r="G4" s="5">
        <f>IFERROR(__xludf.DUMMYFUNCTION("FILTER(Dipromats!H$3:H$101, 
  REGEXMATCH(Dipromats!$A$3:$A$101, ""(?i)"" &amp; $A4)
)"),0.534765902917699)</f>
        <v>0.5347659029</v>
      </c>
      <c r="H4" s="5">
        <f>IFERROR(__xludf.DUMMYFUNCTION("FILTER(Dipromats!I$3:I$101, 
  REGEXMATCH(Dipromats!$A$3:$A$101, ""(?i)"" &amp; $A4)
)"),0.335225441305954)</f>
        <v>0.3352254413</v>
      </c>
      <c r="I4" s="5">
        <f>IFERROR(__xludf.DUMMYFUNCTION("FILTER(Dipromats!J$3:J$101, 
  REGEXMATCH(Dipromats!$A$3:$A$101, ""(?i)"" &amp; $A4)
)"),0.352567599779278)</f>
        <v>0.3525675998</v>
      </c>
      <c r="L4" s="16"/>
      <c r="N4" s="6" t="s">
        <v>31</v>
      </c>
      <c r="O4" s="6" t="s">
        <v>7</v>
      </c>
      <c r="P4" s="6" t="s">
        <v>8</v>
      </c>
      <c r="Q4" s="6" t="s">
        <v>9</v>
      </c>
      <c r="R4" s="6" t="s">
        <v>10</v>
      </c>
      <c r="S4" s="6" t="s">
        <v>11</v>
      </c>
      <c r="T4" s="6" t="s">
        <v>12</v>
      </c>
    </row>
    <row r="5">
      <c r="A5" s="13" t="s">
        <v>32</v>
      </c>
      <c r="B5" s="14">
        <f t="shared" ref="B5:I5" si="1">B3-B4</f>
        <v>-0.004150197427</v>
      </c>
      <c r="C5" s="14">
        <f t="shared" si="1"/>
        <v>-0.03006847156</v>
      </c>
      <c r="D5" s="14">
        <f t="shared" si="1"/>
        <v>-0.01162822354</v>
      </c>
      <c r="E5" s="14">
        <f t="shared" si="1"/>
        <v>-0.02852891656</v>
      </c>
      <c r="F5" s="14">
        <f t="shared" si="1"/>
        <v>-0.02054193195</v>
      </c>
      <c r="G5" s="14">
        <f t="shared" si="1"/>
        <v>-0.03577090549</v>
      </c>
      <c r="H5" s="14">
        <f t="shared" si="1"/>
        <v>-0.001620295025</v>
      </c>
      <c r="I5" s="14">
        <f t="shared" si="1"/>
        <v>0.01494123497</v>
      </c>
      <c r="J5" s="24">
        <f>AVERAGE(B5:I5)</f>
        <v>-0.01467096332</v>
      </c>
      <c r="K5" s="15"/>
      <c r="L5" s="25"/>
      <c r="M5" s="26" t="s">
        <v>37</v>
      </c>
      <c r="N5" s="5">
        <f>AVERAGE($B$7:$I$7,$B$26:$I$26,$B$45:$I$45,$D$64:$I$64)</f>
        <v>0.03252076689</v>
      </c>
      <c r="O5" s="14">
        <v>0.03159697042645057</v>
      </c>
      <c r="P5" s="14">
        <v>0.02118708258318647</v>
      </c>
      <c r="Q5" s="14">
        <v>0.051913843980239203</v>
      </c>
      <c r="R5" s="14">
        <v>0.03519419372413257</v>
      </c>
      <c r="S5" s="14">
        <v>0.03252076688540746</v>
      </c>
      <c r="T5" s="14">
        <f t="shared" ref="T5:T10" si="2">AVERAGE(O5:S5)</f>
        <v>0.03448257152</v>
      </c>
      <c r="U5" s="15"/>
      <c r="V5" s="15"/>
      <c r="W5" s="15"/>
      <c r="X5" s="15"/>
      <c r="Y5" s="15"/>
    </row>
    <row r="6">
      <c r="A6" s="7" t="s">
        <v>20</v>
      </c>
      <c r="B6" s="5">
        <f>IFERROR(__xludf.DUMMYFUNCTION("FILTER(Dipromats!C$3:C$101, 
  REGEXMATCH(Dipromats!$A$3:$A$101, ""(?i)"" &amp; $A6)
)"),0.621040280030557)</f>
        <v>0.62104028</v>
      </c>
      <c r="C6" s="5">
        <f>IFERROR(__xludf.DUMMYFUNCTION("FILTER(Dipromats!D$3:D$101, 
  REGEXMATCH(Dipromats!$A$3:$A$101, ""(?i)"" &amp; $A6)
)"),0.571358654012934)</f>
        <v>0.571358654</v>
      </c>
      <c r="D6" s="5">
        <f>IFERROR(__xludf.DUMMYFUNCTION("FILTER(Dipromats!E$3:E$101, 
  REGEXMATCH(Dipromats!$A$3:$A$101, ""(?i)"" &amp; $A6)
)"),0.57620875615112)</f>
        <v>0.5762087562</v>
      </c>
      <c r="E6" s="5">
        <f>IFERROR(__xludf.DUMMYFUNCTION("FILTER(Dipromats!F$3:F$101, 
  REGEXMATCH(Dipromats!$A$3:$A$101, ""(?i)"" &amp; $A6)
)"),0.531274741257453)</f>
        <v>0.5312747413</v>
      </c>
      <c r="F6" s="5">
        <f>IFERROR(__xludf.DUMMYFUNCTION("FILTER(Dipromats!G$3:G$101, 
  REGEXMATCH(Dipromats!$A$3:$A$101, ""(?i)"" &amp; $A6)
)"),0.506150051999198)</f>
        <v>0.506150052</v>
      </c>
      <c r="G6" s="5">
        <f>IFERROR(__xludf.DUMMYFUNCTION("FILTER(Dipromats!H$3:H$101, 
  REGEXMATCH(Dipromats!$A$3:$A$101, ""(?i)"" &amp; $A6)
)"),0.483697863941618)</f>
        <v>0.4836978639</v>
      </c>
      <c r="H6" s="5">
        <f>IFERROR(__xludf.DUMMYFUNCTION("FILTER(Dipromats!I$3:I$101, 
  REGEXMATCH(Dipromats!$A$3:$A$101, ""(?i)"" &amp; $A6)
)"),0.286129356930116)</f>
        <v>0.2861293569</v>
      </c>
      <c r="I6" s="5">
        <f>IFERROR(__xludf.DUMMYFUNCTION("FILTER(Dipromats!J$3:J$101, 
  REGEXMATCH(Dipromats!$A$3:$A$101, ""(?i)"" &amp; $A6)
)"),0.29837198245895)</f>
        <v>0.2983719825</v>
      </c>
      <c r="J6" s="8"/>
      <c r="M6" s="26" t="s">
        <v>40</v>
      </c>
      <c r="N6" s="5">
        <f>AVERAGE($B$9:$I$9,$B$28:$I$28,$B$47:$I$47,$B$66:$I$66)</f>
        <v>0.03385057196</v>
      </c>
      <c r="O6" s="5">
        <v>0.0323715084679869</v>
      </c>
      <c r="P6" s="5">
        <v>0.021997909373665768</v>
      </c>
      <c r="Q6" s="5">
        <v>0.056459448215152364</v>
      </c>
      <c r="R6" s="5">
        <v>0.036306298240935356</v>
      </c>
      <c r="S6" s="5">
        <v>0.03385057195566919</v>
      </c>
      <c r="T6" s="14">
        <f t="shared" si="2"/>
        <v>0.03619714725</v>
      </c>
    </row>
    <row r="7">
      <c r="A7" s="13" t="s">
        <v>37</v>
      </c>
      <c r="B7" s="14">
        <f t="shared" ref="B7:I7" si="3">B3-B6</f>
        <v>0.01346433526</v>
      </c>
      <c r="C7" s="14">
        <f t="shared" si="3"/>
        <v>0.01203566605</v>
      </c>
      <c r="D7" s="14">
        <f t="shared" si="3"/>
        <v>0.03633815158</v>
      </c>
      <c r="E7" s="14">
        <f t="shared" si="3"/>
        <v>0.0334196735</v>
      </c>
      <c r="F7" s="14">
        <f t="shared" si="3"/>
        <v>0.04578646272</v>
      </c>
      <c r="G7" s="14">
        <f t="shared" si="3"/>
        <v>0.01529713349</v>
      </c>
      <c r="H7" s="14">
        <f t="shared" si="3"/>
        <v>0.04747578935</v>
      </c>
      <c r="I7" s="14">
        <f t="shared" si="3"/>
        <v>0.06913685229</v>
      </c>
      <c r="J7" s="24">
        <f>AVERAGE(B7:I7)</f>
        <v>0.03411925803</v>
      </c>
      <c r="K7" s="15"/>
      <c r="L7" s="33"/>
      <c r="M7" s="34" t="s">
        <v>44</v>
      </c>
      <c r="N7" s="35">
        <f>AVERAGE($B$11:$I$11,$B$30:$I$30,$B$49:$I$49,$B$68:$I$68)</f>
        <v>0.01900997045</v>
      </c>
      <c r="O7" s="14">
        <v>0.013131929154025898</v>
      </c>
      <c r="P7" s="14">
        <v>0.01220304009775886</v>
      </c>
      <c r="Q7" s="14">
        <v>0.04497889691602637</v>
      </c>
      <c r="R7" s="14">
        <v>0.023181452453347635</v>
      </c>
      <c r="S7" s="14">
        <v>0.01900997045240366</v>
      </c>
      <c r="T7" s="14">
        <f t="shared" si="2"/>
        <v>0.02250105781</v>
      </c>
      <c r="U7" s="15"/>
      <c r="V7" s="15"/>
      <c r="W7" s="15"/>
      <c r="X7" s="15"/>
      <c r="Y7" s="15"/>
    </row>
    <row r="8">
      <c r="A8" s="7" t="s">
        <v>22</v>
      </c>
      <c r="B8" s="5">
        <f>IFERROR(__xludf.DUMMYFUNCTION("FILTER(Dipromats!C$3:C$101, 
  REGEXMATCH(Dipromats!$A$3:$A$101, ""(?i)"" &amp; $A8)
)"),0.608500522443986)</f>
        <v>0.6085005224</v>
      </c>
      <c r="C8" s="5">
        <f>IFERROR(__xludf.DUMMYFUNCTION("FILTER(Dipromats!D$3:D$101, 
  REGEXMATCH(Dipromats!$A$3:$A$101, ""(?i)"" &amp; $A8)
)"),0.565727300132339)</f>
        <v>0.5657273001</v>
      </c>
      <c r="D8" s="5">
        <f>IFERROR(__xludf.DUMMYFUNCTION("FILTER(Dipromats!E$3:E$101, 
  REGEXMATCH(Dipromats!$A$3:$A$101, ""(?i)"" &amp; $A8)
)"),0.583927636565709)</f>
        <v>0.5839276366</v>
      </c>
      <c r="E8" s="5">
        <f>IFERROR(__xludf.DUMMYFUNCTION("FILTER(Dipromats!F$3:F$101, 
  REGEXMATCH(Dipromats!$A$3:$A$101, ""(?i)"" &amp; $A8)
)"),0.523712547832867)</f>
        <v>0.5237125478</v>
      </c>
      <c r="F8" s="5">
        <f>IFERROR(__xludf.DUMMYFUNCTION("FILTER(Dipromats!G$3:G$101, 
  REGEXMATCH(Dipromats!$A$3:$A$101, ""(?i)"" &amp; $A8)
)"),0.524902705155418)</f>
        <v>0.5249027052</v>
      </c>
      <c r="G8" s="5">
        <f>IFERROR(__xludf.DUMMYFUNCTION("FILTER(Dipromats!H$3:H$101, 
  REGEXMATCH(Dipromats!$A$3:$A$101, ""(?i)"" &amp; $A8)
)"),0.490732657736496)</f>
        <v>0.4907326577</v>
      </c>
      <c r="H8" s="5">
        <f>IFERROR(__xludf.DUMMYFUNCTION("FILTER(Dipromats!I$3:I$101, 
  REGEXMATCH(Dipromats!$A$3:$A$101, ""(?i)"" &amp; $A8)
)"),0.267289569310955)</f>
        <v>0.2672895693</v>
      </c>
      <c r="I8" s="5">
        <f>IFERROR(__xludf.DUMMYFUNCTION("FILTER(Dipromats!J$3:J$101, 
  REGEXMATCH(Dipromats!$A$3:$A$101, ""(?i)"" &amp; $A8)
)"),0.297865824391553)</f>
        <v>0.2978658244</v>
      </c>
      <c r="J8" s="8"/>
      <c r="L8" s="16"/>
      <c r="M8" s="34" t="s">
        <v>47</v>
      </c>
      <c r="N8" s="35">
        <f>AVERAGE($B$13:$I$13,$B$32:$I$32,$B$51:$I$51,$B$70:$I$70)</f>
        <v>0.02765403865</v>
      </c>
      <c r="O8" s="5">
        <v>0.015292341908069265</v>
      </c>
      <c r="P8" s="5">
        <v>0.010792365041156231</v>
      </c>
      <c r="Q8" s="5">
        <v>0.034266546879957595</v>
      </c>
      <c r="R8" s="5">
        <v>0.022442759792009628</v>
      </c>
      <c r="S8" s="5">
        <v>0.0276540386499837</v>
      </c>
      <c r="T8" s="14">
        <f t="shared" si="2"/>
        <v>0.02208961045</v>
      </c>
    </row>
    <row r="9">
      <c r="A9" s="13" t="s">
        <v>40</v>
      </c>
      <c r="B9" s="14">
        <f t="shared" ref="B9:I9" si="4">B3-B8</f>
        <v>0.02600409284</v>
      </c>
      <c r="C9" s="14">
        <f t="shared" si="4"/>
        <v>0.01766701993</v>
      </c>
      <c r="D9" s="14">
        <f t="shared" si="4"/>
        <v>0.02861927116</v>
      </c>
      <c r="E9" s="14">
        <f t="shared" si="4"/>
        <v>0.04098186692</v>
      </c>
      <c r="F9" s="14">
        <f t="shared" si="4"/>
        <v>0.02703380957</v>
      </c>
      <c r="G9" s="14">
        <f t="shared" si="4"/>
        <v>0.008262339691</v>
      </c>
      <c r="H9" s="14">
        <f t="shared" si="4"/>
        <v>0.06631557697</v>
      </c>
      <c r="I9" s="14">
        <f t="shared" si="4"/>
        <v>0.06964301036</v>
      </c>
      <c r="J9" s="24">
        <f>AVERAGE(B9:I9)</f>
        <v>0.03556587343</v>
      </c>
      <c r="K9" s="15"/>
      <c r="L9" s="16"/>
      <c r="M9" s="26" t="s">
        <v>50</v>
      </c>
      <c r="N9" s="5">
        <f>AVERAGE($B$15:$I$15,$B$34:$I$34,$B$53:$I$53,$B$72:$I$72)</f>
        <v>0.06449575526</v>
      </c>
      <c r="O9" s="14">
        <v>0.04492111533790196</v>
      </c>
      <c r="P9" s="14">
        <v>0.04094852193803696</v>
      </c>
      <c r="Q9" s="14">
        <v>0.08722977579505733</v>
      </c>
      <c r="R9" s="14">
        <v>0.05911322535702689</v>
      </c>
      <c r="S9" s="14">
        <v>0.06449575526023331</v>
      </c>
      <c r="T9" s="14">
        <f t="shared" si="2"/>
        <v>0.05934167874</v>
      </c>
      <c r="U9" s="15"/>
      <c r="V9" s="15"/>
      <c r="W9" s="15"/>
      <c r="X9" s="15"/>
      <c r="Y9" s="15"/>
    </row>
    <row r="10">
      <c r="A10" s="11" t="s">
        <v>24</v>
      </c>
      <c r="B10" s="5">
        <f>IFERROR(__xludf.DUMMYFUNCTION("FILTER(Dipromats!C$3:C$101, 
  REGEXMATCH(Dipromats!$A$3:$A$101, ""(?i)"" &amp; $A10), NOT(REGEXMATCH(Dipromats!$A$3:$A$101, ""(?i)complete""))
)"),0.631787462260468)</f>
        <v>0.6317874623</v>
      </c>
      <c r="C10" s="5">
        <f>IFERROR(__xludf.DUMMYFUNCTION("FILTER(Dipromats!D$3:D$101, 
  REGEXMATCH(Dipromats!$A$3:$A$101, ""(?i)"" &amp; $A10), NOT(REGEXMATCH(Dipromats!$A$3:$A$101, ""(?i)complete""))
)"),0.618216042484733)</f>
        <v>0.6182160425</v>
      </c>
      <c r="D10" s="5">
        <f>IFERROR(__xludf.DUMMYFUNCTION("FILTER(Dipromats!E$3:E$101, 
  REGEXMATCH(Dipromats!$A$3:$A$101, ""(?i)"" &amp; $A10), NOT(REGEXMATCH(Dipromats!$A$3:$A$101, ""(?i)complete""))
)"),0.586439666342686)</f>
        <v>0.5864396663</v>
      </c>
      <c r="E10" s="5">
        <f>IFERROR(__xludf.DUMMYFUNCTION("FILTER(Dipromats!F$3:F$101, 
  REGEXMATCH(Dipromats!$A$3:$A$101, ""(?i)"" &amp; $A10), NOT(REGEXMATCH(Dipromats!$A$3:$A$101, ""(?i)complete""))
)"),0.569895182181278)</f>
        <v>0.5698951822</v>
      </c>
      <c r="F10" s="5">
        <f>IFERROR(__xludf.DUMMYFUNCTION("FILTER(Dipromats!G$3:G$101, 
  REGEXMATCH(Dipromats!$A$3:$A$101, ""(?i)"" &amp; $A10), NOT(REGEXMATCH(Dipromats!$A$3:$A$101, ""(?i)complete""))
)"),0.546258468663482)</f>
        <v>0.5462584687</v>
      </c>
      <c r="G10" s="5">
        <f>IFERROR(__xludf.DUMMYFUNCTION("FILTER(Dipromats!H$3:H$101, 
  REGEXMATCH(Dipromats!$A$3:$A$101, ""(?i)"" &amp; $A10), NOT(REGEXMATCH(Dipromats!$A$3:$A$101, ""(?i)complete""))
)"),0.512012998082786)</f>
        <v>0.5120129981</v>
      </c>
      <c r="H10" s="5">
        <f>IFERROR(__xludf.DUMMYFUNCTION("FILTER(Dipromats!I$3:I$101, 
  REGEXMATCH(Dipromats!$A$3:$A$101, ""(?i)"" &amp; $A10), NOT(REGEXMATCH(Dipromats!$A$3:$A$101, ""(?i)complete""))
)"),0.288938661231155)</f>
        <v>0.2889386612</v>
      </c>
      <c r="I10" s="5">
        <f>IFERROR(__xludf.DUMMYFUNCTION("FILTER(Dipromats!J$3:J$101, 
  REGEXMATCH(Dipromats!$A$3:$A$101, ""(?i)"" &amp; $A10), NOT(REGEXMATCH(Dipromats!$A$3:$A$101, ""(?i)complete""))
)"),0.329512617172151)</f>
        <v>0.3295126172</v>
      </c>
      <c r="J10" s="8"/>
      <c r="L10" s="25"/>
      <c r="M10" s="26" t="s">
        <v>53</v>
      </c>
      <c r="N10" s="5">
        <f>AVERAGE($B$17:$I$17,$B$36:$I$36,$B$55:$I$55,$B$74:$I$74)</f>
        <v>0.06844911057</v>
      </c>
      <c r="O10" s="5">
        <v>0.055367598113174946</v>
      </c>
      <c r="P10" s="5">
        <v>0.0443920531646088</v>
      </c>
      <c r="Q10" s="5">
        <v>0.07874939386840599</v>
      </c>
      <c r="R10" s="5">
        <v>0.058230587621824384</v>
      </c>
      <c r="S10" s="5">
        <v>0.06844911056515354</v>
      </c>
      <c r="T10" s="14">
        <f t="shared" si="2"/>
        <v>0.06103774867</v>
      </c>
    </row>
    <row r="11">
      <c r="A11" s="13" t="s">
        <v>44</v>
      </c>
      <c r="B11" s="14">
        <f t="shared" ref="B11:I11" si="5">B3-B10</f>
        <v>0.002717153028</v>
      </c>
      <c r="C11" s="14">
        <f t="shared" si="5"/>
        <v>-0.03482172242</v>
      </c>
      <c r="D11" s="14">
        <f t="shared" si="5"/>
        <v>0.02610724138</v>
      </c>
      <c r="E11" s="14">
        <f t="shared" si="5"/>
        <v>-0.005200767425</v>
      </c>
      <c r="F11" s="14">
        <f t="shared" si="5"/>
        <v>0.00567804606</v>
      </c>
      <c r="G11" s="14">
        <f t="shared" si="5"/>
        <v>-0.01301800066</v>
      </c>
      <c r="H11" s="14">
        <f t="shared" si="5"/>
        <v>0.04466648505</v>
      </c>
      <c r="I11" s="14">
        <f t="shared" si="5"/>
        <v>0.03799621757</v>
      </c>
      <c r="J11" s="24">
        <f>AVERAGE(B11:I11)</f>
        <v>0.008015581574</v>
      </c>
      <c r="K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>
      <c r="A12" s="11" t="s">
        <v>25</v>
      </c>
      <c r="B12" s="5">
        <f>IFERROR(__xludf.DUMMYFUNCTION("FILTER(Dipromats!C$3:C$101, 
  REGEXMATCH(Dipromats!$A$3:$A$101, ""(?i)"" &amp; $A12), NOT(REGEXMATCH(Dipromats!$A$3:$A$101, ""(?i)complete""))
)"),0.640317661477475)</f>
        <v>0.6403176615</v>
      </c>
      <c r="C12" s="5">
        <f>IFERROR(__xludf.DUMMYFUNCTION("FILTER(Dipromats!D$3:D$101, 
  REGEXMATCH(Dipromats!$A$3:$A$101, ""(?i)"" &amp; $A12), NOT(REGEXMATCH(Dipromats!$A$3:$A$101, ""(?i)complete""))
)"),0.61354665612827)</f>
        <v>0.6135466561</v>
      </c>
      <c r="D12" s="5">
        <f>IFERROR(__xludf.DUMMYFUNCTION("FILTER(Dipromats!E$3:E$101, 
  REGEXMATCH(Dipromats!$A$3:$A$101, ""(?i)"" &amp; $A12), NOT(REGEXMATCH(Dipromats!$A$3:$A$101, ""(?i)complete""))
)"),0.613750839783722)</f>
        <v>0.6137508398</v>
      </c>
      <c r="E12" s="5">
        <f>IFERROR(__xludf.DUMMYFUNCTION("FILTER(Dipromats!F$3:F$101, 
  REGEXMATCH(Dipromats!$A$3:$A$101, ""(?i)"" &amp; $A12), NOT(REGEXMATCH(Dipromats!$A$3:$A$101, ""(?i)complete""))
)"),0.578681917130575)</f>
        <v>0.5786819171</v>
      </c>
      <c r="F12" s="5">
        <f>IFERROR(__xludf.DUMMYFUNCTION("FILTER(Dipromats!G$3:G$101, 
  REGEXMATCH(Dipromats!$A$3:$A$101, ""(?i)"" &amp; $A12), NOT(REGEXMATCH(Dipromats!$A$3:$A$101, ""(?i)complete""))
)"),0.545763744390765)</f>
        <v>0.5457637444</v>
      </c>
      <c r="G12" s="5">
        <f>IFERROR(__xludf.DUMMYFUNCTION("FILTER(Dipromats!H$3:H$101, 
  REGEXMATCH(Dipromats!$A$3:$A$101, ""(?i)"" &amp; $A12), NOT(REGEXMATCH(Dipromats!$A$3:$A$101, ""(?i)complete""))
)"),0.524262991587101)</f>
        <v>0.5242629916</v>
      </c>
      <c r="H12" s="5">
        <f>IFERROR(__xludf.DUMMYFUNCTION("FILTER(Dipromats!I$3:I$101, 
  REGEXMATCH(Dipromats!$A$3:$A$101, ""(?i)"" &amp; $A12), NOT(REGEXMATCH(Dipromats!$A$3:$A$101, ""(?i)complete""))
)"),0.284838731621514)</f>
        <v>0.2848387316</v>
      </c>
      <c r="I12" s="5">
        <f>IFERROR(__xludf.DUMMYFUNCTION("FILTER(Dipromats!J$3:J$101, 
  REGEXMATCH(Dipromats!$A$3:$A$101, ""(?i)"" &amp; $A12), NOT(REGEXMATCH(Dipromats!$A$3:$A$101, ""(?i)complete""))
)"),0.300772443809359)</f>
        <v>0.3007724438</v>
      </c>
      <c r="J12" s="8"/>
    </row>
    <row r="13">
      <c r="A13" s="13" t="s">
        <v>47</v>
      </c>
      <c r="B13" s="14">
        <f t="shared" ref="B13:I13" si="6">B3-B12</f>
        <v>-0.005813046189</v>
      </c>
      <c r="C13" s="14">
        <f t="shared" si="6"/>
        <v>-0.03015233607</v>
      </c>
      <c r="D13" s="14">
        <f t="shared" si="6"/>
        <v>-0.001203932056</v>
      </c>
      <c r="E13" s="14">
        <f t="shared" si="6"/>
        <v>-0.01398750237</v>
      </c>
      <c r="F13" s="14">
        <f t="shared" si="6"/>
        <v>0.006172770333</v>
      </c>
      <c r="G13" s="14">
        <f t="shared" si="6"/>
        <v>-0.02526799416</v>
      </c>
      <c r="H13" s="14">
        <f t="shared" si="6"/>
        <v>0.04876641466</v>
      </c>
      <c r="I13" s="14">
        <f t="shared" si="6"/>
        <v>0.06673639094</v>
      </c>
      <c r="J13" s="24">
        <f>AVERAGE(B13:I13)</f>
        <v>0.005656345636</v>
      </c>
      <c r="K13" s="15"/>
      <c r="L13" s="33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>
      <c r="A14" s="11" t="s">
        <v>28</v>
      </c>
      <c r="B14" s="5">
        <f>IFERROR(__xludf.DUMMYFUNCTION("FILTER(Dipromats!C$3:C$101, 
  REGEXMATCH(Dipromats!$A$3:$A$101, ""(?i)"" &amp; $A14)
)"),0.632355163340107)</f>
        <v>0.6323551633</v>
      </c>
      <c r="C14" s="5">
        <f>IFERROR(__xludf.DUMMYFUNCTION("FILTER(Dipromats!D$3:D$101, 
  REGEXMATCH(Dipromats!$A$3:$A$101, ""(?i)"" &amp; $A14)
)"),0.606225827187698)</f>
        <v>0.6062258272</v>
      </c>
      <c r="D14" s="5">
        <f>IFERROR(__xludf.DUMMYFUNCTION("FILTER(Dipromats!E$3:E$101, 
  REGEXMATCH(Dipromats!$A$3:$A$101, ""(?i)"" &amp; $A14)
)"),0.535090217689681)</f>
        <v>0.5350902177</v>
      </c>
      <c r="E14" s="5">
        <f>IFERROR(__xludf.DUMMYFUNCTION("FILTER(Dipromats!F$3:F$101, 
  REGEXMATCH(Dipromats!$A$3:$A$101, ""(?i)"" &amp; $A14)
)"),0.477750371254548)</f>
        <v>0.4777503713</v>
      </c>
      <c r="F14" s="5">
        <f>IFERROR(__xludf.DUMMYFUNCTION("FILTER(Dipromats!G$3:G$101, 
  REGEXMATCH(Dipromats!$A$3:$A$101, ""(?i)"" &amp; $A14)
)"),0.457442229094388)</f>
        <v>0.4574422291</v>
      </c>
      <c r="G14" s="5">
        <f>IFERROR(__xludf.DUMMYFUNCTION("FILTER(Dipromats!H$3:H$101, 
  REGEXMATCH(Dipromats!$A$3:$A$101, ""(?i)"" &amp; $A14)
)"),0.427462251024684)</f>
        <v>0.427462251</v>
      </c>
      <c r="H14" s="5">
        <f>IFERROR(__xludf.DUMMYFUNCTION("FILTER(Dipromats!I$3:I$101, 
  REGEXMATCH(Dipromats!$A$3:$A$101, ""(?i)"" &amp; $A14)
)"),0.245367655632764)</f>
        <v>0.2453676556</v>
      </c>
      <c r="I14" s="5">
        <f>IFERROR(__xludf.DUMMYFUNCTION("FILTER(Dipromats!J$3:J$101, 
  REGEXMATCH(Dipromats!$A$3:$A$101, ""(?i)"" &amp; $A14)
)"),0.282654794342775)</f>
        <v>0.2826547943</v>
      </c>
      <c r="J14" s="8"/>
      <c r="L14" s="16"/>
    </row>
    <row r="15">
      <c r="A15" s="13" t="s">
        <v>50</v>
      </c>
      <c r="B15" s="14">
        <f t="shared" ref="B15:I15" si="7">B3-B14</f>
        <v>0.002149451949</v>
      </c>
      <c r="C15" s="14">
        <f t="shared" si="7"/>
        <v>-0.02283150713</v>
      </c>
      <c r="D15" s="14">
        <f t="shared" si="7"/>
        <v>0.07745669004</v>
      </c>
      <c r="E15" s="14">
        <f t="shared" si="7"/>
        <v>0.0869440435</v>
      </c>
      <c r="F15" s="14">
        <f t="shared" si="7"/>
        <v>0.09449428563</v>
      </c>
      <c r="G15" s="14">
        <f t="shared" si="7"/>
        <v>0.0715327464</v>
      </c>
      <c r="H15" s="14">
        <f t="shared" si="7"/>
        <v>0.08823749065</v>
      </c>
      <c r="I15" s="14">
        <f t="shared" si="7"/>
        <v>0.0848540404</v>
      </c>
      <c r="J15" s="24">
        <f>AVERAGE(B15:I15)</f>
        <v>0.06035465518</v>
      </c>
      <c r="K15" s="15"/>
      <c r="L15" s="16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>
      <c r="A16" s="11" t="s">
        <v>29</v>
      </c>
      <c r="B16" s="5">
        <f>IFERROR(__xludf.DUMMYFUNCTION("FILTER(Dipromats!C$3:C$101, 
  REGEXMATCH(Dipromats!$A$3:$A$101, ""(?i)"" &amp; $A16)
)"),0.626620634285161)</f>
        <v>0.6266206343</v>
      </c>
      <c r="C16" s="5">
        <f>IFERROR(__xludf.DUMMYFUNCTION("FILTER(Dipromats!D$3:D$101, 
  REGEXMATCH(Dipromats!$A$3:$A$101, ""(?i)"" &amp; $A16)
)"),0.604801060798369)</f>
        <v>0.6048010608</v>
      </c>
      <c r="D16" s="5">
        <f>IFERROR(__xludf.DUMMYFUNCTION("FILTER(Dipromats!E$3:E$101, 
  REGEXMATCH(Dipromats!$A$3:$A$101, ""(?i)"" &amp; $A16)
)"),0.274748595417237)</f>
        <v>0.2747485954</v>
      </c>
      <c r="E16" s="5">
        <f>IFERROR(__xludf.DUMMYFUNCTION("FILTER(Dipromats!F$3:F$101, 
  REGEXMATCH(Dipromats!$A$3:$A$101, ""(?i)"" &amp; $A16)
)"),0.380177808740426)</f>
        <v>0.3801778087</v>
      </c>
      <c r="F16" s="5">
        <f>IFERROR(__xludf.DUMMYFUNCTION("FILTER(Dipromats!G$3:G$101, 
  REGEXMATCH(Dipromats!$A$3:$A$101, ""(?i)"" &amp; $A16)
)"),0.484593915089339)</f>
        <v>0.4845939151</v>
      </c>
      <c r="G16" s="5">
        <f>IFERROR(__xludf.DUMMYFUNCTION("FILTER(Dipromats!H$3:H$101, 
  REGEXMATCH(Dipromats!$A$3:$A$101, ""(?i)"" &amp; $A16)
)"),0.437797137788191)</f>
        <v>0.4377971378</v>
      </c>
      <c r="H16" s="5">
        <f>IFERROR(__xludf.DUMMYFUNCTION("FILTER(Dipromats!I$3:I$101, 
  REGEXMATCH(Dipromats!$A$3:$A$101, ""(?i)"" &amp; $A16)
)"),0.220620940157727)</f>
        <v>0.2206209402</v>
      </c>
      <c r="I16" s="5">
        <f>IFERROR(__xludf.DUMMYFUNCTION("FILTER(Dipromats!J$3:J$101, 
  REGEXMATCH(Dipromats!$A$3:$A$101, ""(?i)"" &amp; $A16)
)"),0.271705614091627)</f>
        <v>0.2717056141</v>
      </c>
      <c r="J16" s="8"/>
      <c r="L16" s="25"/>
    </row>
    <row r="17">
      <c r="A17" s="13" t="s">
        <v>53</v>
      </c>
      <c r="B17" s="14">
        <f t="shared" ref="B17:I17" si="8">B3-B16</f>
        <v>0.007883981003</v>
      </c>
      <c r="C17" s="14">
        <f t="shared" si="8"/>
        <v>-0.02140674074</v>
      </c>
      <c r="D17" s="14">
        <f t="shared" si="8"/>
        <v>0.3377983123</v>
      </c>
      <c r="E17" s="14">
        <f t="shared" si="8"/>
        <v>0.184516606</v>
      </c>
      <c r="F17" s="14">
        <f t="shared" si="8"/>
        <v>0.06734259963</v>
      </c>
      <c r="G17" s="14">
        <f t="shared" si="8"/>
        <v>0.06119785964</v>
      </c>
      <c r="H17" s="14">
        <f t="shared" si="8"/>
        <v>0.1129842061</v>
      </c>
      <c r="I17" s="14">
        <f t="shared" si="8"/>
        <v>0.09580322065</v>
      </c>
      <c r="J17" s="24">
        <f>AVERAGE(B17:I17)</f>
        <v>0.1057650056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>
      <c r="B18" s="24">
        <f t="shared" ref="B18:I18" si="9">AVERAGE(B5,B7,B9,B11,B13,B15,B17)</f>
        <v>0.006036538638</v>
      </c>
      <c r="C18" s="24">
        <f t="shared" si="9"/>
        <v>-0.01565401313</v>
      </c>
      <c r="D18" s="24">
        <f t="shared" si="9"/>
        <v>0.07049821584</v>
      </c>
      <c r="E18" s="24">
        <f t="shared" si="9"/>
        <v>0.04259214337</v>
      </c>
      <c r="F18" s="24">
        <f t="shared" si="9"/>
        <v>0.03228086314</v>
      </c>
      <c r="G18" s="24">
        <f t="shared" si="9"/>
        <v>0.01174759699</v>
      </c>
      <c r="H18" s="24">
        <f t="shared" si="9"/>
        <v>0.05811795254</v>
      </c>
      <c r="I18" s="24">
        <f t="shared" si="9"/>
        <v>0.06273013817</v>
      </c>
    </row>
    <row r="19">
      <c r="B19" s="24">
        <f>AVERAGE(B18,C18)</f>
        <v>-0.004808737248</v>
      </c>
      <c r="C19" s="8"/>
      <c r="D19" s="24">
        <f>AVERAGE(D18,E18)</f>
        <v>0.0565451796</v>
      </c>
      <c r="E19" s="8"/>
      <c r="F19" s="24">
        <f>AVERAGE(F18,G18)</f>
        <v>0.02201423007</v>
      </c>
      <c r="G19" s="8"/>
      <c r="H19" s="24">
        <f>AVERAGE(H18,I18)</f>
        <v>0.06042404535</v>
      </c>
      <c r="I19" s="8"/>
    </row>
    <row r="21">
      <c r="A21" s="1" t="s">
        <v>57</v>
      </c>
      <c r="B21" s="7" t="s">
        <v>13</v>
      </c>
      <c r="D21" s="1" t="s">
        <v>15</v>
      </c>
      <c r="E21" s="1"/>
      <c r="F21" s="1" t="s">
        <v>16</v>
      </c>
      <c r="G21" s="1"/>
      <c r="H21" s="7" t="s">
        <v>17</v>
      </c>
      <c r="I21" s="1"/>
    </row>
    <row r="22">
      <c r="A22" s="7" t="s">
        <v>21</v>
      </c>
      <c r="B22" s="5">
        <f>IFERROR(__xludf.DUMMYFUNCTION("FILTER(SemEval_2025_T2!$G$3:$G$132, 
  REGEXMATCH(SemEval_2025_T2!$A$3:$A$132, ""(?i)"" &amp; $B$21 &amp;""_"" &amp; $A22)
)"),0.469629994858942)</f>
        <v>0.4696299949</v>
      </c>
      <c r="C22" s="5">
        <f>IFERROR(__xludf.DUMMYFUNCTION("FILTER(SemEval_2025_T2!$H$3:$H$132, 
  REGEXMATCH(SemEval_2025_T2!$A$3:$A$132, ""(?i)"" &amp; $B$21 &amp;""_"" &amp; $A22)
)"),0.29768447503913)</f>
        <v>0.297684475</v>
      </c>
      <c r="D22" s="5">
        <f>IFERROR(__xludf.DUMMYFUNCTION("FILTER(SemEval_2025_T2!$G$3:$G$132, 
  REGEXMATCH(SemEval_2025_T2!$A$3:$A$132, ""(?i)"" &amp; $D$21 &amp;""_"" &amp; $A22)
)"),0.386661612184486)</f>
        <v>0.3866616122</v>
      </c>
      <c r="E22" s="5">
        <f>IFERROR(__xludf.DUMMYFUNCTION("FILTER(SemEval_2025_T2!$H$3:$H$132, 
  REGEXMATCH(SemEval_2025_T2!$A$3:$A$132, ""(?i)"" &amp; $D$21 &amp;""_"" &amp; $A22)
)"),0.200154216124963)</f>
        <v>0.2001542161</v>
      </c>
      <c r="F22" s="5">
        <f>IFERROR(__xludf.DUMMYFUNCTION("FILTER(SemEval_2025_T2!$G$3:$G$132, 
  REGEXMATCH(SemEval_2025_T2!$A$3:$A$132, ""(?i)"" &amp; $F$21 &amp;""_"" &amp; $A22)
)"),0.322135984191247)</f>
        <v>0.3221359842</v>
      </c>
      <c r="G22" s="5">
        <f>IFERROR(__xludf.DUMMYFUNCTION("FILTER(SemEval_2025_T2!$H$3:$H$132, 
  REGEXMATCH(SemEval_2025_T2!$A$3:$A$132, ""(?i)"" &amp; $F$21 &amp;""_"" &amp; $A22)
)"),0.15832344209996)</f>
        <v>0.1583234421</v>
      </c>
      <c r="H22" s="5">
        <f>IFERROR(__xludf.DUMMYFUNCTION("FILTER(SemEval_2025_T2!$G$3:$G$132, 
  REGEXMATCH(SemEval_2025_T2!$A$3:$A$132, ""(?i)"" &amp; $H$21 &amp;""_"" &amp; $A22)
)"),0.207104738828423)</f>
        <v>0.2071047388</v>
      </c>
      <c r="I22" s="5">
        <f>IFERROR(__xludf.DUMMYFUNCTION("FILTER(SemEval_2025_T2!$H$3:$H$132, 
  REGEXMATCH(SemEval_2025_T2!$A$3:$A$132, ""(?i)"" &amp; $H$21 &amp;""_"" &amp; $A22)
)"),0.087871224883977)</f>
        <v>0.08787122488</v>
      </c>
    </row>
    <row r="23">
      <c r="A23" s="7" t="s">
        <v>26</v>
      </c>
      <c r="B23" s="5">
        <f>IFERROR(__xludf.DUMMYFUNCTION("FILTER(SemEval_2025_T2!$G$3:$G$132, 
  REGEXMATCH(SemEval_2025_T2!$A$3:$A$132, ""(?i)"" &amp; $B$21 &amp;""_"" &amp; $A23)
)"),0.514035206022048)</f>
        <v>0.514035206</v>
      </c>
      <c r="C23" s="5">
        <f>IFERROR(__xludf.DUMMYFUNCTION("FILTER(SemEval_2025_T2!$H$3:$H$132, 
  REGEXMATCH(SemEval_2025_T2!$A$3:$A$132, ""(?i)"" &amp; $B$21 &amp;""_"" &amp; $A23)
)"),0.307645133386631)</f>
        <v>0.3076451334</v>
      </c>
      <c r="D23" s="5">
        <f>IFERROR(__xludf.DUMMYFUNCTION("FILTER(SemEval_2025_T2!$G$3:$G$132, 
  REGEXMATCH(SemEval_2025_T2!$A$3:$A$132, ""(?i)"" &amp; $D$21 &amp;""_"" &amp; $A23)
)"),0.381269392078906)</f>
        <v>0.3812693921</v>
      </c>
      <c r="E23" s="5">
        <f>IFERROR(__xludf.DUMMYFUNCTION("FILTER(SemEval_2025_T2!$H$3:$H$132, 
  REGEXMATCH(SemEval_2025_T2!$A$3:$A$132, ""(?i)"" &amp; $D$21 &amp;""_"" &amp; $A23)
)"),0.213641884382488)</f>
        <v>0.2136418844</v>
      </c>
      <c r="F23" s="5">
        <f>IFERROR(__xludf.DUMMYFUNCTION("FILTER(SemEval_2025_T2!$G$3:$G$132, 
  REGEXMATCH(SemEval_2025_T2!$A$3:$A$132, ""(?i)"" &amp; $F$21 &amp;""_"" &amp; $A23)
)"),0.297130229419703)</f>
        <v>0.2971302294</v>
      </c>
      <c r="G23" s="5">
        <f>IFERROR(__xludf.DUMMYFUNCTION("FILTER(SemEval_2025_T2!$H$3:$H$132, 
  REGEXMATCH(SemEval_2025_T2!$A$3:$A$132, ""(?i)"" &amp; $F$21 &amp;""_"" &amp; $A23)
)"),0.118694163326551)</f>
        <v>0.1186941633</v>
      </c>
      <c r="H23" s="5">
        <f>IFERROR(__xludf.DUMMYFUNCTION("FILTER(SemEval_2025_T2!$G$3:$G$132, 
  REGEXMATCH(SemEval_2025_T2!$A$3:$A$132, ""(?i)"" &amp; $H$21 &amp;""_"" &amp; $A23)
)"),0.238378224888286)</f>
        <v>0.2383782249</v>
      </c>
      <c r="I23" s="5">
        <f>IFERROR(__xludf.DUMMYFUNCTION("FILTER(SemEval_2025_T2!$H$3:$H$132, 
  REGEXMATCH(SemEval_2025_T2!$A$3:$A$132, ""(?i)"" &amp; $H$21 &amp;""_"" &amp; $A23)
)"),0.083454375288068)</f>
        <v>0.08345437529</v>
      </c>
    </row>
    <row r="24">
      <c r="A24" s="13" t="s">
        <v>32</v>
      </c>
      <c r="B24" s="14">
        <f t="shared" ref="B24:I24" si="10">B22-B23</f>
        <v>-0.04440521116</v>
      </c>
      <c r="C24" s="14">
        <f t="shared" si="10"/>
        <v>-0.009960658348</v>
      </c>
      <c r="D24" s="14">
        <f t="shared" si="10"/>
        <v>0.005392220106</v>
      </c>
      <c r="E24" s="14">
        <f t="shared" si="10"/>
        <v>-0.01348766826</v>
      </c>
      <c r="F24" s="14">
        <f t="shared" si="10"/>
        <v>0.02500575477</v>
      </c>
      <c r="G24" s="14">
        <f t="shared" si="10"/>
        <v>0.03962927877</v>
      </c>
      <c r="H24" s="14">
        <f t="shared" si="10"/>
        <v>-0.03127348606</v>
      </c>
      <c r="I24" s="14">
        <f t="shared" si="10"/>
        <v>0.004416849596</v>
      </c>
      <c r="J24" s="24">
        <f t="shared" ref="J24:K24" si="11">AVERAGE(B24,D24,F24,H24)</f>
        <v>-0.01132018059</v>
      </c>
      <c r="K24" s="24">
        <f t="shared" si="11"/>
        <v>0.005149450441</v>
      </c>
      <c r="L24" s="24">
        <f>AVERAGE(J24,K24)</f>
        <v>-0.003085365073</v>
      </c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</row>
    <row r="25">
      <c r="A25" s="7" t="s">
        <v>58</v>
      </c>
      <c r="B25" s="5">
        <f>IFERROR(__xludf.DUMMYFUNCTION("FILTER(SemEval_2025_T2!$G$3:$G$132, 
  REGEXMATCH(SemEval_2025_T2!$A$3:$A$132, ""(?i)"" &amp; $B$21 &amp;""_"" &amp; $A25)
)"),0.443146947744113)</f>
        <v>0.4431469477</v>
      </c>
      <c r="C25" s="5">
        <f>IFERROR(__xludf.DUMMYFUNCTION("FILTER(SemEval_2025_T2!$H$3:$H$132, 
  REGEXMATCH(SemEval_2025_T2!$A$3:$A$132, ""(?i)"" &amp; $B$21 &amp;""_"" &amp; $A25)
)"),0.278619253553464)</f>
        <v>0.2786192536</v>
      </c>
      <c r="D25" s="5">
        <f>IFERROR(__xludf.DUMMYFUNCTION("FILTER(SemEval_2025_T2!$G$3:$G$132, 
  REGEXMATCH(SemEval_2025_T2!$A$3:$A$132, ""(?i)"" &amp; $D$21 &amp;""_"" &amp; $A25)
)"),0.183951176893282)</f>
        <v>0.1839511769</v>
      </c>
      <c r="E25" s="5">
        <f>IFERROR(__xludf.DUMMYFUNCTION("FILTER(SemEval_2025_T2!$H$3:$H$132, 
  REGEXMATCH(SemEval_2025_T2!$A$3:$A$132, ""(?i)"" &amp; $D$21 &amp;""_"" &amp; $A25)
)"),0.076478375942546)</f>
        <v>0.07647837594</v>
      </c>
      <c r="F25" s="5">
        <f>IFERROR(__xludf.DUMMYFUNCTION("FILTER(SemEval_2025_T2!$G$3:$G$132, 
  REGEXMATCH(SemEval_2025_T2!$A$3:$A$132, ""(?i)"" &amp; $F$21 &amp;""_"" &amp; $A25)
)"),0.322483844225949)</f>
        <v>0.3224838442</v>
      </c>
      <c r="G25" s="5">
        <f>IFERROR(__xludf.DUMMYFUNCTION("FILTER(SemEval_2025_T2!$H$3:$H$132, 
  REGEXMATCH(SemEval_2025_T2!$A$3:$A$132, ""(?i)"" &amp; $F$21 &amp;""_"" &amp; $A25)
)"),0.137031714619164)</f>
        <v>0.1370317146</v>
      </c>
      <c r="H25" s="5">
        <f>IFERROR(__xludf.DUMMYFUNCTION("FILTER(SemEval_2025_T2!$G$3:$G$132, 
  REGEXMATCH(SemEval_2025_T2!$A$3:$A$132, ""(?i)"" &amp; $H$21 &amp;""_"" &amp; $A25)
)"),0.159618888713625)</f>
        <v>0.1596188887</v>
      </c>
      <c r="I25" s="5">
        <f>IFERROR(__xludf.DUMMYFUNCTION("FILTER(SemEval_2025_T2!$H$3:$H$132, 
  REGEXMATCH(SemEval_2025_T2!$A$3:$A$132, ""(?i)"" &amp; $H$21 &amp;""_"" &amp; $A25)
)"),0.051741760021139)</f>
        <v>0.05174176002</v>
      </c>
      <c r="J25" s="8"/>
      <c r="K25" s="8"/>
      <c r="L25" s="8"/>
    </row>
    <row r="26">
      <c r="A26" s="13" t="s">
        <v>37</v>
      </c>
      <c r="B26" s="14">
        <f t="shared" ref="B26:I26" si="12">B22-B25</f>
        <v>0.02648304711</v>
      </c>
      <c r="C26" s="14">
        <f t="shared" si="12"/>
        <v>0.01906522149</v>
      </c>
      <c r="D26" s="14">
        <f t="shared" si="12"/>
        <v>0.2027104353</v>
      </c>
      <c r="E26" s="14">
        <f t="shared" si="12"/>
        <v>0.1236758402</v>
      </c>
      <c r="F26" s="14">
        <f t="shared" si="12"/>
        <v>-0.0003478600347</v>
      </c>
      <c r="G26" s="14">
        <f t="shared" si="12"/>
        <v>0.02129172748</v>
      </c>
      <c r="H26" s="14">
        <f t="shared" si="12"/>
        <v>0.04748585011</v>
      </c>
      <c r="I26" s="14">
        <f t="shared" si="12"/>
        <v>0.03612946486</v>
      </c>
      <c r="J26" s="24">
        <f t="shared" ref="J26:K26" si="13">AVERAGE(B26,D26,F26,H26)</f>
        <v>0.06908286812</v>
      </c>
      <c r="K26" s="24">
        <f t="shared" si="13"/>
        <v>0.0500405635</v>
      </c>
      <c r="L26" s="24">
        <f>AVERAGE(J26,K26)</f>
        <v>0.05956171581</v>
      </c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>
      <c r="A27" s="7" t="s">
        <v>38</v>
      </c>
      <c r="B27" s="5">
        <f>IFERROR(__xludf.DUMMYFUNCTION("FILTER(SemEval_2025_T2!$G$3:$G$132, 
  REGEXMATCH(SemEval_2025_T2!$A$3:$A$132, ""(?i)"" &amp; $B$21 &amp;""_"" &amp; $A27)
)"),0.413172598162071)</f>
        <v>0.4131725982</v>
      </c>
      <c r="C27" s="5">
        <f>IFERROR(__xludf.DUMMYFUNCTION("FILTER(SemEval_2025_T2!$H$3:$H$132, 
  REGEXMATCH(SemEval_2025_T2!$A$3:$A$132, ""(?i)"" &amp; $B$21 &amp;""_"" &amp; $A27)
)"),0.238469869626549)</f>
        <v>0.2384698696</v>
      </c>
      <c r="D27" s="5">
        <f>IFERROR(__xludf.DUMMYFUNCTION("FILTER(SemEval_2025_T2!$G$3:$G$132, 
  REGEXMATCH(SemEval_2025_T2!$A$3:$A$132, ""(?i)"" &amp; $D$21 &amp;""_"" &amp; $A27)
)"),0.201656347341367)</f>
        <v>0.2016563473</v>
      </c>
      <c r="E27" s="5">
        <f>IFERROR(__xludf.DUMMYFUNCTION("FILTER(SemEval_2025_T2!$H$3:$H$132, 
  REGEXMATCH(SemEval_2025_T2!$A$3:$A$132, ""(?i)"" &amp; $D$21 &amp;""_"" &amp; $A27)
)"),0.098389118476481)</f>
        <v>0.09838911848</v>
      </c>
      <c r="F27" s="5">
        <f>IFERROR(__xludf.DUMMYFUNCTION("FILTER(SemEval_2025_T2!$G$3:$G$132, 
  REGEXMATCH(SemEval_2025_T2!$A$3:$A$132, ""(?i)"" &amp; $F$21 &amp;""_"" &amp; $A27)
)"),0.266104055009318)</f>
        <v>0.266104055</v>
      </c>
      <c r="G27" s="5">
        <f>IFERROR(__xludf.DUMMYFUNCTION("FILTER(SemEval_2025_T2!$H$3:$H$132, 
  REGEXMATCH(SemEval_2025_T2!$A$3:$A$132, ""(?i)"" &amp; $F$21 &amp;""_"" &amp; $A27)
)"),0.099810456390213)</f>
        <v>0.09981045639</v>
      </c>
      <c r="H27" s="5">
        <f>IFERROR(__xludf.DUMMYFUNCTION("FILTER(SemEval_2025_T2!$G$3:$G$132, 
  REGEXMATCH(SemEval_2025_T2!$A$3:$A$132, ""(?i)"" &amp; $H$21 &amp;""_"" &amp; $A27)
)"),0.246870696554907)</f>
        <v>0.2468706966</v>
      </c>
      <c r="I27" s="5">
        <f>IFERROR(__xludf.DUMMYFUNCTION("FILTER(SemEval_2025_T2!$H$3:$H$132, 
  REGEXMATCH(SemEval_2025_T2!$A$3:$A$132, ""(?i)"" &amp; $H$21 &amp;""_"" &amp; $A27)
)"),0.059954252922066)</f>
        <v>0.05995425292</v>
      </c>
      <c r="J27" s="8"/>
      <c r="K27" s="8"/>
      <c r="L27" s="8"/>
    </row>
    <row r="28">
      <c r="A28" s="13" t="s">
        <v>40</v>
      </c>
      <c r="B28" s="14">
        <f t="shared" ref="B28:I28" si="14">B22-B27</f>
        <v>0.0564573967</v>
      </c>
      <c r="C28" s="14">
        <f t="shared" si="14"/>
        <v>0.05921460541</v>
      </c>
      <c r="D28" s="14">
        <f t="shared" si="14"/>
        <v>0.1850052648</v>
      </c>
      <c r="E28" s="14">
        <f t="shared" si="14"/>
        <v>0.1017650976</v>
      </c>
      <c r="F28" s="14">
        <f t="shared" si="14"/>
        <v>0.05603192918</v>
      </c>
      <c r="G28" s="14">
        <f t="shared" si="14"/>
        <v>0.05851298571</v>
      </c>
      <c r="H28" s="14">
        <f t="shared" si="14"/>
        <v>-0.03976595773</v>
      </c>
      <c r="I28" s="14">
        <f t="shared" si="14"/>
        <v>0.02791697196</v>
      </c>
      <c r="J28" s="24">
        <f t="shared" ref="J28:K28" si="15">AVERAGE(B28,D28,F28,H28)</f>
        <v>0.06443215825</v>
      </c>
      <c r="K28" s="24">
        <f t="shared" si="15"/>
        <v>0.06185241518</v>
      </c>
      <c r="L28" s="24">
        <f>AVERAGE(J28,K28)</f>
        <v>0.06314228672</v>
      </c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>
      <c r="A29" s="7" t="s">
        <v>59</v>
      </c>
      <c r="B29" s="5">
        <f>IFERROR(__xludf.DUMMYFUNCTION("FILTER(SemEval_2025_T2!$G$3:$G$132, 
  REGEXMATCH(SemEval_2025_T2!$A$3:$A$132, ""(?i)"" &amp; $B$21 &amp;""_"" &amp; $A29), NOT(REGEXMATCH(SemEval_2025_T2!$A$3:$A$132, ""(?i)complete""))
)"),0.475694995063416)</f>
        <v>0.4756949951</v>
      </c>
      <c r="C29" s="5">
        <f>IFERROR(__xludf.DUMMYFUNCTION("FILTER(SemEval_2025_T2!$H$3:$H$132, 
  REGEXMATCH(SemEval_2025_T2!$A$3:$A$132, ""(?i)"" &amp; $B$21 &amp;""_"" &amp; $A29), NOT(REGEXMATCH(SemEval_2025_T2!$A$3:$A$132, ""(?i)complete""))
)"),0.255848749114133)</f>
        <v>0.2558487491</v>
      </c>
      <c r="D29" s="5">
        <f>IFERROR(__xludf.DUMMYFUNCTION("FILTER(SemEval_2025_T2!$G$3:$G$132, 
  REGEXMATCH(SemEval_2025_T2!$A$3:$A$132, ""(?i)"" &amp; $D$21 &amp;""_"" &amp; $A29), NOT(REGEXMATCH(SemEval_2025_T2!$A$3:$A$132, ""(?i)complete""))
)"),0.263223865900181)</f>
        <v>0.2632238659</v>
      </c>
      <c r="E29" s="5">
        <f>IFERROR(__xludf.DUMMYFUNCTION("FILTER(SemEval_2025_T2!$H$3:$H$132, 
  REGEXMATCH(SemEval_2025_T2!$A$3:$A$132, ""(?i)"" &amp; $D$21 &amp;""_"" &amp; $A29), NOT(REGEXMATCH(SemEval_2025_T2!$A$3:$A$132, ""(?i)complete""))
)"),0.12963188756561)</f>
        <v>0.1296318876</v>
      </c>
      <c r="F29" s="5">
        <f>IFERROR(__xludf.DUMMYFUNCTION("FILTER(SemEval_2025_T2!$G$3:$G$132, 
  REGEXMATCH(SemEval_2025_T2!$A$3:$A$132, ""(?i)"" &amp; $F$21 &amp;""_"" &amp; $A29), NOT(REGEXMATCH(SemEval_2025_T2!$A$3:$A$132, ""(?i)complete""))
)"),0.301315471370734)</f>
        <v>0.3013154714</v>
      </c>
      <c r="G29" s="5">
        <f>IFERROR(__xludf.DUMMYFUNCTION("FILTER(SemEval_2025_T2!$H$3:$H$132, 
  REGEXMATCH(SemEval_2025_T2!$A$3:$A$132, ""(?i)"" &amp; $F$21 &amp;""_"" &amp; $A29), NOT(REGEXMATCH(SemEval_2025_T2!$A$3:$A$132, ""(?i)complete""))
)"),0.111016939313498)</f>
        <v>0.1110169393</v>
      </c>
      <c r="H29" s="5">
        <f>IFERROR(__xludf.DUMMYFUNCTION("FILTER(SemEval_2025_T2!$G$3:$G$132, 
  REGEXMATCH(SemEval_2025_T2!$A$3:$A$132, ""(?i)"" &amp; $H$21 &amp;""_"" &amp; $A29), NOT(REGEXMATCH(SemEval_2025_T2!$A$3:$A$132, ""(?i)complete""))
)"),0.236880045685308)</f>
        <v>0.2368800457</v>
      </c>
      <c r="I29" s="5">
        <f>IFERROR(__xludf.DUMMYFUNCTION("FILTER(SemEval_2025_T2!$H$3:$H$132, 
  REGEXMATCH(SemEval_2025_T2!$A$3:$A$132, ""(?i)"" &amp; $H$21 &amp;""_"" &amp; $A29), NOT(REGEXMATCH(SemEval_2025_T2!$A$3:$A$132, ""(?i)complete""))
)"),0.068547640773795)</f>
        <v>0.06854764077</v>
      </c>
      <c r="J29" s="8"/>
      <c r="K29" s="8"/>
      <c r="L29" s="8"/>
    </row>
    <row r="30">
      <c r="A30" s="13" t="s">
        <v>44</v>
      </c>
      <c r="B30" s="14">
        <f t="shared" ref="B30:I30" si="16">B22-B29</f>
        <v>-0.006065000204</v>
      </c>
      <c r="C30" s="14">
        <f t="shared" si="16"/>
        <v>0.04183572592</v>
      </c>
      <c r="D30" s="14">
        <f t="shared" si="16"/>
        <v>0.1234377463</v>
      </c>
      <c r="E30" s="14">
        <f t="shared" si="16"/>
        <v>0.07052232856</v>
      </c>
      <c r="F30" s="14">
        <f t="shared" si="16"/>
        <v>0.02082051282</v>
      </c>
      <c r="G30" s="14">
        <f t="shared" si="16"/>
        <v>0.04730650279</v>
      </c>
      <c r="H30" s="14">
        <f t="shared" si="16"/>
        <v>-0.02977530686</v>
      </c>
      <c r="I30" s="14">
        <f t="shared" si="16"/>
        <v>0.01932358411</v>
      </c>
      <c r="J30" s="24">
        <f t="shared" ref="J30:K30" si="17">AVERAGE(B30,D30,F30,H30)</f>
        <v>0.02710448801</v>
      </c>
      <c r="K30" s="24">
        <f t="shared" si="17"/>
        <v>0.04474703535</v>
      </c>
      <c r="L30" s="24">
        <f>AVERAGE(J30,K30)</f>
        <v>0.03592576168</v>
      </c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>
      <c r="A31" s="7" t="s">
        <v>60</v>
      </c>
      <c r="B31" s="5">
        <f>IFERROR(__xludf.DUMMYFUNCTION("FILTER(SemEval_2025_T2!$G$3:$G$132, 
  REGEXMATCH(SemEval_2025_T2!$A$3:$A$132, ""(?i)"" &amp; $B$21 &amp;""_"" &amp; $A31), NOT(REGEXMATCH(SemEval_2025_T2!$A$3:$A$132, ""(?i)complete""))
)"),0.447556318827371)</f>
        <v>0.4475563188</v>
      </c>
      <c r="C31" s="5">
        <f>IFERROR(__xludf.DUMMYFUNCTION("FILTER(SemEval_2025_T2!$H$3:$H$132, 
  REGEXMATCH(SemEval_2025_T2!$A$3:$A$132, ""(?i)"" &amp; $B$21 &amp;""_"" &amp; $A31), NOT(REGEXMATCH(SemEval_2025_T2!$A$3:$A$132, ""(?i)complete""))
)"),0.260569443848998)</f>
        <v>0.2605694438</v>
      </c>
      <c r="D31" s="5">
        <f>IFERROR(__xludf.DUMMYFUNCTION("FILTER(SemEval_2025_T2!$G$3:$G$132, 
  REGEXMATCH(SemEval_2025_T2!$A$3:$A$132, ""(?i)"" &amp; $D$21 &amp;""_"" &amp; $A31), NOT(REGEXMATCH(SemEval_2025_T2!$A$3:$A$132, ""(?i)complete""))
)"),0.214114112495691)</f>
        <v>0.2141141125</v>
      </c>
      <c r="E31" s="5">
        <f>IFERROR(__xludf.DUMMYFUNCTION("FILTER(SemEval_2025_T2!$H$3:$H$132, 
  REGEXMATCH(SemEval_2025_T2!$A$3:$A$132, ""(?i)"" &amp; $D$21 &amp;""_"" &amp; $A31), NOT(REGEXMATCH(SemEval_2025_T2!$A$3:$A$132, ""(?i)complete""))
)"),0.106058068538986)</f>
        <v>0.1060580685</v>
      </c>
      <c r="F31" s="5">
        <f>IFERROR(__xludf.DUMMYFUNCTION("FILTER(SemEval_2025_T2!$G$3:$G$132, 
  REGEXMATCH(SemEval_2025_T2!$A$3:$A$132, ""(?i)"" &amp; $F$21 &amp;""_"" &amp; $A31), NOT(REGEXMATCH(SemEval_2025_T2!$A$3:$A$132, ""(?i)complete""))
)"),0.283892118115802)</f>
        <v>0.2838921181</v>
      </c>
      <c r="G31" s="5">
        <f>IFERROR(__xludf.DUMMYFUNCTION("FILTER(SemEval_2025_T2!$H$3:$H$132, 
  REGEXMATCH(SemEval_2025_T2!$A$3:$A$132, ""(?i)"" &amp; $F$21 &amp;""_"" &amp; $A31), NOT(REGEXMATCH(SemEval_2025_T2!$A$3:$A$132, ""(?i)complete""))
)"),0.113968810788851)</f>
        <v>0.1139688108</v>
      </c>
      <c r="H31" s="5">
        <f>IFERROR(__xludf.DUMMYFUNCTION("FILTER(SemEval_2025_T2!$G$3:$G$132, 
  REGEXMATCH(SemEval_2025_T2!$A$3:$A$132, ""(?i)"" &amp; $H$21 &amp;""_"" &amp; $A31), NOT(REGEXMATCH(SemEval_2025_T2!$A$3:$A$132, ""(?i)complete""))
)"),0.212448441324757)</f>
        <v>0.2124484413</v>
      </c>
      <c r="I31" s="5">
        <f>IFERROR(__xludf.DUMMYFUNCTION("FILTER(SemEval_2025_T2!$H$3:$H$132, 
  REGEXMATCH(SemEval_2025_T2!$A$3:$A$132, ""(?i)"" &amp; $H$21 &amp;""_"" &amp; $A31), NOT(REGEXMATCH(SemEval_2025_T2!$A$3:$A$132, ""(?i)complete""))
)"),0.062289598997493)</f>
        <v>0.062289599</v>
      </c>
      <c r="J31" s="8"/>
      <c r="K31" s="8"/>
      <c r="L31" s="8"/>
    </row>
    <row r="32">
      <c r="A32" s="13" t="s">
        <v>47</v>
      </c>
      <c r="B32" s="14">
        <f t="shared" ref="B32:I32" si="18">B22-B31</f>
        <v>0.02207367603</v>
      </c>
      <c r="C32" s="14">
        <f t="shared" si="18"/>
        <v>0.03711503119</v>
      </c>
      <c r="D32" s="14">
        <f t="shared" si="18"/>
        <v>0.1725474997</v>
      </c>
      <c r="E32" s="14">
        <f t="shared" si="18"/>
        <v>0.09409614759</v>
      </c>
      <c r="F32" s="14">
        <f t="shared" si="18"/>
        <v>0.03824386608</v>
      </c>
      <c r="G32" s="14">
        <f t="shared" si="18"/>
        <v>0.04435463131</v>
      </c>
      <c r="H32" s="14">
        <f t="shared" si="18"/>
        <v>-0.005343702496</v>
      </c>
      <c r="I32" s="14">
        <f t="shared" si="18"/>
        <v>0.02558162589</v>
      </c>
      <c r="J32" s="24">
        <f t="shared" ref="J32:K32" si="19">AVERAGE(B32,D32,F32,H32)</f>
        <v>0.05688033482</v>
      </c>
      <c r="K32" s="24">
        <f t="shared" si="19"/>
        <v>0.05028685899</v>
      </c>
      <c r="L32" s="24">
        <f>AVERAGE(J32,K32)</f>
        <v>0.05358359691</v>
      </c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>
      <c r="A33" s="7" t="s">
        <v>61</v>
      </c>
      <c r="B33" s="5">
        <f>IFERROR(__xludf.DUMMYFUNCTION("FILTER(SemEval_2025_T2!$G$3:$G$132, 
  REGEXMATCH(SemEval_2025_T2!$A$3:$A$132, ""(?i)"" &amp; $B$21 &amp;""_"" &amp; $A33)
)"),0.430385701433069)</f>
        <v>0.4303857014</v>
      </c>
      <c r="C33" s="5">
        <f>IFERROR(__xludf.DUMMYFUNCTION("FILTER(SemEval_2025_T2!$H$3:$H$132, 
  REGEXMATCH(SemEval_2025_T2!$A$3:$A$132, ""(?i)"" &amp; $B$21 &amp;""_"" &amp; $A33)
)"),0.246254129631052)</f>
        <v>0.2462541296</v>
      </c>
      <c r="D33" s="5">
        <f>IFERROR(__xludf.DUMMYFUNCTION("FILTER(SemEval_2025_T2!$G$3:$G$132, 
  REGEXMATCH(SemEval_2025_T2!$A$3:$A$132, ""(?i)"" &amp; $D$21 &amp;""_"" &amp; $A33)
)"),0.031951417004048)</f>
        <v>0.031951417</v>
      </c>
      <c r="E33" s="5">
        <f>IFERROR(__xludf.DUMMYFUNCTION("FILTER(SemEval_2025_T2!$H$3:$H$132, 
  REGEXMATCH(SemEval_2025_T2!$A$3:$A$132, ""(?i)"" &amp; $D$21 &amp;""_"" &amp; $A33)
)"),0.016105263157894)</f>
        <v>0.01610526316</v>
      </c>
      <c r="F33" s="5">
        <f>IFERROR(__xludf.DUMMYFUNCTION("FILTER(SemEval_2025_T2!$G$3:$G$132, 
  REGEXMATCH(SemEval_2025_T2!$A$3:$A$132, ""(?i)"" &amp; $F$21 &amp;""_"" &amp; $A33)
)"),0.288692243429085)</f>
        <v>0.2886922434</v>
      </c>
      <c r="G33" s="5">
        <f>IFERROR(__xludf.DUMMYFUNCTION("FILTER(SemEval_2025_T2!$H$3:$H$132, 
  REGEXMATCH(SemEval_2025_T2!$A$3:$A$132, ""(?i)"" &amp; $F$21 &amp;""_"" &amp; $A33)
)"),0.125237610500161)</f>
        <v>0.1252376105</v>
      </c>
      <c r="H33" s="5">
        <f>IFERROR(__xludf.DUMMYFUNCTION("FILTER(SemEval_2025_T2!$G$3:$G$132, 
  REGEXMATCH(SemEval_2025_T2!$A$3:$A$132, ""(?i)"" &amp; $H$21 &amp;""_"" &amp; $A33)
)"),0.160590853882959)</f>
        <v>0.1605908539</v>
      </c>
      <c r="I33" s="5">
        <f>IFERROR(__xludf.DUMMYFUNCTION("FILTER(SemEval_2025_T2!$H$3:$H$132, 
  REGEXMATCH(SemEval_2025_T2!$A$3:$A$132, ""(?i)"" &amp; $H$21 &amp;""_"" &amp; $A33)
)"),0.059550146974033)</f>
        <v>0.05955014697</v>
      </c>
      <c r="J33" s="8"/>
      <c r="K33" s="8"/>
      <c r="L33" s="8"/>
    </row>
    <row r="34">
      <c r="A34" s="13" t="s">
        <v>50</v>
      </c>
      <c r="B34" s="14">
        <f t="shared" ref="B34:I34" si="20">B22-B33</f>
        <v>0.03924429343</v>
      </c>
      <c r="C34" s="14">
        <f t="shared" si="20"/>
        <v>0.05143034541</v>
      </c>
      <c r="D34" s="14">
        <f t="shared" si="20"/>
        <v>0.3547101952</v>
      </c>
      <c r="E34" s="14">
        <f t="shared" si="20"/>
        <v>0.184048953</v>
      </c>
      <c r="F34" s="14">
        <f t="shared" si="20"/>
        <v>0.03344374076</v>
      </c>
      <c r="G34" s="14">
        <f t="shared" si="20"/>
        <v>0.0330858316</v>
      </c>
      <c r="H34" s="14">
        <f t="shared" si="20"/>
        <v>0.04651388495</v>
      </c>
      <c r="I34" s="14">
        <f t="shared" si="20"/>
        <v>0.02832107791</v>
      </c>
      <c r="J34" s="24">
        <f t="shared" ref="J34:K34" si="21">AVERAGE(B34,D34,F34,H34)</f>
        <v>0.1184780286</v>
      </c>
      <c r="K34" s="24">
        <f t="shared" si="21"/>
        <v>0.07422155197</v>
      </c>
      <c r="L34" s="24">
        <f>AVERAGE(J34,K34)</f>
        <v>0.09634979027</v>
      </c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>
      <c r="A35" s="7" t="s">
        <v>63</v>
      </c>
      <c r="B35" s="5">
        <f>IFERROR(__xludf.DUMMYFUNCTION("FILTER(SemEval_2025_T2!$G$3:$G$132, 
  REGEXMATCH(SemEval_2025_T2!$A$3:$A$132, ""(?i)"" &amp; $B$21 &amp;""_"" &amp; $A35)
)"),0.387901176016965)</f>
        <v>0.387901176</v>
      </c>
      <c r="C35" s="5">
        <f>IFERROR(__xludf.DUMMYFUNCTION("FILTER(SemEval_2025_T2!$H$3:$H$132, 
  REGEXMATCH(SemEval_2025_T2!$A$3:$A$132, ""(?i)"" &amp; $B$21 &amp;""_"" &amp; $A35)
)"),0.233524755451476)</f>
        <v>0.2335247555</v>
      </c>
      <c r="D35" s="5">
        <f>IFERROR(__xludf.DUMMYFUNCTION("FILTER(SemEval_2025_T2!$G$3:$G$132, 
  REGEXMATCH(SemEval_2025_T2!$A$3:$A$132, ""(?i)"" &amp; $D$21 &amp;""_"" &amp; $A35)
)"),0.190261348592927)</f>
        <v>0.1902613486</v>
      </c>
      <c r="E35" s="5">
        <f>IFERROR(__xludf.DUMMYFUNCTION("FILTER(SemEval_2025_T2!$H$3:$H$132, 
  REGEXMATCH(SemEval_2025_T2!$A$3:$A$132, ""(?i)"" &amp; $D$21 &amp;""_"" &amp; $A35)
)"),0.088050555691827)</f>
        <v>0.08805055569</v>
      </c>
      <c r="F35" s="5">
        <f>IFERROR(__xludf.DUMMYFUNCTION("FILTER(SemEval_2025_T2!$G$3:$G$132, 
  REGEXMATCH(SemEval_2025_T2!$A$3:$A$132, ""(?i)"" &amp; $F$21 &amp;""_"" &amp; $A35)
)"),0.259401876486087)</f>
        <v>0.2594018765</v>
      </c>
      <c r="G35" s="5">
        <f>IFERROR(__xludf.DUMMYFUNCTION("FILTER(SemEval_2025_T2!$H$3:$H$132, 
  REGEXMATCH(SemEval_2025_T2!$A$3:$A$132, ""(?i)"" &amp; $F$21 &amp;""_"" &amp; $A35)
)"),0.116199203293332)</f>
        <v>0.1161992033</v>
      </c>
      <c r="H35" s="5">
        <f>IFERROR(__xludf.DUMMYFUNCTION("FILTER(SemEval_2025_T2!$G$3:$G$132, 
  REGEXMATCH(SemEval_2025_T2!$A$3:$A$132, ""(?i)"" &amp; $H$21 &amp;""_"" &amp; $A35)
)"),0.192691655712708)</f>
        <v>0.1926916557</v>
      </c>
      <c r="I35" s="5">
        <f>IFERROR(__xludf.DUMMYFUNCTION("FILTER(SemEval_2025_T2!$H$3:$H$132, 
  REGEXMATCH(SemEval_2025_T2!$A$3:$A$132, ""(?i)"" &amp; $H$21 &amp;""_"" &amp; $A35)
)"),0.035547496655391)</f>
        <v>0.03554749666</v>
      </c>
      <c r="J35" s="8"/>
      <c r="K35" s="8"/>
      <c r="L35" s="8"/>
    </row>
    <row r="36">
      <c r="A36" s="13" t="s">
        <v>53</v>
      </c>
      <c r="B36" s="14">
        <f t="shared" ref="B36:I36" si="22">B22-B35</f>
        <v>0.08172881884</v>
      </c>
      <c r="C36" s="14">
        <f t="shared" si="22"/>
        <v>0.06415971959</v>
      </c>
      <c r="D36" s="14">
        <f t="shared" si="22"/>
        <v>0.1964002636</v>
      </c>
      <c r="E36" s="14">
        <f t="shared" si="22"/>
        <v>0.1121036604</v>
      </c>
      <c r="F36" s="14">
        <f t="shared" si="22"/>
        <v>0.06273410771</v>
      </c>
      <c r="G36" s="14">
        <f t="shared" si="22"/>
        <v>0.04212423881</v>
      </c>
      <c r="H36" s="14">
        <f t="shared" si="22"/>
        <v>0.01441308312</v>
      </c>
      <c r="I36" s="14">
        <f t="shared" si="22"/>
        <v>0.05232372823</v>
      </c>
      <c r="J36" s="24">
        <f t="shared" ref="J36:K36" si="23">AVERAGE(B36,D36,F36,H36)</f>
        <v>0.08881906831</v>
      </c>
      <c r="K36" s="24">
        <f t="shared" si="23"/>
        <v>0.06767783676</v>
      </c>
      <c r="L36" s="24">
        <f>AVERAGE(J36,K36)</f>
        <v>0.07824845254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>
      <c r="B37" s="24">
        <f t="shared" ref="B37:I37" si="24">AVERAGE(B24,B26,B28,B30,B32,B34,B36)</f>
        <v>0.02507386011</v>
      </c>
      <c r="C37" s="24">
        <f t="shared" si="24"/>
        <v>0.03755142724</v>
      </c>
      <c r="D37" s="24">
        <f t="shared" si="24"/>
        <v>0.1771719464</v>
      </c>
      <c r="E37" s="24">
        <f t="shared" si="24"/>
        <v>0.09610347987</v>
      </c>
      <c r="F37" s="24">
        <f t="shared" si="24"/>
        <v>0.03370457875</v>
      </c>
      <c r="G37" s="24">
        <f t="shared" si="24"/>
        <v>0.04090074235</v>
      </c>
      <c r="H37" s="24">
        <f t="shared" si="24"/>
        <v>0.0003220521481</v>
      </c>
      <c r="I37" s="24">
        <f t="shared" si="24"/>
        <v>0.02771618608</v>
      </c>
    </row>
    <row r="38">
      <c r="B38" s="24">
        <f>AVERAGE(B37,C37)</f>
        <v>0.03131264367</v>
      </c>
      <c r="C38" s="8"/>
      <c r="D38" s="24">
        <f>AVERAGE(D37,E37)</f>
        <v>0.1366377132</v>
      </c>
      <c r="E38" s="8"/>
      <c r="F38" s="24">
        <f>AVERAGE(F37,G37)</f>
        <v>0.03730266055</v>
      </c>
      <c r="G38" s="8"/>
      <c r="H38" s="24">
        <f>AVERAGE(H37,I37)</f>
        <v>0.01401911911</v>
      </c>
      <c r="I38" s="8"/>
    </row>
    <row r="40">
      <c r="A40" s="1" t="s">
        <v>80</v>
      </c>
      <c r="B40" s="7" t="s">
        <v>13</v>
      </c>
      <c r="D40" s="1" t="s">
        <v>15</v>
      </c>
      <c r="E40" s="1"/>
      <c r="F40" s="1" t="s">
        <v>16</v>
      </c>
      <c r="G40" s="1"/>
      <c r="H40" s="7" t="s">
        <v>17</v>
      </c>
      <c r="I40" s="1"/>
    </row>
    <row r="41">
      <c r="A41" s="7" t="s">
        <v>21</v>
      </c>
      <c r="B41" s="5">
        <f>IFERROR(__xludf.DUMMYFUNCTION("FILTER(SemEval_2025_T2!$E$3:$E$132, 
  REGEXMATCH(SemEval_2025_T2!$A$3:$A$132, ""(?i)"" &amp; $B$21 &amp;""_"" &amp; $A41)
)"),0.538777572135467)</f>
        <v>0.5387775721</v>
      </c>
      <c r="C41" s="5">
        <f>IFERROR(__xludf.DUMMYFUNCTION("FILTER(SemEval_2025_T2!$F$3:$F$132, 
  REGEXMATCH(SemEval_2025_T2!$A$3:$A$132, ""(?i)"" &amp; $B$21 &amp;""_"" &amp; $A41)
)"),0.339727953333216)</f>
        <v>0.3397279533</v>
      </c>
      <c r="D41" s="5">
        <f>IFERROR(__xludf.DUMMYFUNCTION("FILTER(SemEval_2025_T2!$E$3:$E$132, 
  REGEXMATCH(SemEval_2025_T2!$A$3:$A$132, ""(?i)"" &amp; $D$21 &amp;""_"" &amp; $A41)
)"),0.17067633506844)</f>
        <v>0.1706763351</v>
      </c>
      <c r="E41" s="5">
        <f>IFERROR(__xludf.DUMMYFUNCTION("FILTER(SemEval_2025_T2!$F$3:$F$132, 
  REGEXMATCH(SemEval_2025_T2!$A$3:$A$132, ""(?i)"" &amp; $D$21 &amp;""_"" &amp; $A41)
)"),0.087106689801426)</f>
        <v>0.0871066898</v>
      </c>
      <c r="F41" s="5">
        <f>IFERROR(__xludf.DUMMYFUNCTION("FILTER(SemEval_2025_T2!$E$3:$E$132, 
  REGEXMATCH(SemEval_2025_T2!$A$3:$A$132, ""(?i)"" &amp; $F$21 &amp;""_"" &amp; $A41)
)"),0.357943207377417)</f>
        <v>0.3579432074</v>
      </c>
      <c r="G41" s="5">
        <f>IFERROR(__xludf.DUMMYFUNCTION("FILTER(SemEval_2025_T2!$F$3:$F$132, 
  REGEXMATCH(SemEval_2025_T2!$A$3:$A$132, ""(?i)"" &amp; $F$21 &amp;""_"" &amp; $A41)
)"),0.106532844056528)</f>
        <v>0.1065328441</v>
      </c>
      <c r="H41" s="5">
        <f>IFERROR(__xludf.DUMMYFUNCTION("FILTER(SemEval_2025_T2!$E$3:$E$132, 
  REGEXMATCH(SemEval_2025_T2!$A$3:$A$132, ""(?i)"" &amp; $H$21 &amp;""_"" &amp; $A41)
)"),0.302676293297345)</f>
        <v>0.3026762933</v>
      </c>
      <c r="I41" s="5">
        <f>IFERROR(__xludf.DUMMYFUNCTION("FILTER(SemEval_2025_T2!$F$3:$F$132, 
  REGEXMATCH(SemEval_2025_T2!$A$3:$A$132, ""(?i)"" &amp; $H$21 &amp;""_"" &amp; $A41)
)"),0.044550067970715)</f>
        <v>0.04455006797</v>
      </c>
    </row>
    <row r="42">
      <c r="A42" s="7" t="s">
        <v>26</v>
      </c>
      <c r="B42" s="5">
        <f>IFERROR(__xludf.DUMMYFUNCTION("FILTER(SemEval_2025_T2!$E$3:$E$132, 
  REGEXMATCH(SemEval_2025_T2!$A$3:$A$132, ""(?i)"" &amp; $B$21 &amp;""_"" &amp; $A42)
)"),0.515748946083156)</f>
        <v>0.5157489461</v>
      </c>
      <c r="C42" s="5">
        <f>IFERROR(__xludf.DUMMYFUNCTION("FILTER(SemEval_2025_T2!$F$3:$F$132, 
  REGEXMATCH(SemEval_2025_T2!$A$3:$A$132, ""(?i)"" &amp; $B$21 &amp;""_"" &amp; $A42)
)"),0.304809111760933)</f>
        <v>0.3048091118</v>
      </c>
      <c r="D42" s="5">
        <f>IFERROR(__xludf.DUMMYFUNCTION("FILTER(SemEval_2025_T2!$E$3:$E$132, 
  REGEXMATCH(SemEval_2025_T2!$A$3:$A$132, ""(?i)"" &amp; $D$21 &amp;""_"" &amp; $A42)
)"),0.255187902448428)</f>
        <v>0.2551879024</v>
      </c>
      <c r="E42" s="5">
        <f>IFERROR(__xludf.DUMMYFUNCTION("FILTER(SemEval_2025_T2!$F$3:$F$132, 
  REGEXMATCH(SemEval_2025_T2!$A$3:$A$132, ""(?i)"" &amp; $D$21 &amp;""_"" &amp; $A42)
)"),0.125488533980639)</f>
        <v>0.125488534</v>
      </c>
      <c r="F42" s="5">
        <f>IFERROR(__xludf.DUMMYFUNCTION("FILTER(SemEval_2025_T2!$E$3:$E$132, 
  REGEXMATCH(SemEval_2025_T2!$A$3:$A$132, ""(?i)"" &amp; $F$21 &amp;""_"" &amp; $A42)
)"),0.29827218687745)</f>
        <v>0.2982721869</v>
      </c>
      <c r="G42" s="5">
        <f>IFERROR(__xludf.DUMMYFUNCTION("FILTER(SemEval_2025_T2!$F$3:$F$132, 
  REGEXMATCH(SemEval_2025_T2!$A$3:$A$132, ""(?i)"" &amp; $F$21 &amp;""_"" &amp; $A42)
)"),0.096927893451577)</f>
        <v>0.09692789345</v>
      </c>
      <c r="H42" s="5">
        <f>IFERROR(__xludf.DUMMYFUNCTION("FILTER(SemEval_2025_T2!$E$3:$E$132, 
  REGEXMATCH(SemEval_2025_T2!$A$3:$A$132, ""(?i)"" &amp; $H$21 &amp;""_"" &amp; $A42)
)"),0.321656297795771)</f>
        <v>0.3216562978</v>
      </c>
      <c r="I42" s="5">
        <f>IFERROR(__xludf.DUMMYFUNCTION("FILTER(SemEval_2025_T2!$F$3:$F$132, 
  REGEXMATCH(SemEval_2025_T2!$A$3:$A$132, ""(?i)"" &amp; $H$21 &amp;""_"" &amp; $A42)
)"),0.04430764314408)</f>
        <v>0.04430764314</v>
      </c>
    </row>
    <row r="43">
      <c r="A43" s="13" t="s">
        <v>32</v>
      </c>
      <c r="B43" s="5">
        <f t="shared" ref="B43:I43" si="25">B41-B42</f>
        <v>0.02302862605</v>
      </c>
      <c r="C43" s="5">
        <f t="shared" si="25"/>
        <v>0.03491884157</v>
      </c>
      <c r="D43" s="5">
        <f t="shared" si="25"/>
        <v>-0.08451156738</v>
      </c>
      <c r="E43" s="5">
        <f t="shared" si="25"/>
        <v>-0.03838184418</v>
      </c>
      <c r="F43" s="5">
        <f t="shared" si="25"/>
        <v>0.0596710205</v>
      </c>
      <c r="G43" s="5">
        <f t="shared" si="25"/>
        <v>0.009604950605</v>
      </c>
      <c r="H43" s="5">
        <f t="shared" si="25"/>
        <v>-0.0189800045</v>
      </c>
      <c r="I43" s="5">
        <f t="shared" si="25"/>
        <v>0.0002424248266</v>
      </c>
      <c r="J43" s="24">
        <f t="shared" ref="J43:K43" si="26">AVERAGE(B43,D43,F43,H43)</f>
        <v>-0.005197981332</v>
      </c>
      <c r="K43" s="24">
        <f t="shared" si="26"/>
        <v>0.001596093206</v>
      </c>
      <c r="L43" s="24">
        <f>AVERAGE(J43,K43)</f>
        <v>-0.001800944063</v>
      </c>
    </row>
    <row r="44">
      <c r="A44" s="7" t="s">
        <v>58</v>
      </c>
      <c r="B44" s="5">
        <f>IFERROR(__xludf.DUMMYFUNCTION("FILTER(SemEval_2025_T2!$E$3:$E$132, 
  REGEXMATCH(SemEval_2025_T2!$A$3:$A$132, ""(?i)"" &amp; $B$21 &amp;""_"" &amp; $A44)
)"),0.499190977443609)</f>
        <v>0.4991909774</v>
      </c>
      <c r="C44" s="5">
        <f>IFERROR(__xludf.DUMMYFUNCTION("FILTER(SemEval_2025_T2!$F$3:$F$132, 
  REGEXMATCH(SemEval_2025_T2!$A$3:$A$132, ""(?i)"" &amp; $B$21 &amp;""_"" &amp; $A44)
)"),0.293747720745291)</f>
        <v>0.2937477207</v>
      </c>
      <c r="D44" s="5">
        <f>IFERROR(__xludf.DUMMYFUNCTION("FILTER(SemEval_2025_T2!$E$3:$E$132, 
  REGEXMATCH(SemEval_2025_T2!$A$3:$A$132, ""(?i)"" &amp; $D$21 &amp;""_"" &amp; $A44)
)"),0.256158582353319)</f>
        <v>0.2561585824</v>
      </c>
      <c r="E44" s="5">
        <f>IFERROR(__xludf.DUMMYFUNCTION("FILTER(SemEval_2025_T2!$F$3:$F$132, 
  REGEXMATCH(SemEval_2025_T2!$A$3:$A$132, ""(?i)"" &amp; $D$21 &amp;""_"" &amp; $A44)
)"),0.104719207692891)</f>
        <v>0.1047192077</v>
      </c>
      <c r="F44" s="5">
        <f>IFERROR(__xludf.DUMMYFUNCTION("FILTER(SemEval_2025_T2!$E$3:$E$132, 
  REGEXMATCH(SemEval_2025_T2!$A$3:$A$132, ""(?i)"" &amp; $F$21 &amp;""_"" &amp; $A44)
)"),0.319426180836707)</f>
        <v>0.3194261808</v>
      </c>
      <c r="G44" s="5">
        <f>IFERROR(__xludf.DUMMYFUNCTION("FILTER(SemEval_2025_T2!$F$3:$F$132, 
  REGEXMATCH(SemEval_2025_T2!$A$3:$A$132, ""(?i)"" &amp; $F$21 &amp;""_"" &amp; $A44)
)"),0.06204916136495)</f>
        <v>0.06204916136</v>
      </c>
      <c r="H44" s="5">
        <f>IFERROR(__xludf.DUMMYFUNCTION("FILTER(SemEval_2025_T2!$E$3:$E$132, 
  REGEXMATCH(SemEval_2025_T2!$A$3:$A$132, ""(?i)"" &amp; $H$21 &amp;""_"" &amp; $A44)
)"),0.265505709787288)</f>
        <v>0.2655057098</v>
      </c>
      <c r="I44" s="5">
        <f>IFERROR(__xludf.DUMMYFUNCTION("FILTER(SemEval_2025_T2!$F$3:$F$132, 
  REGEXMATCH(SemEval_2025_T2!$A$3:$A$132, ""(?i)"" &amp; $H$21 &amp;""_"" &amp; $A44)
)"),0.028443701912122)</f>
        <v>0.02844370191</v>
      </c>
      <c r="J44" s="8"/>
      <c r="K44" s="8"/>
      <c r="L44" s="8"/>
    </row>
    <row r="45">
      <c r="A45" s="13" t="s">
        <v>37</v>
      </c>
      <c r="B45" s="5">
        <f t="shared" ref="B45:I45" si="27">B41-B44</f>
        <v>0.03958659469</v>
      </c>
      <c r="C45" s="5">
        <f t="shared" si="27"/>
        <v>0.04598023259</v>
      </c>
      <c r="D45" s="5">
        <f t="shared" si="27"/>
        <v>-0.08548224728</v>
      </c>
      <c r="E45" s="5">
        <f t="shared" si="27"/>
        <v>-0.01761251789</v>
      </c>
      <c r="F45" s="5">
        <f t="shared" si="27"/>
        <v>0.03851702654</v>
      </c>
      <c r="G45" s="5">
        <f t="shared" si="27"/>
        <v>0.04448368269</v>
      </c>
      <c r="H45" s="5">
        <f t="shared" si="27"/>
        <v>0.03717058351</v>
      </c>
      <c r="I45" s="5">
        <f t="shared" si="27"/>
        <v>0.01610636606</v>
      </c>
      <c r="J45" s="24">
        <f t="shared" ref="J45:K45" si="28">AVERAGE(B45,D45,F45,H45)</f>
        <v>0.007447989364</v>
      </c>
      <c r="K45" s="24">
        <f t="shared" si="28"/>
        <v>0.02223944086</v>
      </c>
      <c r="L45" s="24">
        <f>AVERAGE(J45,K45)</f>
        <v>0.01484371511</v>
      </c>
    </row>
    <row r="46">
      <c r="A46" s="7" t="s">
        <v>38</v>
      </c>
      <c r="B46" s="5">
        <f>IFERROR(__xludf.DUMMYFUNCTION("FILTER(SemEval_2025_T2!$E$3:$E$132, 
  REGEXMATCH(SemEval_2025_T2!$A$3:$A$132, ""(?i)"" &amp; $B$21 &amp;""_"" &amp; $A46)
)"),0.507974487500803)</f>
        <v>0.5079744875</v>
      </c>
      <c r="C46" s="5">
        <f>IFERROR(__xludf.DUMMYFUNCTION("FILTER(SemEval_2025_T2!$F$3:$F$132, 
  REGEXMATCH(SemEval_2025_T2!$A$3:$A$132, ""(?i)"" &amp; $B$21 &amp;""_"" &amp; $A46)
)"),0.302492234036768)</f>
        <v>0.302492234</v>
      </c>
      <c r="D46" s="5">
        <f>IFERROR(__xludf.DUMMYFUNCTION("FILTER(SemEval_2025_T2!$E$3:$E$132, 
  REGEXMATCH(SemEval_2025_T2!$A$3:$A$132, ""(?i)"" &amp; $D$21 &amp;""_"" &amp; $A46)
)"),0.239861981877771)</f>
        <v>0.2398619819</v>
      </c>
      <c r="E46" s="5">
        <f>IFERROR(__xludf.DUMMYFUNCTION("FILTER(SemEval_2025_T2!$F$3:$F$132, 
  REGEXMATCH(SemEval_2025_T2!$A$3:$A$132, ""(?i)"" &amp; $D$21 &amp;""_"" &amp; $A46)
)"),0.08960207015207)</f>
        <v>0.08960207015</v>
      </c>
      <c r="F46" s="5">
        <f>IFERROR(__xludf.DUMMYFUNCTION("FILTER(SemEval_2025_T2!$E$3:$E$132, 
  REGEXMATCH(SemEval_2025_T2!$A$3:$A$132, ""(?i)"" &amp; $F$21 &amp;""_"" &amp; $A46)
)"),0.32236522717049)</f>
        <v>0.3223652272</v>
      </c>
      <c r="G46" s="5">
        <f>IFERROR(__xludf.DUMMYFUNCTION("FILTER(SemEval_2025_T2!$F$3:$F$132, 
  REGEXMATCH(SemEval_2025_T2!$A$3:$A$132, ""(?i)"" &amp; $F$21 &amp;""_"" &amp; $A46)
)"),0.068857975942186)</f>
        <v>0.06885797594</v>
      </c>
      <c r="H46" s="5">
        <f>IFERROR(__xludf.DUMMYFUNCTION("FILTER(SemEval_2025_T2!$E$3:$E$132, 
  REGEXMATCH(SemEval_2025_T2!$A$3:$A$132, ""(?i)"" &amp; $H$21 &amp;""_"" &amp; $A46)
)"),0.286967640254482)</f>
        <v>0.2869676403</v>
      </c>
      <c r="I46" s="5">
        <f>IFERROR(__xludf.DUMMYFUNCTION("FILTER(SemEval_2025_T2!$F$3:$F$132, 
  REGEXMATCH(SemEval_2025_T2!$A$3:$A$132, ""(?i)"" &amp; $H$21 &amp;""_"" &amp; $A46)
)"),0.030866897137949)</f>
        <v>0.03086689714</v>
      </c>
      <c r="J46" s="8"/>
      <c r="K46" s="8"/>
      <c r="L46" s="8"/>
    </row>
    <row r="47">
      <c r="A47" s="13" t="s">
        <v>40</v>
      </c>
      <c r="B47" s="5">
        <f t="shared" ref="B47:I47" si="29">B41-B46</f>
        <v>0.03080308463</v>
      </c>
      <c r="C47" s="5">
        <f t="shared" si="29"/>
        <v>0.0372357193</v>
      </c>
      <c r="D47" s="5">
        <f t="shared" si="29"/>
        <v>-0.06918564681</v>
      </c>
      <c r="E47" s="5">
        <f t="shared" si="29"/>
        <v>-0.002495380351</v>
      </c>
      <c r="F47" s="5">
        <f t="shared" si="29"/>
        <v>0.03557798021</v>
      </c>
      <c r="G47" s="5">
        <f t="shared" si="29"/>
        <v>0.03767486811</v>
      </c>
      <c r="H47" s="5">
        <f t="shared" si="29"/>
        <v>0.01570865304</v>
      </c>
      <c r="I47" s="5">
        <f t="shared" si="29"/>
        <v>0.01368317083</v>
      </c>
      <c r="J47" s="24">
        <f t="shared" ref="J47:K47" si="30">AVERAGE(B47,D47,F47,H47)</f>
        <v>0.003226017769</v>
      </c>
      <c r="K47" s="24">
        <f t="shared" si="30"/>
        <v>0.02152459447</v>
      </c>
      <c r="L47" s="24">
        <f>AVERAGE(J47,K47)</f>
        <v>0.01237530612</v>
      </c>
    </row>
    <row r="48">
      <c r="A48" s="7" t="s">
        <v>59</v>
      </c>
      <c r="B48" s="5">
        <f>IFERROR(__xludf.DUMMYFUNCTION("FILTER(SemEval_2025_T2!$E$3:$E$132, 
  REGEXMATCH(SemEval_2025_T2!$A$3:$A$132, ""(?i)"" &amp; $B$21 &amp;""_"" &amp; $A48), NOT(REGEXMATCH(SemEval_2025_T2!$A$3:$A$132, ""(?i)complete""))
)"),0.523713880855986)</f>
        <v>0.5237138809</v>
      </c>
      <c r="C48" s="5">
        <f>IFERROR(__xludf.DUMMYFUNCTION("FILTER(SemEval_2025_T2!$F$3:$F$132, 
  REGEXMATCH(SemEval_2025_T2!$A$3:$A$132, ""(?i)"" &amp; $B$21 &amp;""_"" &amp; $A48), NOT(REGEXMATCH(SemEval_2025_T2!$A$3:$A$132, ""(?i)complete""))
)"),0.298182340601368)</f>
        <v>0.2981823406</v>
      </c>
      <c r="D48" s="5">
        <f>IFERROR(__xludf.DUMMYFUNCTION("FILTER(SemEval_2025_T2!$E$3:$E$132, 
  REGEXMATCH(SemEval_2025_T2!$A$3:$A$132, ""(?i)"" &amp; $D$21 &amp;""_"" &amp; $A48), NOT(REGEXMATCH(SemEval_2025_T2!$A$3:$A$132, ""(?i)complete""))
)"),0.255036344065291)</f>
        <v>0.2550363441</v>
      </c>
      <c r="E48" s="5">
        <f>IFERROR(__xludf.DUMMYFUNCTION("FILTER(SemEval_2025_T2!$F$3:$F$132, 
  REGEXMATCH(SemEval_2025_T2!$A$3:$A$132, ""(?i)"" &amp; $D$21 &amp;""_"" &amp; $A48), NOT(REGEXMATCH(SemEval_2025_T2!$A$3:$A$132, ""(?i)complete""))
)"),0.10422726630095)</f>
        <v>0.1042272663</v>
      </c>
      <c r="F48" s="5">
        <f>IFERROR(__xludf.DUMMYFUNCTION("FILTER(SemEval_2025_T2!$E$3:$E$132, 
  REGEXMATCH(SemEval_2025_T2!$A$3:$A$132, ""(?i)"" &amp; $F$21 &amp;""_"" &amp; $A48), NOT(REGEXMATCH(SemEval_2025_T2!$A$3:$A$132, ""(?i)complete""))
)"),0.303224179037336)</f>
        <v>0.303224179</v>
      </c>
      <c r="G48" s="5">
        <f>IFERROR(__xludf.DUMMYFUNCTION("FILTER(SemEval_2025_T2!$F$3:$F$132, 
  REGEXMATCH(SemEval_2025_T2!$A$3:$A$132, ""(?i)"" &amp; $F$21 &amp;""_"" &amp; $A48), NOT(REGEXMATCH(SemEval_2025_T2!$A$3:$A$132, ""(?i)complete""))
)"),0.06794643339117)</f>
        <v>0.06794643339</v>
      </c>
      <c r="H48" s="5">
        <f>IFERROR(__xludf.DUMMYFUNCTION("FILTER(SemEval_2025_T2!$E$3:$E$132, 
  REGEXMATCH(SemEval_2025_T2!$A$3:$A$132, ""(?i)"" &amp; $H$21 &amp;""_"" &amp; $A48), NOT(REGEXMATCH(SemEval_2025_T2!$A$3:$A$132, ""(?i)complete""))
)"),0.28368918449971)</f>
        <v>0.2836891845</v>
      </c>
      <c r="I48" s="5">
        <f>IFERROR(__xludf.DUMMYFUNCTION("FILTER(SemEval_2025_T2!$F$3:$F$132, 
  REGEXMATCH(SemEval_2025_T2!$A$3:$A$132, ""(?i)"" &amp; $H$21 &amp;""_"" &amp; $A48), NOT(REGEXMATCH(SemEval_2025_T2!$A$3:$A$132, ""(?i)complete""))
)"),0.022842436218752)</f>
        <v>0.02284243622</v>
      </c>
      <c r="J48" s="8"/>
      <c r="K48" s="8"/>
      <c r="L48" s="8"/>
    </row>
    <row r="49">
      <c r="A49" s="13" t="s">
        <v>44</v>
      </c>
      <c r="B49" s="5">
        <f t="shared" ref="B49:I49" si="31">B41-B48</f>
        <v>0.01506369128</v>
      </c>
      <c r="C49" s="5">
        <f t="shared" si="31"/>
        <v>0.04154561273</v>
      </c>
      <c r="D49" s="5">
        <f t="shared" si="31"/>
        <v>-0.084360009</v>
      </c>
      <c r="E49" s="5">
        <f t="shared" si="31"/>
        <v>-0.0171205765</v>
      </c>
      <c r="F49" s="5">
        <f t="shared" si="31"/>
        <v>0.05471902834</v>
      </c>
      <c r="G49" s="5">
        <f t="shared" si="31"/>
        <v>0.03858641067</v>
      </c>
      <c r="H49" s="5">
        <f t="shared" si="31"/>
        <v>0.0189871088</v>
      </c>
      <c r="I49" s="5">
        <f t="shared" si="31"/>
        <v>0.02170763175</v>
      </c>
      <c r="J49" s="24">
        <f t="shared" ref="J49:K49" si="32">AVERAGE(B49,D49,F49,H49)</f>
        <v>0.001102454855</v>
      </c>
      <c r="K49" s="24">
        <f t="shared" si="32"/>
        <v>0.02117976966</v>
      </c>
      <c r="L49" s="24">
        <f>AVERAGE(J49,K49)</f>
        <v>0.01114111226</v>
      </c>
    </row>
    <row r="50">
      <c r="A50" s="7" t="s">
        <v>60</v>
      </c>
      <c r="B50" s="5">
        <f>IFERROR(__xludf.DUMMYFUNCTION("FILTER(SemEval_2025_T2!$E$3:$E$132, 
  REGEXMATCH(SemEval_2025_T2!$A$3:$A$132, ""(?i)"" &amp; $B$21 &amp;""_"" &amp; $A50), NOT(REGEXMATCH(SemEval_2025_T2!$A$3:$A$132, ""(?i)complete""))
)"),0.499797384486858)</f>
        <v>0.4997973845</v>
      </c>
      <c r="C50" s="5">
        <f>IFERROR(__xludf.DUMMYFUNCTION("FILTER(SemEval_2025_T2!$F$3:$F$132, 
  REGEXMATCH(SemEval_2025_T2!$A$3:$A$132, ""(?i)"" &amp; $B$21 &amp;""_"" &amp; $A50), NOT(REGEXMATCH(SemEval_2025_T2!$A$3:$A$132, ""(?i)complete""))
)"),0.275172661886022)</f>
        <v>0.2751726619</v>
      </c>
      <c r="D50" s="5">
        <f>IFERROR(__xludf.DUMMYFUNCTION("FILTER(SemEval_2025_T2!$E$3:$E$132, 
  REGEXMATCH(SemEval_2025_T2!$A$3:$A$132, ""(?i)"" &amp; $D$21 &amp;""_"" &amp; $A50), NOT(REGEXMATCH(SemEval_2025_T2!$A$3:$A$132, ""(?i)complete""))
)"),0.225635200179937)</f>
        <v>0.2256352002</v>
      </c>
      <c r="E50" s="5">
        <f>IFERROR(__xludf.DUMMYFUNCTION("FILTER(SemEval_2025_T2!$F$3:$F$132, 
  REGEXMATCH(SemEval_2025_T2!$A$3:$A$132, ""(?i)"" &amp; $D$21 &amp;""_"" &amp; $A50), NOT(REGEXMATCH(SemEval_2025_T2!$A$3:$A$132, ""(?i)complete""))
)"),0.095786284475758)</f>
        <v>0.09578628448</v>
      </c>
      <c r="F50" s="5">
        <f>IFERROR(__xludf.DUMMYFUNCTION("FILTER(SemEval_2025_T2!$E$3:$E$132, 
  REGEXMATCH(SemEval_2025_T2!$A$3:$A$132, ""(?i)"" &amp; $F$21 &amp;""_"" &amp; $A50), NOT(REGEXMATCH(SemEval_2025_T2!$A$3:$A$132, ""(?i)complete""))
)"),0.283900443416232)</f>
        <v>0.2839004434</v>
      </c>
      <c r="G50" s="5">
        <f>IFERROR(__xludf.DUMMYFUNCTION("FILTER(SemEval_2025_T2!$F$3:$F$132, 
  REGEXMATCH(SemEval_2025_T2!$A$3:$A$132, ""(?i)"" &amp; $F$21 &amp;""_"" &amp; $A50), NOT(REGEXMATCH(SemEval_2025_T2!$A$3:$A$132, ""(?i)complete""))
)"),0.063735660223716)</f>
        <v>0.06373566022</v>
      </c>
      <c r="H50" s="5">
        <f>IFERROR(__xludf.DUMMYFUNCTION("FILTER(SemEval_2025_T2!$E$3:$E$132, 
  REGEXMATCH(SemEval_2025_T2!$A$3:$A$132, ""(?i)"" &amp; $H$21 &amp;""_"" &amp; $A50), NOT(REGEXMATCH(SemEval_2025_T2!$A$3:$A$132, ""(?i)complete""))
)"),0.259658161429214)</f>
        <v>0.2596581614</v>
      </c>
      <c r="I50" s="5">
        <f>IFERROR(__xludf.DUMMYFUNCTION("FILTER(SemEval_2025_T2!$F$3:$F$132, 
  REGEXMATCH(SemEval_2025_T2!$A$3:$A$132, ""(?i)"" &amp; $H$21 &amp;""_"" &amp; $A50), NOT(REGEXMATCH(SemEval_2025_T2!$A$3:$A$132, ""(?i)complete""))
)"),0.026723515261167)</f>
        <v>0.02672351526</v>
      </c>
      <c r="J50" s="8"/>
      <c r="K50" s="8"/>
      <c r="L50" s="8"/>
    </row>
    <row r="51">
      <c r="A51" s="13" t="s">
        <v>47</v>
      </c>
      <c r="B51" s="5">
        <f t="shared" ref="B51:I51" si="33">B41-B50</f>
        <v>0.03898018765</v>
      </c>
      <c r="C51" s="5">
        <f t="shared" si="33"/>
        <v>0.06455529145</v>
      </c>
      <c r="D51" s="5">
        <f t="shared" si="33"/>
        <v>-0.05495886511</v>
      </c>
      <c r="E51" s="5">
        <f t="shared" si="33"/>
        <v>-0.008679594674</v>
      </c>
      <c r="F51" s="5">
        <f t="shared" si="33"/>
        <v>0.07404276396</v>
      </c>
      <c r="G51" s="5">
        <f t="shared" si="33"/>
        <v>0.04279718383</v>
      </c>
      <c r="H51" s="5">
        <f t="shared" si="33"/>
        <v>0.04301813187</v>
      </c>
      <c r="I51" s="5">
        <f t="shared" si="33"/>
        <v>0.01782655271</v>
      </c>
      <c r="J51" s="24">
        <f t="shared" ref="J51:K51" si="34">AVERAGE(B51,D51,F51,H51)</f>
        <v>0.02527055459</v>
      </c>
      <c r="K51" s="24">
        <f t="shared" si="34"/>
        <v>0.02912485833</v>
      </c>
      <c r="L51" s="24">
        <f>AVERAGE(J51,K51)</f>
        <v>0.02719770646</v>
      </c>
    </row>
    <row r="52">
      <c r="A52" s="7" t="s">
        <v>61</v>
      </c>
      <c r="B52" s="5">
        <f>IFERROR(__xludf.DUMMYFUNCTION("FILTER(SemEval_2025_T2!$E$3:$E$132, 
  REGEXMATCH(SemEval_2025_T2!$A$3:$A$132, ""(?i)"" &amp; $B$21 &amp;""_"" &amp; $A52)
)"),0.493213067926225)</f>
        <v>0.4932130679</v>
      </c>
      <c r="C52" s="5">
        <f>IFERROR(__xludf.DUMMYFUNCTION("FILTER(SemEval_2025_T2!$F$3:$F$132, 
  REGEXMATCH(SemEval_2025_T2!$A$3:$A$132, ""(?i)"" &amp; $B$21 &amp;""_"" &amp; $A52)
)"),0.274709964596806)</f>
        <v>0.2747099646</v>
      </c>
      <c r="D52" s="5">
        <f>IFERROR(__xludf.DUMMYFUNCTION("FILTER(SemEval_2025_T2!$E$3:$E$132, 
  REGEXMATCH(SemEval_2025_T2!$A$3:$A$132, ""(?i)"" &amp; $D$21 &amp;""_"" &amp; $A52)
)"),0.223272228648544)</f>
        <v>0.2232722286</v>
      </c>
      <c r="E52" s="5">
        <f>IFERROR(__xludf.DUMMYFUNCTION("FILTER(SemEval_2025_T2!$F$3:$F$132, 
  REGEXMATCH(SemEval_2025_T2!$A$3:$A$132, ""(?i)"" &amp; $D$21 &amp;""_"" &amp; $A52)
)"),0.054960912389454)</f>
        <v>0.05496091239</v>
      </c>
      <c r="F52" s="5">
        <f>IFERROR(__xludf.DUMMYFUNCTION("FILTER(SemEval_2025_T2!$E$3:$E$132, 
  REGEXMATCH(SemEval_2025_T2!$A$3:$A$132, ""(?i)"" &amp; $F$21 &amp;""_"" &amp; $A52)
)"),0.300439374076216)</f>
        <v>0.3004393741</v>
      </c>
      <c r="G52" s="5">
        <f>IFERROR(__xludf.DUMMYFUNCTION("FILTER(SemEval_2025_T2!$F$3:$F$132, 
  REGEXMATCH(SemEval_2025_T2!$A$3:$A$132, ""(?i)"" &amp; $F$21 &amp;""_"" &amp; $A52)
)"),0.040366798406272)</f>
        <v>0.04036679841</v>
      </c>
      <c r="H52" s="5">
        <f>IFERROR(__xludf.DUMMYFUNCTION("FILTER(SemEval_2025_T2!$E$3:$E$132, 
  REGEXMATCH(SemEval_2025_T2!$A$3:$A$132, ""(?i)"" &amp; $H$21 &amp;""_"" &amp; $A52)
)"),0.180634943127048)</f>
        <v>0.1806349431</v>
      </c>
      <c r="I52" s="5">
        <f>IFERROR(__xludf.DUMMYFUNCTION("FILTER(SemEval_2025_T2!$F$3:$F$132, 
  REGEXMATCH(SemEval_2025_T2!$A$3:$A$132, ""(?i)"" &amp; $H$21 &amp;""_"" &amp; $A52)
)"),0.022100388792494)</f>
        <v>0.02210038879</v>
      </c>
      <c r="J52" s="8"/>
      <c r="K52" s="8"/>
      <c r="L52" s="8"/>
    </row>
    <row r="53">
      <c r="A53" s="13" t="s">
        <v>50</v>
      </c>
      <c r="B53" s="5">
        <f t="shared" ref="B53:I53" si="35">B41-B52</f>
        <v>0.04556450421</v>
      </c>
      <c r="C53" s="5">
        <f t="shared" si="35"/>
        <v>0.06501798874</v>
      </c>
      <c r="D53" s="5">
        <f t="shared" si="35"/>
        <v>-0.05259589358</v>
      </c>
      <c r="E53" s="5">
        <f t="shared" si="35"/>
        <v>0.03214577741</v>
      </c>
      <c r="F53" s="5">
        <f t="shared" si="35"/>
        <v>0.0575038333</v>
      </c>
      <c r="G53" s="5">
        <f t="shared" si="35"/>
        <v>0.06616604565</v>
      </c>
      <c r="H53" s="5">
        <f t="shared" si="35"/>
        <v>0.1220413502</v>
      </c>
      <c r="I53" s="5">
        <f t="shared" si="35"/>
        <v>0.02244967918</v>
      </c>
      <c r="J53" s="24">
        <f t="shared" ref="J53:K53" si="36">AVERAGE(B53,D53,F53,H53)</f>
        <v>0.04312844853</v>
      </c>
      <c r="K53" s="24">
        <f t="shared" si="36"/>
        <v>0.04644487274</v>
      </c>
      <c r="L53" s="24">
        <f>AVERAGE(J53,K53)</f>
        <v>0.04478666063</v>
      </c>
    </row>
    <row r="54">
      <c r="A54" s="7" t="s">
        <v>63</v>
      </c>
      <c r="B54" s="5">
        <f>IFERROR(__xludf.DUMMYFUNCTION("FILTER(SemEval_2025_T2!$E$3:$E$132, 
  REGEXMATCH(SemEval_2025_T2!$A$3:$A$132, ""(?i)"" &amp; $B$21 &amp;""_"" &amp; $A54)
)"),0.506004639804639)</f>
        <v>0.5060046398</v>
      </c>
      <c r="C54" s="5">
        <f>IFERROR(__xludf.DUMMYFUNCTION("FILTER(SemEval_2025_T2!$F$3:$F$132, 
  REGEXMATCH(SemEval_2025_T2!$A$3:$A$132, ""(?i)"" &amp; $B$21 &amp;""_"" &amp; $A54)
)"),0.278838425519599)</f>
        <v>0.2788384255</v>
      </c>
      <c r="D54" s="5">
        <f>IFERROR(__xludf.DUMMYFUNCTION("FILTER(SemEval_2025_T2!$E$3:$E$132, 
  REGEXMATCH(SemEval_2025_T2!$A$3:$A$132, ""(?i)"" &amp; $D$21 &amp;""_"" &amp; $A54)
)"),0.196936048454469)</f>
        <v>0.1969360485</v>
      </c>
      <c r="E54" s="5">
        <f>IFERROR(__xludf.DUMMYFUNCTION("FILTER(SemEval_2025_T2!$F$3:$F$132, 
  REGEXMATCH(SemEval_2025_T2!$A$3:$A$132, ""(?i)"" &amp; $D$21 &amp;""_"" &amp; $A54)
)"),0.063800009931588)</f>
        <v>0.06380000993</v>
      </c>
      <c r="F54" s="5">
        <f>IFERROR(__xludf.DUMMYFUNCTION("FILTER(SemEval_2025_T2!$E$3:$E$132, 
  REGEXMATCH(SemEval_2025_T2!$A$3:$A$132, ""(?i)"" &amp; $F$21 &amp;""_"" &amp; $A54)
)"),0.2725549900392)</f>
        <v>0.27255499</v>
      </c>
      <c r="G54" s="5">
        <f>IFERROR(__xludf.DUMMYFUNCTION("FILTER(SemEval_2025_T2!$F$3:$F$132, 
  REGEXMATCH(SemEval_2025_T2!$A$3:$A$132, ""(?i)"" &amp; $F$21 &amp;""_"" &amp; $A54)
)"),0.056369605248552)</f>
        <v>0.05636960525</v>
      </c>
      <c r="H54" s="5">
        <f>IFERROR(__xludf.DUMMYFUNCTION("FILTER(SemEval_2025_T2!$E$3:$E$132, 
  REGEXMATCH(SemEval_2025_T2!$A$3:$A$132, ""(?i)"" &amp; $H$21 &amp;""_"" &amp; $A54)
)"),0.247308013623803)</f>
        <v>0.2473080136</v>
      </c>
      <c r="I54" s="5">
        <f>IFERROR(__xludf.DUMMYFUNCTION("FILTER(SemEval_2025_T2!$F$3:$F$132, 
  REGEXMATCH(SemEval_2025_T2!$A$3:$A$132, ""(?i)"" &amp; $H$21 &amp;""_"" &amp; $A54)
)"),0.031142846919162)</f>
        <v>0.03114284692</v>
      </c>
      <c r="J54" s="8"/>
      <c r="K54" s="8"/>
      <c r="L54" s="8"/>
    </row>
    <row r="55">
      <c r="A55" s="13" t="s">
        <v>53</v>
      </c>
      <c r="B55" s="5">
        <f t="shared" ref="B55:I55" si="37">B41-B54</f>
        <v>0.03277293233</v>
      </c>
      <c r="C55" s="5">
        <f t="shared" si="37"/>
        <v>0.06088952781</v>
      </c>
      <c r="D55" s="5">
        <f t="shared" si="37"/>
        <v>-0.02625971339</v>
      </c>
      <c r="E55" s="5">
        <f t="shared" si="37"/>
        <v>0.02330667987</v>
      </c>
      <c r="F55" s="5">
        <f t="shared" si="37"/>
        <v>0.08538821734</v>
      </c>
      <c r="G55" s="5">
        <f t="shared" si="37"/>
        <v>0.05016323881</v>
      </c>
      <c r="H55" s="5">
        <f t="shared" si="37"/>
        <v>0.05536827967</v>
      </c>
      <c r="I55" s="5">
        <f t="shared" si="37"/>
        <v>0.01340722105</v>
      </c>
      <c r="J55" s="24">
        <f t="shared" ref="J55:K55" si="38">AVERAGE(B55,D55,F55,H55)</f>
        <v>0.03681742899</v>
      </c>
      <c r="K55" s="24">
        <f t="shared" si="38"/>
        <v>0.03694166689</v>
      </c>
      <c r="L55" s="24">
        <f>AVERAGE(J55,K55)</f>
        <v>0.03687954794</v>
      </c>
    </row>
    <row r="56">
      <c r="B56" s="24">
        <f t="shared" ref="B56:I56" si="39">AVERAGE(B43,B45,B47,B49,B51,B53,B55)</f>
        <v>0.03225708869</v>
      </c>
      <c r="C56" s="24">
        <f t="shared" si="39"/>
        <v>0.05002045917</v>
      </c>
      <c r="D56" s="24">
        <f t="shared" si="39"/>
        <v>-0.06533627751</v>
      </c>
      <c r="E56" s="24">
        <f t="shared" si="39"/>
        <v>-0.004119636616</v>
      </c>
      <c r="F56" s="24">
        <f t="shared" si="39"/>
        <v>0.05791712431</v>
      </c>
      <c r="G56" s="24">
        <f t="shared" si="39"/>
        <v>0.04135376862</v>
      </c>
      <c r="H56" s="24">
        <f t="shared" si="39"/>
        <v>0.03904487179</v>
      </c>
      <c r="I56" s="24">
        <f t="shared" si="39"/>
        <v>0.0150604352</v>
      </c>
    </row>
    <row r="57">
      <c r="B57" s="24">
        <f>AVERAGE(B56,C56)</f>
        <v>0.04113877393</v>
      </c>
      <c r="C57" s="8"/>
      <c r="D57" s="24">
        <f>AVERAGE(D56,E56)</f>
        <v>-0.03472795706</v>
      </c>
      <c r="E57" s="8"/>
      <c r="F57" s="24">
        <f>AVERAGE(F56,G56)</f>
        <v>0.04963544647</v>
      </c>
      <c r="G57" s="8"/>
      <c r="H57" s="24">
        <f>AVERAGE(H56,I56)</f>
        <v>0.0270526535</v>
      </c>
      <c r="I57" s="8"/>
    </row>
    <row r="59">
      <c r="A59" s="1" t="s">
        <v>79</v>
      </c>
      <c r="B59" s="7" t="s">
        <v>13</v>
      </c>
      <c r="D59" s="1" t="s">
        <v>15</v>
      </c>
      <c r="E59" s="1"/>
      <c r="F59" s="1" t="s">
        <v>16</v>
      </c>
      <c r="G59" s="1"/>
      <c r="H59" s="7" t="s">
        <v>17</v>
      </c>
      <c r="I59" s="1"/>
    </row>
    <row r="60">
      <c r="A60" s="7" t="s">
        <v>21</v>
      </c>
      <c r="B60" s="5">
        <f>IFERROR(__xludf.DUMMYFUNCTION("FILTER(SemEval_2025_T2!$C$3:$C$132, 
  REGEXMATCH(SemEval_2025_T2!$A$3:$A$132, ""(?i)"" &amp; $B$21 &amp;""_"" &amp; $A60)
)"),0.537594490305016)</f>
        <v>0.5375944903</v>
      </c>
      <c r="C60" s="5">
        <f>IFERROR(__xludf.DUMMYFUNCTION("FILTER(SemEval_2025_T2!$D$3:$D$132, 
  REGEXMATCH(SemEval_2025_T2!$A$3:$A$132, ""(?i)"" &amp; $B$21 &amp;""_"" &amp; $A60)
)"),0.32476797950138)</f>
        <v>0.3247679795</v>
      </c>
      <c r="D60" s="5">
        <f>IFERROR(__xludf.DUMMYFUNCTION("FILTER(SemEval_2025_T2!$C$3:$C$132, 
  REGEXMATCH(SemEval_2025_T2!$A$3:$A$132, ""(?i)"" &amp; $D$21 &amp;""_"" &amp; $A60)
)"),0.107663177173703)</f>
        <v>0.1076631772</v>
      </c>
      <c r="E60" s="5">
        <f>IFERROR(__xludf.DUMMYFUNCTION("FILTER(SemEval_2025_T2!$D$3:$D$132, 
  REGEXMATCH(SemEval_2025_T2!$A$3:$A$132, ""(?i)"" &amp; $D$21 &amp;""_"" &amp; $A60)
)"),0.049053364179679)</f>
        <v>0.04905336418</v>
      </c>
      <c r="F60" s="5">
        <f>IFERROR(__xludf.DUMMYFUNCTION("FILTER(SemEval_2025_T2!$C$3:$C$132, 
  REGEXMATCH(SemEval_2025_T2!$A$3:$A$132, ""(?i)"" &amp; $F$21 &amp;""_"" &amp; $A60)
)"),0.300086787481524)</f>
        <v>0.3000867875</v>
      </c>
      <c r="G60" s="5">
        <f>IFERROR(__xludf.DUMMYFUNCTION("FILTER(SemEval_2025_T2!$D$3:$D$132, 
  REGEXMATCH(SemEval_2025_T2!$A$3:$A$132, ""(?i)"" &amp; $F$21 &amp;""_"" &amp; $A60)
)"),0.093026101855858)</f>
        <v>0.09302610186</v>
      </c>
      <c r="H60" s="5">
        <f>IFERROR(__xludf.DUMMYFUNCTION("FILTER(SemEval_2025_T2!$C$3:$C$132, 
  REGEXMATCH(SemEval_2025_T2!$A$3:$A$132, ""(?i)"" &amp; $H$21 &amp;""_"" &amp; $A60)
)"),0.232173196394249)</f>
        <v>0.2321731964</v>
      </c>
      <c r="I60" s="5">
        <f>IFERROR(__xludf.DUMMYFUNCTION("FILTER(SemEval_2025_T2!$D$3:$D$132, 
  REGEXMATCH(SemEval_2025_T2!$A$3:$A$132, ""(?i)"" &amp; $H$21 &amp;""_"" &amp; $A60)
)"),0.039748113874429)</f>
        <v>0.03974811387</v>
      </c>
    </row>
    <row r="61">
      <c r="A61" s="7" t="s">
        <v>26</v>
      </c>
      <c r="B61" s="5">
        <f>IFERROR(__xludf.DUMMYFUNCTION("FILTER(SemEval_2025_T2!$C$3:$C$132, 
  REGEXMATCH(SemEval_2025_T2!$A$3:$A$132, ""(?i)"" &amp; $B$21 &amp;""_"" &amp; $A61)
)"),0.509893371248634)</f>
        <v>0.5098933712</v>
      </c>
      <c r="C61" s="5">
        <f>IFERROR(__xludf.DUMMYFUNCTION("FILTER(SemEval_2025_T2!$D$3:$D$132, 
  REGEXMATCH(SemEval_2025_T2!$A$3:$A$132, ""(?i)"" &amp; $B$21 &amp;""_"" &amp; $A61)
)"),0.311016641253483)</f>
        <v>0.3110166413</v>
      </c>
      <c r="D61" s="5">
        <f>IFERROR(__xludf.DUMMYFUNCTION("FILTER(SemEval_2025_T2!$C$3:$C$132, 
  REGEXMATCH(SemEval_2025_T2!$A$3:$A$132, ""(?i)"" &amp; $D$21 &amp;""_"" &amp; $A61)
)"),0.053231630357946)</f>
        <v>0.05323163036</v>
      </c>
      <c r="E61" s="5">
        <f>IFERROR(__xludf.DUMMYFUNCTION("FILTER(SemEval_2025_T2!$D$3:$D$132, 
  REGEXMATCH(SemEval_2025_T2!$A$3:$A$132, ""(?i)"" &amp; $D$21 &amp;""_"" &amp; $A61)
)"),0.026355581260844)</f>
        <v>0.02635558126</v>
      </c>
      <c r="F61" s="5">
        <f>IFERROR(__xludf.DUMMYFUNCTION("FILTER(SemEval_2025_T2!$C$3:$C$132, 
  REGEXMATCH(SemEval_2025_T2!$A$3:$A$132, ""(?i)"" &amp; $F$21 &amp;""_"" &amp; $A61)
)"),0.260835643596169)</f>
        <v>0.2608356436</v>
      </c>
      <c r="G61" s="5">
        <f>IFERROR(__xludf.DUMMYFUNCTION("FILTER(SemEval_2025_T2!$D$3:$D$132, 
  REGEXMATCH(SemEval_2025_T2!$A$3:$A$132, ""(?i)"" &amp; $F$21 &amp;""_"" &amp; $A61)
)"),0.06056911772438)</f>
        <v>0.06056911772</v>
      </c>
      <c r="H61" s="5">
        <f>IFERROR(__xludf.DUMMYFUNCTION("FILTER(SemEval_2025_T2!$C$3:$C$132, 
  REGEXMATCH(SemEval_2025_T2!$A$3:$A$132, ""(?i)"" &amp; $H$21 &amp;""_"" &amp; $A61)
)"),0.230424664224664)</f>
        <v>0.2304246642</v>
      </c>
      <c r="I61" s="5">
        <f>IFERROR(__xludf.DUMMYFUNCTION("FILTER(SemEval_2025_T2!$D$3:$D$132, 
  REGEXMATCH(SemEval_2025_T2!$A$3:$A$132, ""(?i)"" &amp; $H$21 &amp;""_"" &amp; $A61)
)"),0.023545608350264)</f>
        <v>0.02354560835</v>
      </c>
    </row>
    <row r="62">
      <c r="A62" s="13" t="s">
        <v>32</v>
      </c>
      <c r="B62" s="5">
        <f t="shared" ref="B62:I62" si="40">IF(B61="", "", B$60-B61)</f>
        <v>0.02770111906</v>
      </c>
      <c r="C62" s="5">
        <f t="shared" si="40"/>
        <v>0.01375133825</v>
      </c>
      <c r="D62" s="5">
        <f t="shared" si="40"/>
        <v>0.05443154682</v>
      </c>
      <c r="E62" s="5">
        <f t="shared" si="40"/>
        <v>0.02269778292</v>
      </c>
      <c r="F62" s="5">
        <f t="shared" si="40"/>
        <v>0.03925114389</v>
      </c>
      <c r="G62" s="5">
        <f t="shared" si="40"/>
        <v>0.03245698413</v>
      </c>
      <c r="H62" s="5">
        <f t="shared" si="40"/>
        <v>0.00174853217</v>
      </c>
      <c r="I62" s="5">
        <f t="shared" si="40"/>
        <v>0.01620250552</v>
      </c>
      <c r="J62" s="24">
        <f t="shared" ref="J62:K62" si="41">AVERAGE(B62,D62,F62,H62)</f>
        <v>0.03078308548</v>
      </c>
      <c r="K62" s="24">
        <f t="shared" si="41"/>
        <v>0.02127715271</v>
      </c>
      <c r="L62" s="24">
        <f>AVERAGE(J62,K62)</f>
        <v>0.02603011909</v>
      </c>
    </row>
    <row r="63">
      <c r="A63" s="7" t="s">
        <v>58</v>
      </c>
      <c r="B63" s="5" t="str">
        <f>IFERROR(__xludf.DUMMYFUNCTION("FILTER(SemEval_2025_T2!$C$3:$C$132, 
  REGEXMATCH(SemEval_2025_T2!$A$3:$A$132, ""(?i)"" &amp; $B$21 &amp;""_"" &amp; $A63)
)"),"")</f>
        <v/>
      </c>
      <c r="C63" s="5" t="str">
        <f>IFERROR(__xludf.DUMMYFUNCTION("FILTER(SemEval_2025_T2!$D$3:$D$132, 
  REGEXMATCH(SemEval_2025_T2!$A$3:$A$132, ""(?i)"" &amp; $B$21 &amp;""_"" &amp; $A63)
)"),"")</f>
        <v/>
      </c>
      <c r="D63" s="5">
        <f>IFERROR(__xludf.DUMMYFUNCTION("FILTER(SemEval_2025_T2!$C$3:$C$132, 
  REGEXMATCH(SemEval_2025_T2!$A$3:$A$132, ""(?i)"" &amp; $D$21 &amp;""_"" &amp; $A63)
)"),0.061765240023134)</f>
        <v>0.06176524002</v>
      </c>
      <c r="E63" s="5">
        <f>IFERROR(__xludf.DUMMYFUNCTION("FILTER(SemEval_2025_T2!$D$3:$D$132, 
  REGEXMATCH(SemEval_2025_T2!$A$3:$A$132, ""(?i)"" &amp; $D$21 &amp;""_"" &amp; $A63)
)"),0.029348708309234)</f>
        <v>0.02934870831</v>
      </c>
      <c r="F63" s="5">
        <f>IFERROR(__xludf.DUMMYFUNCTION("FILTER(SemEval_2025_T2!$C$3:$C$132, 
  REGEXMATCH(SemEval_2025_T2!$A$3:$A$132, ""(?i)"" &amp; $F$21 &amp;""_"" &amp; $A63)
)"),0.286909321380373)</f>
        <v>0.2869093214</v>
      </c>
      <c r="G63" s="5">
        <f>IFERROR(__xludf.DUMMYFUNCTION("FILTER(SemEval_2025_T2!$D$3:$D$132, 
  REGEXMATCH(SemEval_2025_T2!$A$3:$A$132, ""(?i)"" &amp; $F$21 &amp;""_"" &amp; $A63)
)"),0.040739516331621)</f>
        <v>0.04073951633</v>
      </c>
      <c r="H63" s="5">
        <f>IFERROR(__xludf.DUMMYFUNCTION("FILTER(SemEval_2025_T2!$C$3:$C$132, 
  REGEXMATCH(SemEval_2025_T2!$A$3:$A$132, ""(?i)"" &amp; $H$21 &amp;""_"" &amp; $A63)
)"),0.255543317209106)</f>
        <v>0.2555433172</v>
      </c>
      <c r="I63" s="5">
        <f>IFERROR(__xludf.DUMMYFUNCTION("FILTER(SemEval_2025_T2!$D$3:$D$132, 
  REGEXMATCH(SemEval_2025_T2!$A$3:$A$132, ""(?i)"" &amp; $H$21 &amp;""_"" &amp; $A63)
)"),0.040019142778049)</f>
        <v>0.04001914278</v>
      </c>
      <c r="J63" s="8"/>
      <c r="K63" s="8"/>
      <c r="L63" s="8"/>
    </row>
    <row r="64">
      <c r="A64" s="13" t="s">
        <v>37</v>
      </c>
      <c r="B64" s="5" t="str">
        <f t="shared" ref="B64:I64" si="42">IF(B63="", "", B$60-B63)</f>
        <v/>
      </c>
      <c r="C64" s="5" t="str">
        <f t="shared" si="42"/>
        <v/>
      </c>
      <c r="D64" s="5">
        <f t="shared" si="42"/>
        <v>0.04589793715</v>
      </c>
      <c r="E64" s="5">
        <f t="shared" si="42"/>
        <v>0.01970465587</v>
      </c>
      <c r="F64" s="5">
        <f t="shared" si="42"/>
        <v>0.0131774661</v>
      </c>
      <c r="G64" s="5">
        <f t="shared" si="42"/>
        <v>0.05228658552</v>
      </c>
      <c r="H64" s="5">
        <f t="shared" si="42"/>
        <v>-0.02337012081</v>
      </c>
      <c r="I64" s="5">
        <f t="shared" si="42"/>
        <v>-0.0002710289036</v>
      </c>
      <c r="J64" s="24">
        <f t="shared" ref="J64:K64" si="43">AVERAGE(B64,D64,F64,H64)</f>
        <v>0.01190176081</v>
      </c>
      <c r="K64" s="24">
        <f t="shared" si="43"/>
        <v>0.0239067375</v>
      </c>
      <c r="L64" s="24">
        <f>AVERAGE(J64,K64)</f>
        <v>0.01790424915</v>
      </c>
    </row>
    <row r="65">
      <c r="A65" s="7" t="s">
        <v>38</v>
      </c>
      <c r="B65" s="5" t="str">
        <f>IFERROR(__xludf.DUMMYFUNCTION("FILTER(SemEval_2025_T2!$C$3:$C$132, 
  REGEXMATCH(SemEval_2025_T2!$A$3:$A$132, ""(?i)"" &amp; $B$21 &amp;""_"" &amp; $A65)
)"),"")</f>
        <v/>
      </c>
      <c r="C65" s="5" t="str">
        <f>IFERROR(__xludf.DUMMYFUNCTION("FILTER(SemEval_2025_T2!$D$3:$D$132, 
  REGEXMATCH(SemEval_2025_T2!$A$3:$A$132, ""(?i)"" &amp; $B$21 &amp;""_"" &amp; $A65)
)"),"")</f>
        <v/>
      </c>
      <c r="D65" s="5">
        <f>IFERROR(__xludf.DUMMYFUNCTION("FILTER(SemEval_2025_T2!$C$3:$C$132, 
  REGEXMATCH(SemEval_2025_T2!$A$3:$A$132, ""(?i)"" &amp; $D$21 &amp;""_"" &amp; $A65)
)"),0.037621149026412)</f>
        <v>0.03762114903</v>
      </c>
      <c r="E65" s="5">
        <f>IFERROR(__xludf.DUMMYFUNCTION("FILTER(SemEval_2025_T2!$D$3:$D$132, 
  REGEXMATCH(SemEval_2025_T2!$A$3:$A$132, ""(?i)"" &amp; $D$21 &amp;""_"" &amp; $A65)
)"),0.018537574705995)</f>
        <v>0.01853757471</v>
      </c>
      <c r="F65" s="5">
        <f>IFERROR(__xludf.DUMMYFUNCTION("FILTER(SemEval_2025_T2!$C$3:$C$132, 
  REGEXMATCH(SemEval_2025_T2!$A$3:$A$132, ""(?i)"" &amp; $F$21 &amp;""_"" &amp; $A65)
)"),0.281565625602467)</f>
        <v>0.2815656256</v>
      </c>
      <c r="G65" s="5">
        <f>IFERROR(__xludf.DUMMYFUNCTION("FILTER(SemEval_2025_T2!$D$3:$D$132, 
  REGEXMATCH(SemEval_2025_T2!$A$3:$A$132, ""(?i)"" &amp; $F$21 &amp;""_"" &amp; $A65)
)"),0.036163580571475)</f>
        <v>0.03616358057</v>
      </c>
      <c r="H65" s="5">
        <f>IFERROR(__xludf.DUMMYFUNCTION("FILTER(SemEval_2025_T2!$C$3:$C$132, 
  REGEXMATCH(SemEval_2025_T2!$A$3:$A$132, ""(?i)"" &amp; $H$21 &amp;""_"" &amp; $A65)
)"),0.264778645331276)</f>
        <v>0.2647786453</v>
      </c>
      <c r="I65" s="5">
        <f>IFERROR(__xludf.DUMMYFUNCTION("FILTER(SemEval_2025_T2!$D$3:$D$132, 
  REGEXMATCH(SemEval_2025_T2!$A$3:$A$132, ""(?i)"" &amp; $H$21 &amp;""_"" &amp; $A65)
)"),0.056234737192631)</f>
        <v>0.05623473719</v>
      </c>
      <c r="J65" s="8"/>
      <c r="K65" s="8"/>
      <c r="L65" s="8"/>
    </row>
    <row r="66">
      <c r="A66" s="13" t="s">
        <v>40</v>
      </c>
      <c r="B66" s="5" t="str">
        <f t="shared" ref="B66:I66" si="44">IF(B65="", "", B$60-B65)</f>
        <v/>
      </c>
      <c r="C66" s="5" t="str">
        <f t="shared" si="44"/>
        <v/>
      </c>
      <c r="D66" s="5">
        <f t="shared" si="44"/>
        <v>0.07004202815</v>
      </c>
      <c r="E66" s="5">
        <f t="shared" si="44"/>
        <v>0.03051578947</v>
      </c>
      <c r="F66" s="5">
        <f t="shared" si="44"/>
        <v>0.01852116188</v>
      </c>
      <c r="G66" s="5">
        <f t="shared" si="44"/>
        <v>0.05686252128</v>
      </c>
      <c r="H66" s="5">
        <f t="shared" si="44"/>
        <v>-0.03260544894</v>
      </c>
      <c r="I66" s="5">
        <f t="shared" si="44"/>
        <v>-0.01648662332</v>
      </c>
      <c r="J66" s="24">
        <f t="shared" ref="J66:K66" si="45">AVERAGE(B66,D66,F66,H66)</f>
        <v>0.01865258036</v>
      </c>
      <c r="K66" s="24">
        <f t="shared" si="45"/>
        <v>0.02363056248</v>
      </c>
      <c r="L66" s="24">
        <f>AVERAGE(J66,K66)</f>
        <v>0.02114157142</v>
      </c>
    </row>
    <row r="67">
      <c r="A67" s="7" t="s">
        <v>59</v>
      </c>
      <c r="B67" s="5" t="str">
        <f>IFERROR(__xludf.DUMMYFUNCTION("FILTER(SemEval_2025_T2!$C$3:$C$132, 
  REGEXMATCH(SemEval_2025_T2!$A$3:$A$132, ""(?i)"" &amp; $B$21 &amp;""_"" &amp; $A67), NOT(REGEXMATCH(SemEval_2025_T2!$A$3:$A$132, ""(?i)complete""))
)"),"")</f>
        <v/>
      </c>
      <c r="C67" s="5" t="str">
        <f>IFERROR(__xludf.DUMMYFUNCTION("FILTER(SemEval_2025_T2!$D$3:$D$132, 
  REGEXMATCH(SemEval_2025_T2!$A$3:$A$132, ""(?i)"" &amp; $B$21 &amp;""_"" &amp; $A67), NOT(REGEXMATCH(SemEval_2025_T2!$A$3:$A$132, ""(?i)complete""))
)"),"")</f>
        <v/>
      </c>
      <c r="D67" s="5">
        <f>IFERROR(__xludf.DUMMYFUNCTION("FILTER(SemEval_2025_T2!$C$3:$C$132, 
  REGEXMATCH(SemEval_2025_T2!$A$3:$A$132, ""(?i)"" &amp; $D$21 &amp;""_"" &amp; $A67), NOT(REGEXMATCH(SemEval_2025_T2!$A$3:$A$132, ""(?i)complete""))
)"),0.043328475033738)</f>
        <v>0.04332847503</v>
      </c>
      <c r="E67" s="5">
        <f>IFERROR(__xludf.DUMMYFUNCTION("FILTER(SemEval_2025_T2!$D$3:$D$132, 
  REGEXMATCH(SemEval_2025_T2!$A$3:$A$132, ""(?i)"" &amp; $D$21 &amp;""_"" &amp; $A67), NOT(REGEXMATCH(SemEval_2025_T2!$A$3:$A$132, ""(?i)complete""))
)"),0.02139393997815)</f>
        <v>0.02139393998</v>
      </c>
      <c r="F67" s="5">
        <f>IFERROR(__xludf.DUMMYFUNCTION("FILTER(SemEval_2025_T2!$C$3:$C$132, 
  REGEXMATCH(SemEval_2025_T2!$A$3:$A$132, ""(?i)"" &amp; $F$21 &amp;""_"" &amp; $A67), NOT(REGEXMATCH(SemEval_2025_T2!$A$3:$A$132, ""(?i)complete""))
)"),0.273295328063749)</f>
        <v>0.2732953281</v>
      </c>
      <c r="G67" s="5">
        <f>IFERROR(__xludf.DUMMYFUNCTION("FILTER(SemEval_2025_T2!$D$3:$D$132, 
  REGEXMATCH(SemEval_2025_T2!$A$3:$A$132, ""(?i)"" &amp; $F$21 &amp;""_"" &amp; $A67), NOT(REGEXMATCH(SemEval_2025_T2!$A$3:$A$132, ""(?i)complete""))
)"),0.051847278160436)</f>
        <v>0.05184727816</v>
      </c>
      <c r="H67" s="5">
        <f>IFERROR(__xludf.DUMMYFUNCTION("FILTER(SemEval_2025_T2!$C$3:$C$132, 
  REGEXMATCH(SemEval_2025_T2!$A$3:$A$132, ""(?i)"" &amp; $H$21 &amp;""_"" &amp; $A67), NOT(REGEXMATCH(SemEval_2025_T2!$A$3:$A$132, ""(?i)complete""))
)"),0.282041790373369)</f>
        <v>0.2820417904</v>
      </c>
      <c r="I67" s="5">
        <f>IFERROR(__xludf.DUMMYFUNCTION("FILTER(SemEval_2025_T2!$D$3:$D$132, 
  REGEXMATCH(SemEval_2025_T2!$A$3:$A$132, ""(?i)"" &amp; $H$21 &amp;""_"" &amp; $A67), NOT(REGEXMATCH(SemEval_2025_T2!$A$3:$A$132, ""(?i)complete""))
)"),0.020204459867617)</f>
        <v>0.02020445987</v>
      </c>
      <c r="J67" s="8"/>
      <c r="K67" s="8"/>
      <c r="L67" s="8"/>
    </row>
    <row r="68">
      <c r="A68" s="13" t="s">
        <v>44</v>
      </c>
      <c r="B68" s="5" t="str">
        <f t="shared" ref="B68:I68" si="46">IF(B67="", "", B$60-B67)</f>
        <v/>
      </c>
      <c r="C68" s="5" t="str">
        <f t="shared" si="46"/>
        <v/>
      </c>
      <c r="D68" s="5">
        <f t="shared" si="46"/>
        <v>0.06433470214</v>
      </c>
      <c r="E68" s="5">
        <f t="shared" si="46"/>
        <v>0.0276594242</v>
      </c>
      <c r="F68" s="5">
        <f t="shared" si="46"/>
        <v>0.02679145942</v>
      </c>
      <c r="G68" s="5">
        <f t="shared" si="46"/>
        <v>0.0411788237</v>
      </c>
      <c r="H68" s="5">
        <f t="shared" si="46"/>
        <v>-0.04986859398</v>
      </c>
      <c r="I68" s="5">
        <f t="shared" si="46"/>
        <v>0.01954365401</v>
      </c>
      <c r="J68" s="24">
        <f t="shared" ref="J68:K68" si="47">AVERAGE(B68,D68,F68,H68)</f>
        <v>0.01375252253</v>
      </c>
      <c r="K68" s="24">
        <f t="shared" si="47"/>
        <v>0.02946063397</v>
      </c>
      <c r="L68" s="24">
        <f>AVERAGE(J68,K68)</f>
        <v>0.02160657825</v>
      </c>
    </row>
    <row r="69">
      <c r="A69" s="7" t="s">
        <v>60</v>
      </c>
      <c r="B69" s="5" t="str">
        <f>IFERROR(__xludf.DUMMYFUNCTION("FILTER(SemEval_2025_T2!$C$3:$C$132, 
  REGEXMATCH(SemEval_2025_T2!$A$3:$A$132, ""(?i)"" &amp; $B$21 &amp;""_"" &amp; $A69), NOT(REGEXMATCH(SemEval_2025_T2!$A$3:$A$132, ""(?i)complete""))
)"),"")</f>
        <v/>
      </c>
      <c r="C69" s="5" t="str">
        <f>IFERROR(__xludf.DUMMYFUNCTION("FILTER(SemEval_2025_T2!$D$3:$D$132, 
  REGEXMATCH(SemEval_2025_T2!$A$3:$A$132, ""(?i)"" &amp; $B$21 &amp;""_"" &amp; $A69), NOT(REGEXMATCH(SemEval_2025_T2!$A$3:$A$132, ""(?i)complete""))
)"),"")</f>
        <v/>
      </c>
      <c r="D69" s="5">
        <f>IFERROR(__xludf.DUMMYFUNCTION("FILTER(SemEval_2025_T2!$C$3:$C$132, 
  REGEXMATCH(SemEval_2025_T2!$A$3:$A$132, ""(?i)"" &amp; $D$21 &amp;""_"" &amp; $A69), NOT(REGEXMATCH(SemEval_2025_T2!$A$3:$A$132, ""(?i)complete""))
)"),0.047214796606901)</f>
        <v>0.04721479661</v>
      </c>
      <c r="E69" s="5">
        <f>IFERROR(__xludf.DUMMYFUNCTION("FILTER(SemEval_2025_T2!$D$3:$D$132, 
  REGEXMATCH(SemEval_2025_T2!$A$3:$A$132, ""(?i)"" &amp; $D$21 &amp;""_"" &amp; $A69), NOT(REGEXMATCH(SemEval_2025_T2!$A$3:$A$132, ""(?i)complete""))
)"),0.021408588779641)</f>
        <v>0.02140858878</v>
      </c>
      <c r="F69" s="5">
        <f>IFERROR(__xludf.DUMMYFUNCTION("FILTER(SemEval_2025_T2!$C$3:$C$132, 
  REGEXMATCH(SemEval_2025_T2!$A$3:$A$132, ""(?i)"" &amp; $F$21 &amp;""_"" &amp; $A69), NOT(REGEXMATCH(SemEval_2025_T2!$A$3:$A$132, ""(?i)complete""))
)"),0.273765442452284)</f>
        <v>0.2737654425</v>
      </c>
      <c r="G69" s="5">
        <f>IFERROR(__xludf.DUMMYFUNCTION("FILTER(SemEval_2025_T2!$D$3:$D$132, 
  REGEXMATCH(SemEval_2025_T2!$A$3:$A$132, ""(?i)"" &amp; $F$21 &amp;""_"" &amp; $A69), NOT(REGEXMATCH(SemEval_2025_T2!$A$3:$A$132, ""(?i)complete""))
)"),0.039897929555824)</f>
        <v>0.03989792956</v>
      </c>
      <c r="H69" s="5">
        <f>IFERROR(__xludf.DUMMYFUNCTION("FILTER(SemEval_2025_T2!$C$3:$C$132, 
  REGEXMATCH(SemEval_2025_T2!$A$3:$A$132, ""(?i)"" &amp; $H$21 &amp;""_"" &amp; $A69), NOT(REGEXMATCH(SemEval_2025_T2!$A$3:$A$132, ""(?i)complete""))
)"),0.256708971145813)</f>
        <v>0.2567089711</v>
      </c>
      <c r="I69" s="5">
        <f>IFERROR(__xludf.DUMMYFUNCTION("FILTER(SemEval_2025_T2!$D$3:$D$132, 
  REGEXMATCH(SemEval_2025_T2!$A$3:$A$132, ""(?i)"" &amp; $H$21 &amp;""_"" &amp; $A69), NOT(REGEXMATCH(SemEval_2025_T2!$A$3:$A$132, ""(?i)complete""))
)"),0.044635044959538)</f>
        <v>0.04463504496</v>
      </c>
      <c r="J69" s="8"/>
      <c r="K69" s="8"/>
      <c r="L69" s="8"/>
    </row>
    <row r="70">
      <c r="A70" s="13" t="s">
        <v>47</v>
      </c>
      <c r="B70" s="5" t="str">
        <f t="shared" ref="B70:I70" si="48">IF(B69="", "", B$60-B69)</f>
        <v/>
      </c>
      <c r="C70" s="5" t="str">
        <f t="shared" si="48"/>
        <v/>
      </c>
      <c r="D70" s="5">
        <f t="shared" si="48"/>
        <v>0.06044838057</v>
      </c>
      <c r="E70" s="5">
        <f t="shared" si="48"/>
        <v>0.0276447754</v>
      </c>
      <c r="F70" s="5">
        <f t="shared" si="48"/>
        <v>0.02632134503</v>
      </c>
      <c r="G70" s="5">
        <f t="shared" si="48"/>
        <v>0.0531281723</v>
      </c>
      <c r="H70" s="5">
        <f t="shared" si="48"/>
        <v>-0.02453577475</v>
      </c>
      <c r="I70" s="5">
        <f t="shared" si="48"/>
        <v>-0.004886931085</v>
      </c>
      <c r="J70" s="24">
        <f t="shared" ref="J70:K70" si="49">AVERAGE(B70,D70,F70,H70)</f>
        <v>0.02074465028</v>
      </c>
      <c r="K70" s="24">
        <f t="shared" si="49"/>
        <v>0.02529533887</v>
      </c>
      <c r="L70" s="24">
        <f>AVERAGE(J70,K70)</f>
        <v>0.02301999458</v>
      </c>
    </row>
    <row r="71">
      <c r="A71" s="7" t="s">
        <v>61</v>
      </c>
      <c r="B71" s="5" t="str">
        <f>IFERROR(__xludf.DUMMYFUNCTION("FILTER(SemEval_2025_T2!$C$3:$C$132, 
  REGEXMATCH(SemEval_2025_T2!$A$3:$A$132, ""(?i)"" &amp; $B$21 &amp;""_"" &amp; $A71)
)"),"")</f>
        <v/>
      </c>
      <c r="C71" s="5" t="str">
        <f>IFERROR(__xludf.DUMMYFUNCTION("FILTER(SemEval_2025_T2!$D$3:$D$132, 
  REGEXMATCH(SemEval_2025_T2!$A$3:$A$132, ""(?i)"" &amp; $B$21 &amp;""_"" &amp; $A71)
)"),"")</f>
        <v/>
      </c>
      <c r="D71" s="5" t="str">
        <f>IFERROR(__xludf.DUMMYFUNCTION("FILTER(SemEval_2025_T2!$C$3:$C$132, 
  REGEXMATCH(SemEval_2025_T2!$A$3:$A$132, ""(?i)"" &amp; $D$21 &amp;""_"" &amp; $A71)
)"),"")</f>
        <v/>
      </c>
      <c r="E71" s="5" t="str">
        <f>IFERROR(__xludf.DUMMYFUNCTION("FILTER(SemEval_2025_T2!$D$3:$D$132, 
  REGEXMATCH(SemEval_2025_T2!$A$3:$A$132, ""(?i)"" &amp; $D$21 &amp;""_"" &amp; $A71)
)"),"")</f>
        <v/>
      </c>
      <c r="F71" s="5" t="str">
        <f>IFERROR(__xludf.DUMMYFUNCTION("FILTER(SemEval_2025_T2!$C$3:$C$132, 
  REGEXMATCH(SemEval_2025_T2!$A$3:$A$132, ""(?i)"" &amp; $F$21 &amp;""_"" &amp; $A71)
)"),"")</f>
        <v/>
      </c>
      <c r="G71" s="5" t="str">
        <f>IFERROR(__xludf.DUMMYFUNCTION("FILTER(SemEval_2025_T2!$D$3:$D$132, 
  REGEXMATCH(SemEval_2025_T2!$A$3:$A$132, ""(?i)"" &amp; $F$21 &amp;""_"" &amp; $A71)
)"),"")</f>
        <v/>
      </c>
      <c r="H71" s="5">
        <f>IFERROR(__xludf.DUMMYFUNCTION("FILTER(SemEval_2025_T2!$C$3:$C$132, 
  REGEXMATCH(SemEval_2025_T2!$A$3:$A$132, ""(?i)"" &amp; $H$21 &amp;""_"" &amp; $A71)
)"),0.171234207313154)</f>
        <v>0.1712342073</v>
      </c>
      <c r="I71" s="5">
        <f>IFERROR(__xludf.DUMMYFUNCTION("FILTER(SemEval_2025_T2!$D$3:$D$132, 
  REGEXMATCH(SemEval_2025_T2!$A$3:$A$132, ""(?i)"" &amp; $H$21 &amp;""_"" &amp; $A71)
)"),0.035726314913157)</f>
        <v>0.03572631491</v>
      </c>
      <c r="J71" s="8"/>
      <c r="K71" s="8"/>
      <c r="L71" s="8"/>
    </row>
    <row r="72">
      <c r="A72" s="13" t="s">
        <v>50</v>
      </c>
      <c r="B72" s="5" t="str">
        <f t="shared" ref="B72:I72" si="50">IF(B71="", "", B$60-B71)</f>
        <v/>
      </c>
      <c r="C72" s="5" t="str">
        <f t="shared" si="50"/>
        <v/>
      </c>
      <c r="D72" s="5" t="str">
        <f t="shared" si="50"/>
        <v/>
      </c>
      <c r="E72" s="5" t="str">
        <f t="shared" si="50"/>
        <v/>
      </c>
      <c r="F72" s="5" t="str">
        <f t="shared" si="50"/>
        <v/>
      </c>
      <c r="G72" s="5" t="str">
        <f t="shared" si="50"/>
        <v/>
      </c>
      <c r="H72" s="5">
        <f t="shared" si="50"/>
        <v>0.06093898908</v>
      </c>
      <c r="I72" s="5">
        <f t="shared" si="50"/>
        <v>0.004021798961</v>
      </c>
      <c r="J72" s="8"/>
      <c r="K72" s="8"/>
      <c r="L72" s="8"/>
    </row>
    <row r="73">
      <c r="A73" s="7" t="s">
        <v>63</v>
      </c>
      <c r="B73" s="5" t="str">
        <f>IFERROR(__xludf.DUMMYFUNCTION("FILTER(SemEval_2025_T2!$C$3:$C$132, 
  REGEXMATCH(SemEval_2025_T2!$A$3:$A$132, ""(?i)"" &amp; $B$21 &amp;""_"" &amp; $A73)
)"),"")</f>
        <v/>
      </c>
      <c r="C73" s="5" t="str">
        <f>IFERROR(__xludf.DUMMYFUNCTION("FILTER(SemEval_2025_T2!$D$3:$D$132, 
  REGEXMATCH(SemEval_2025_T2!$A$3:$A$132, ""(?i)"" &amp; $B$21 &amp;""_"" &amp; $A73)
)"),"")</f>
        <v/>
      </c>
      <c r="D73" s="5" t="str">
        <f>IFERROR(__xludf.DUMMYFUNCTION("FILTER(SemEval_2025_T2!$C$3:$C$132, 
  REGEXMATCH(SemEval_2025_T2!$A$3:$A$132, ""(?i)"" &amp; $D$21 &amp;""_"" &amp; $A73)
)"),"")</f>
        <v/>
      </c>
      <c r="E73" s="5" t="str">
        <f>IFERROR(__xludf.DUMMYFUNCTION("FILTER(SemEval_2025_T2!$D$3:$D$132, 
  REGEXMATCH(SemEval_2025_T2!$A$3:$A$132, ""(?i)"" &amp; $D$21 &amp;""_"" &amp; $A73)
)"),"")</f>
        <v/>
      </c>
      <c r="F73" s="5" t="str">
        <f>IFERROR(__xludf.DUMMYFUNCTION("FILTER(SemEval_2025_T2!$C$3:$C$132, 
  REGEXMATCH(SemEval_2025_T2!$A$3:$A$132, ""(?i)"" &amp; $F$21 &amp;""_"" &amp; $A73)
)"),"")</f>
        <v/>
      </c>
      <c r="G73" s="5" t="str">
        <f>IFERROR(__xludf.DUMMYFUNCTION("FILTER(SemEval_2025_T2!$D$3:$D$132, 
  REGEXMATCH(SemEval_2025_T2!$A$3:$A$132, ""(?i)"" &amp; $F$21 &amp;""_"" &amp; $A73)
)"),"")</f>
        <v/>
      </c>
      <c r="H73" s="5">
        <f>IFERROR(__xludf.DUMMYFUNCTION("FILTER(SemEval_2025_T2!$C$3:$C$132, 
  REGEXMATCH(SemEval_2025_T2!$A$3:$A$132, ""(?i)"" &amp; $H$21 &amp;""_"" &amp; $A73)
)"),0.228446018893387)</f>
        <v>0.2284460189</v>
      </c>
      <c r="I73" s="5">
        <f>IFERROR(__xludf.DUMMYFUNCTION("FILTER(SemEval_2025_T2!$D$3:$D$132, 
  REGEXMATCH(SemEval_2025_T2!$A$3:$A$132, ""(?i)"" &amp; $H$21 &amp;""_"" &amp; $A73)
)"),0.030942465137201)</f>
        <v>0.03094246514</v>
      </c>
      <c r="J73" s="8"/>
      <c r="K73" s="8"/>
      <c r="L73" s="8"/>
    </row>
    <row r="74">
      <c r="A74" s="13" t="s">
        <v>53</v>
      </c>
      <c r="B74" s="5" t="str">
        <f t="shared" ref="B74:I74" si="51">IF(B73="", "", B$60-B73)</f>
        <v/>
      </c>
      <c r="C74" s="5" t="str">
        <f t="shared" si="51"/>
        <v/>
      </c>
      <c r="D74" s="5" t="str">
        <f t="shared" si="51"/>
        <v/>
      </c>
      <c r="E74" s="5" t="str">
        <f t="shared" si="51"/>
        <v/>
      </c>
      <c r="F74" s="5" t="str">
        <f t="shared" si="51"/>
        <v/>
      </c>
      <c r="G74" s="5" t="str">
        <f t="shared" si="51"/>
        <v/>
      </c>
      <c r="H74" s="5">
        <f t="shared" si="51"/>
        <v>0.003727177501</v>
      </c>
      <c r="I74" s="5">
        <f t="shared" si="51"/>
        <v>0.008805648737</v>
      </c>
      <c r="J74" s="8"/>
      <c r="K74" s="8"/>
      <c r="L74" s="8"/>
    </row>
    <row r="75">
      <c r="B75" s="24">
        <f t="shared" ref="B75:I75" si="52">AVERAGE(B62,B64,B66,B68,B70,B72,B74)</f>
        <v>0.02770111906</v>
      </c>
      <c r="C75" s="24">
        <f t="shared" si="52"/>
        <v>0.01375133825</v>
      </c>
      <c r="D75" s="24">
        <f t="shared" si="52"/>
        <v>0.05903091896</v>
      </c>
      <c r="E75" s="24">
        <f t="shared" si="52"/>
        <v>0.02564448557</v>
      </c>
      <c r="F75" s="24">
        <f t="shared" si="52"/>
        <v>0.02481251526</v>
      </c>
      <c r="G75" s="24">
        <f t="shared" si="52"/>
        <v>0.04718261739</v>
      </c>
      <c r="H75" s="24">
        <f t="shared" si="52"/>
        <v>-0.00913789139</v>
      </c>
      <c r="I75" s="24">
        <f t="shared" si="52"/>
        <v>0.003847003418</v>
      </c>
    </row>
    <row r="76">
      <c r="B76" s="24">
        <f>AVERAGE(B75,C75)</f>
        <v>0.02072622865</v>
      </c>
      <c r="C76" s="8"/>
      <c r="D76" s="24">
        <f>AVERAGE(D75,E75)</f>
        <v>0.04233770227</v>
      </c>
      <c r="E76" s="8"/>
      <c r="F76" s="24">
        <f>AVERAGE(F75,G75)</f>
        <v>0.03599756632</v>
      </c>
      <c r="G76" s="8"/>
      <c r="H76" s="24">
        <f>AVERAGE(H75,I75)</f>
        <v>-0.002645443986</v>
      </c>
      <c r="I76" s="8"/>
    </row>
    <row r="80">
      <c r="H80" s="7">
        <v>2.96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1">
      <c r="A1" s="1" t="s">
        <v>4</v>
      </c>
      <c r="B1" s="2" t="s">
        <v>5</v>
      </c>
      <c r="C1" s="5"/>
      <c r="D1" s="5"/>
      <c r="E1" s="5"/>
      <c r="F1" s="5"/>
    </row>
    <row r="2">
      <c r="A2" s="5"/>
      <c r="B2" s="7" t="s">
        <v>13</v>
      </c>
      <c r="D2" s="1" t="s">
        <v>15</v>
      </c>
      <c r="E2" s="5"/>
      <c r="F2" s="1" t="s">
        <v>16</v>
      </c>
      <c r="G2" s="5"/>
      <c r="H2" s="7" t="s">
        <v>17</v>
      </c>
      <c r="I2" s="5"/>
      <c r="K2" s="8"/>
    </row>
    <row r="3">
      <c r="A3" s="11" t="s">
        <v>20</v>
      </c>
      <c r="B3" s="5">
        <v>0.621040280030557</v>
      </c>
      <c r="C3" s="5">
        <v>0.571358654012934</v>
      </c>
      <c r="D3" s="5">
        <v>0.57620875615112</v>
      </c>
      <c r="E3" s="5">
        <v>0.531274741257453</v>
      </c>
      <c r="F3" s="5">
        <v>0.506150051999198</v>
      </c>
      <c r="G3" s="5">
        <v>0.483697863941618</v>
      </c>
      <c r="H3" s="5">
        <v>0.286129356930116</v>
      </c>
      <c r="I3" s="5">
        <v>0.29837198245895</v>
      </c>
      <c r="K3" s="8"/>
    </row>
    <row r="4">
      <c r="A4" s="11" t="s">
        <v>22</v>
      </c>
      <c r="B4" s="5">
        <v>0.608500522443986</v>
      </c>
      <c r="C4" s="5">
        <v>0.565727300132339</v>
      </c>
      <c r="D4" s="5">
        <v>0.583927636565709</v>
      </c>
      <c r="E4" s="5">
        <v>0.523712547832867</v>
      </c>
      <c r="F4" s="5">
        <v>0.524902705155418</v>
      </c>
      <c r="G4" s="5">
        <v>0.490732657736496</v>
      </c>
      <c r="H4" s="5">
        <v>0.267289569310955</v>
      </c>
      <c r="I4" s="5">
        <v>0.297865824391553</v>
      </c>
      <c r="K4" s="8"/>
    </row>
    <row r="5">
      <c r="A5" s="13" t="s">
        <v>23</v>
      </c>
      <c r="B5" s="14">
        <f t="shared" ref="B5:I5" si="1">B3-B4</f>
        <v>0.01253975759</v>
      </c>
      <c r="C5" s="14">
        <f t="shared" si="1"/>
        <v>0.005631353881</v>
      </c>
      <c r="D5" s="14">
        <f t="shared" si="1"/>
        <v>-0.007718880415</v>
      </c>
      <c r="E5" s="14">
        <f t="shared" si="1"/>
        <v>0.007562193425</v>
      </c>
      <c r="F5" s="14">
        <f t="shared" si="1"/>
        <v>-0.01875265316</v>
      </c>
      <c r="G5" s="14">
        <f t="shared" si="1"/>
        <v>-0.007034793795</v>
      </c>
      <c r="H5" s="14">
        <f t="shared" si="1"/>
        <v>0.01883978762</v>
      </c>
      <c r="I5" s="14">
        <f t="shared" si="1"/>
        <v>0.0005061580674</v>
      </c>
      <c r="J5" s="14">
        <f>AVERAGE(B5:I5)</f>
        <v>0.001446615402</v>
      </c>
      <c r="K5" s="8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>
      <c r="A6" s="11" t="s">
        <v>24</v>
      </c>
      <c r="B6" s="5">
        <v>0.631787462260468</v>
      </c>
      <c r="C6" s="5">
        <v>0.618216042484733</v>
      </c>
      <c r="D6" s="5">
        <v>0.586439666342686</v>
      </c>
      <c r="E6" s="5">
        <v>0.569895182181278</v>
      </c>
      <c r="F6" s="5">
        <v>0.546258468663482</v>
      </c>
      <c r="G6" s="5">
        <v>0.512012998082786</v>
      </c>
      <c r="H6" s="5">
        <v>0.288938661231155</v>
      </c>
      <c r="I6" s="5">
        <v>0.329512617172151</v>
      </c>
      <c r="K6" s="8"/>
    </row>
    <row r="7">
      <c r="A7" s="11" t="s">
        <v>25</v>
      </c>
      <c r="B7" s="5">
        <v>0.640317661477475</v>
      </c>
      <c r="C7" s="5">
        <v>0.61354665612827</v>
      </c>
      <c r="D7" s="5">
        <v>0.613750839783722</v>
      </c>
      <c r="E7" s="5">
        <v>0.578681917130575</v>
      </c>
      <c r="F7" s="5">
        <v>0.545763744390765</v>
      </c>
      <c r="G7" s="5">
        <v>0.524262991587101</v>
      </c>
      <c r="H7" s="5">
        <v>0.284838731621514</v>
      </c>
      <c r="I7" s="5">
        <v>0.300772443809359</v>
      </c>
      <c r="K7" s="8"/>
    </row>
    <row r="8">
      <c r="A8" s="13" t="s">
        <v>27</v>
      </c>
      <c r="B8" s="14">
        <f t="shared" ref="B8:I8" si="2">B6-B7</f>
        <v>-0.008530199217</v>
      </c>
      <c r="C8" s="14">
        <f t="shared" si="2"/>
        <v>0.004669386356</v>
      </c>
      <c r="D8" s="14">
        <f t="shared" si="2"/>
        <v>-0.02731117344</v>
      </c>
      <c r="E8" s="14">
        <f t="shared" si="2"/>
        <v>-0.008786734949</v>
      </c>
      <c r="F8" s="14">
        <f t="shared" si="2"/>
        <v>0.0004947242727</v>
      </c>
      <c r="G8" s="14">
        <f t="shared" si="2"/>
        <v>-0.0122499935</v>
      </c>
      <c r="H8" s="14">
        <f t="shared" si="2"/>
        <v>0.00409992961</v>
      </c>
      <c r="I8" s="14">
        <f t="shared" si="2"/>
        <v>0.02874017336</v>
      </c>
      <c r="J8" s="14">
        <f>AVERAGE(B8:I8)</f>
        <v>-0.002359235939</v>
      </c>
      <c r="K8" s="8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>
      <c r="A9" s="11" t="s">
        <v>28</v>
      </c>
      <c r="B9" s="5">
        <v>0.632355163340107</v>
      </c>
      <c r="C9" s="5">
        <v>0.606225827187698</v>
      </c>
      <c r="D9" s="5">
        <v>0.535090217689681</v>
      </c>
      <c r="E9" s="5">
        <v>0.477750371254548</v>
      </c>
      <c r="F9" s="5">
        <v>0.457442229094388</v>
      </c>
      <c r="G9" s="5">
        <v>0.427462251024684</v>
      </c>
      <c r="H9" s="5">
        <v>0.245367655632764</v>
      </c>
      <c r="I9" s="5">
        <v>0.282654794342775</v>
      </c>
      <c r="K9" s="8"/>
    </row>
    <row r="10">
      <c r="A10" s="11" t="s">
        <v>29</v>
      </c>
      <c r="B10" s="5">
        <v>0.626620634285161</v>
      </c>
      <c r="C10" s="5">
        <v>0.604801060798369</v>
      </c>
      <c r="D10" s="5">
        <v>0.274748595417237</v>
      </c>
      <c r="E10" s="5">
        <v>0.380177808740426</v>
      </c>
      <c r="F10" s="5">
        <v>0.484593915089339</v>
      </c>
      <c r="G10" s="5">
        <v>0.437797137788191</v>
      </c>
      <c r="H10" s="5">
        <v>0.220620940157727</v>
      </c>
      <c r="I10" s="5">
        <v>0.271705614091627</v>
      </c>
      <c r="K10" s="8"/>
    </row>
    <row r="11">
      <c r="A11" s="13" t="s">
        <v>30</v>
      </c>
      <c r="B11" s="14">
        <f t="shared" ref="B11:I11" si="3">B9-B10</f>
        <v>0.005734529055</v>
      </c>
      <c r="C11" s="14">
        <f t="shared" si="3"/>
        <v>0.001424766389</v>
      </c>
      <c r="D11" s="14">
        <f t="shared" si="3"/>
        <v>0.2603416223</v>
      </c>
      <c r="E11" s="14">
        <f t="shared" si="3"/>
        <v>0.09757256251</v>
      </c>
      <c r="F11" s="14">
        <f t="shared" si="3"/>
        <v>-0.02715168599</v>
      </c>
      <c r="G11" s="14">
        <f t="shared" si="3"/>
        <v>-0.01033488676</v>
      </c>
      <c r="H11" s="14">
        <f t="shared" si="3"/>
        <v>0.02474671548</v>
      </c>
      <c r="I11" s="14">
        <f t="shared" si="3"/>
        <v>0.01094918025</v>
      </c>
      <c r="J11" s="14">
        <f>AVERAGE(B11:I11)</f>
        <v>0.0454103504</v>
      </c>
      <c r="K11" s="8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B12" s="5"/>
      <c r="C12" s="5"/>
      <c r="D12" s="5"/>
      <c r="E12" s="5"/>
      <c r="F12" s="5"/>
      <c r="G12" s="5"/>
      <c r="H12" s="5"/>
      <c r="J12" s="5">
        <f>AVERAGE(B11,C11,F11,G11,H11,I11)</f>
        <v>0.0008947697353</v>
      </c>
      <c r="K12" s="8"/>
    </row>
    <row r="13">
      <c r="J13" s="5">
        <f>AVERAGE(D11:E11)</f>
        <v>0.1789570924</v>
      </c>
      <c r="K13" s="8"/>
    </row>
    <row r="15">
      <c r="A15" s="7" t="s">
        <v>34</v>
      </c>
      <c r="B15" s="7" t="s">
        <v>13</v>
      </c>
      <c r="C15" s="7" t="s">
        <v>15</v>
      </c>
      <c r="D15" s="7" t="s">
        <v>16</v>
      </c>
      <c r="E15" s="7" t="s">
        <v>17</v>
      </c>
      <c r="H15" s="7" t="s">
        <v>35</v>
      </c>
      <c r="I15" s="7" t="s">
        <v>13</v>
      </c>
      <c r="J15" s="7" t="s">
        <v>15</v>
      </c>
      <c r="K15" s="7" t="s">
        <v>16</v>
      </c>
      <c r="L15" s="7" t="s">
        <v>17</v>
      </c>
    </row>
    <row r="16">
      <c r="A16" s="11" t="s">
        <v>20</v>
      </c>
      <c r="B16" s="5">
        <f>IFERROR(__xludf.DUMMYFUNCTION("FILTER(SemEval_2025_T2!$G$4:$G$100, 
  REGEXMATCH(SemEval_2025_T2!$A$4:$A$100, ""(?i)"" &amp; B$15 &amp; ""_only_title"")
)"),0.443146947744113)</f>
        <v>0.4431469477</v>
      </c>
      <c r="C16" s="5">
        <f>IFERROR(__xludf.DUMMYFUNCTION("FILTER(SemEval_2025_T2!$G$4:$G$100, 
  REGEXMATCH(SemEval_2025_T2!$A$4:$A$100, ""(?i)"" &amp; C$15 &amp; ""_only_title"")
)"),0.183951176893282)</f>
        <v>0.1839511769</v>
      </c>
      <c r="D16" s="5">
        <f>IFERROR(__xludf.DUMMYFUNCTION("FILTER(SemEval_2025_T2!$G$4:$G$100, 
  REGEXMATCH(SemEval_2025_T2!$A$4:$A$100, ""(?i)"" &amp; D$15 &amp; ""_only_title"")
)"),0.322483844225949)</f>
        <v>0.3224838442</v>
      </c>
      <c r="E16" s="11" t="str">
        <f>IFERROR(__xludf.DUMMYFUNCTION("FILTER(SemEval_2025_T2!$G$4:$G$100, 
  REGEXMATCH(SemEval_2025_T2!$A$4:$A$100, ""(?i)"" &amp; E$15 &amp; ""_only_title"")
)"),"#N/A")</f>
        <v>#N/A</v>
      </c>
      <c r="H16" s="11" t="s">
        <v>20</v>
      </c>
      <c r="I16" s="5">
        <f>IFERROR(__xludf.DUMMYFUNCTION("FILTER(SemEval_2025_T2!$G$4:$G$100, 
  REGEXMATCH(SemEval_2025_T2!$A$4:$A$100, ""(?i)"" &amp; I$15 &amp; ""_only_title"")
)"),0.443146947744113)</f>
        <v>0.4431469477</v>
      </c>
      <c r="J16" s="5">
        <f>IFERROR(__xludf.DUMMYFUNCTION("FILTER(SemEval_2025_T2!$H$4:$H$100, 
  REGEXMATCH(SemEval_2025_T2!$A$4:$A$100, ""(?i)"" &amp; J$15 &amp; ""_only_title"")
)"),0.076478375942546)</f>
        <v>0.07647837594</v>
      </c>
      <c r="K16" s="5">
        <f>IFERROR(__xludf.DUMMYFUNCTION("FILTER(SemEval_2025_T2!$H$4:$H$100, 
  REGEXMATCH(SemEval_2025_T2!$A$4:$A$100, ""(?i)"" &amp; K$15 &amp; ""_only_title"")
)"),0.137031714619164)</f>
        <v>0.1370317146</v>
      </c>
      <c r="L16" s="11" t="str">
        <f>IFERROR(__xludf.DUMMYFUNCTION("FILTER(SemEval_2025_T2!$H$4:$H$100, 
  REGEXMATCH(SemEval_2025_T2!$A$4:$A$100, ""(?i)"" &amp; L$15 &amp; ""_only_title"")
)"),"#N/A")</f>
        <v>#N/A</v>
      </c>
    </row>
    <row r="17">
      <c r="A17" s="7" t="s">
        <v>38</v>
      </c>
      <c r="B17" s="11" t="str">
        <f>IFERROR(__xludf.DUMMYFUNCTION("FILTER(SemEval_2025_T2!$G$4:$G$100, 
  REGEXMATCH(SemEval_2025_T2!$A$4:$A$100, ""(?i)"" &amp; B$15 &amp; ""_gpt_only_title"")
)"),"#N/A")</f>
        <v>#N/A</v>
      </c>
      <c r="C17" s="11" t="str">
        <f>IFERROR(__xludf.DUMMYFUNCTION("FILTER(SemEval_2025_T2!$G$4:$G$100, 
  REGEXMATCH(SemEval_2025_T2!$A$4:$A$100, ""(?i)"" &amp; C$15 &amp; ""_gpt_only_title"")
)"),"#N/A")</f>
        <v>#N/A</v>
      </c>
      <c r="D17" s="11" t="str">
        <f>IFERROR(__xludf.DUMMYFUNCTION("FILTER(SemEval_2025_T2!$G$4:$G$100, 
  REGEXMATCH(SemEval_2025_T2!$A$4:$A$100, ""(?i)"" &amp; D$15 &amp; ""_gpt_only_title"")
)"),"#N/A")</f>
        <v>#N/A</v>
      </c>
      <c r="E17" s="11" t="str">
        <f>IFERROR(__xludf.DUMMYFUNCTION("FILTER(SemEval_2025_T2!$G$4:$G$100, 
  REGEXMATCH(SemEval_2025_T2!$A$4:$A$100, ""(?i)"" &amp; E$15 &amp; ""_gpt_only_title"")
)"),"#N/A")</f>
        <v>#N/A</v>
      </c>
      <c r="H17" s="11" t="s">
        <v>39</v>
      </c>
      <c r="I17" s="11" t="str">
        <f>IFERROR(__xludf.DUMMYFUNCTION("FILTER(SemEval_2025_T2!$H$4:$H$100, 
  REGEXMATCH(SemEval_2025_T2!$A$4:$A$100, ""(?i)"" &amp; I$15 &amp; ""_gpt_only_title"")
)"),"#N/A")</f>
        <v>#N/A</v>
      </c>
      <c r="J17" s="11" t="str">
        <f>IFERROR(__xludf.DUMMYFUNCTION("FILTER(SemEval_2025_T2!$H$4:$H$100, 
  REGEXMATCH(SemEval_2025_T2!$A$4:$A$100, ""(?i)"" &amp; J$15 &amp; ""_gpt_only_title"")
)"),"#N/A")</f>
        <v>#N/A</v>
      </c>
      <c r="K17" s="11" t="str">
        <f>IFERROR(__xludf.DUMMYFUNCTION("FILTER(SemEval_2025_T2!$H$4:$H$100, 
  REGEXMATCH(SemEval_2025_T2!$A$4:$A$100, ""(?i)"" &amp; K$15 &amp; ""_gpt_only_title"")
)"),"#N/A")</f>
        <v>#N/A</v>
      </c>
      <c r="L17" s="11" t="str">
        <f>IFERROR(__xludf.DUMMYFUNCTION("FILTER(SemEval_2025_T2!$H$4:$H$100, 
  REGEXMATCH(SemEval_2025_T2!$A$4:$A$100, ""(?i)"" &amp; L$15 &amp; ""_gpt_only_title"")
)"),"#N/A")</f>
        <v>#N/A</v>
      </c>
    </row>
    <row r="18">
      <c r="A18" s="13" t="s">
        <v>23</v>
      </c>
      <c r="B18" s="15" t="str">
        <f t="shared" ref="B18:E18" si="4">B16-B17</f>
        <v>#N/A</v>
      </c>
      <c r="C18" s="15" t="str">
        <f t="shared" si="4"/>
        <v>#N/A</v>
      </c>
      <c r="D18" s="15" t="str">
        <f t="shared" si="4"/>
        <v>#N/A</v>
      </c>
      <c r="E18" s="15" t="str">
        <f t="shared" si="4"/>
        <v>#N/A</v>
      </c>
      <c r="F18" s="15" t="str">
        <f>AVERAGE(B18:E18)</f>
        <v>#N/A</v>
      </c>
      <c r="G18" s="15"/>
      <c r="H18" s="13" t="s">
        <v>23</v>
      </c>
      <c r="I18" s="15" t="str">
        <f t="shared" ref="I18:L18" si="5">I16-I17</f>
        <v>#N/A</v>
      </c>
      <c r="J18" s="15" t="str">
        <f t="shared" si="5"/>
        <v>#N/A</v>
      </c>
      <c r="K18" s="15" t="str">
        <f t="shared" si="5"/>
        <v>#N/A</v>
      </c>
      <c r="L18" s="15" t="str">
        <f t="shared" si="5"/>
        <v>#N/A</v>
      </c>
      <c r="M18" s="15" t="str">
        <f>AVERAGE(I18:L18)</f>
        <v>#N/A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7" t="s">
        <v>24</v>
      </c>
      <c r="B19" s="5">
        <f>IFERROR(__xludf.DUMMYFUNCTION("FILTER(SemEval_2025_T2!$G$4:$G$100, 
  REGEXMATCH(SemEval_2025_T2!$A$4:$A$100, ""(?i)"" &amp; B$15 &amp; ""_title_description""), NOT(REGEXMATCH(SemEval_2025_T2!$A$4:$A$100, ""(?i)complete""))
)"),0.475694995063416)</f>
        <v>0.4756949951</v>
      </c>
      <c r="C19" s="5">
        <f>IFERROR(__xludf.DUMMYFUNCTION("FILTER(SemEval_2025_T2!$G$4:$G$100, 
  REGEXMATCH(SemEval_2025_T2!$A$4:$A$100, ""(?i)"" &amp; C$15 &amp; ""_title_description""), NOT(REGEXMATCH(SemEval_2025_T2!$A$4:$A$100, ""(?i)complete""))
)"),0.263223865900181)</f>
        <v>0.2632238659</v>
      </c>
      <c r="D19" s="5">
        <f>IFERROR(__xludf.DUMMYFUNCTION("FILTER(SemEval_2025_T2!$G$4:$G$100, 
  REGEXMATCH(SemEval_2025_T2!$A$4:$A$100, ""(?i)"" &amp; D$15 &amp; ""_title_description""), NOT(REGEXMATCH(SemEval_2025_T2!$A$4:$A$100, ""(?i)complete""))
)"),0.301315471370734)</f>
        <v>0.3013154714</v>
      </c>
      <c r="E19" s="11" t="str">
        <f>IFERROR(__xludf.DUMMYFUNCTION("FILTER(SemEval_2025_T2!$G$4:$G$100, 
  REGEXMATCH(SemEval_2025_T2!$A$4:$A$100, ""(?i)"" &amp; E$15 &amp; ""_title_description""), NOT(REGEXMATCH(SemEval_2025_T2!$A$4:$A$100, ""(?i)complete""))
)"),"#N/A")</f>
        <v>#N/A</v>
      </c>
      <c r="H19" s="7" t="s">
        <v>24</v>
      </c>
      <c r="I19" s="5">
        <f>IFERROR(__xludf.DUMMYFUNCTION("FILTER(SemEval_2025_T2!$H$4:$H$100, 
  REGEXMATCH(SemEval_2025_T2!$A$4:$A$100, ""(?i)"" &amp; I$15 &amp; ""_title_description""), NOT(REGEXMATCH(SemEval_2025_T2!$A$4:$A$100, ""(?i)complete""))
)"),0.255848749114133)</f>
        <v>0.2558487491</v>
      </c>
      <c r="J19" s="5">
        <f>IFERROR(__xludf.DUMMYFUNCTION("FILTER(SemEval_2025_T2!$H$4:$H$100, 
  REGEXMATCH(SemEval_2025_T2!$A$4:$A$100, ""(?i)"" &amp; J$15 &amp; ""_title_description""), NOT(REGEXMATCH(SemEval_2025_T2!$A$4:$A$100, ""(?i)complete""))
)"),0.12963188756561)</f>
        <v>0.1296318876</v>
      </c>
      <c r="K19" s="5">
        <f>IFERROR(__xludf.DUMMYFUNCTION("FILTER(SemEval_2025_T2!$H$4:$H$100, 
  REGEXMATCH(SemEval_2025_T2!$A$4:$A$100, ""(?i)"" &amp; K$15 &amp; ""_title_description""), NOT(REGEXMATCH(SemEval_2025_T2!$A$4:$A$100, ""(?i)complete""))
)"),0.111016939313498)</f>
        <v>0.1110169393</v>
      </c>
      <c r="L19" s="11" t="str">
        <f>IFERROR(__xludf.DUMMYFUNCTION("FILTER(SemEval_2025_T2!$H$4:$H$100, 
  REGEXMATCH(SemEval_2025_T2!$A$4:$A$100, ""(?i)"" &amp; L$15 &amp; ""_title_description""), NOT(REGEXMATCH(SemEval_2025_T2!$A$4:$A$100, ""(?i)complete""))
)"),"#N/A")</f>
        <v>#N/A</v>
      </c>
    </row>
    <row r="20">
      <c r="A20" s="11" t="s">
        <v>43</v>
      </c>
      <c r="B20" s="11" t="str">
        <f>IFERROR(__xludf.DUMMYFUNCTION("FILTER(SemEval_2025_T2!$G$4:$G$100, 
  REGEXMATCH(SemEval_2025_T2!$A$4:$A$100, ""(?i)"" &amp; B$15 &amp; ""_gpt_title_description""), NOT(REGEXMATCH(SemEval_2025_T2!$A$4:$A$100, ""(?i)complete""))
)"),"#N/A")</f>
        <v>#N/A</v>
      </c>
      <c r="C20" s="11" t="str">
        <f>IFERROR(__xludf.DUMMYFUNCTION("FILTER(SemEval_2025_T2!$G$4:$G$100, 
  REGEXMATCH(SemEval_2025_T2!$A$4:$A$100, ""(?i)"" &amp; C$15 &amp; ""_gpt_title_description""), NOT(REGEXMATCH(SemEval_2025_T2!$A$4:$A$100, ""(?i)complete""))
)"),"#N/A")</f>
        <v>#N/A</v>
      </c>
      <c r="D20" s="11" t="str">
        <f>IFERROR(__xludf.DUMMYFUNCTION("FILTER(SemEval_2025_T2!$G$4:$G$100, 
  REGEXMATCH(SemEval_2025_T2!$A$4:$A$100, ""(?i)"" &amp; D$15 &amp; ""_gpt_title_description""), NOT(REGEXMATCH(SemEval_2025_T2!$A$4:$A$100, ""(?i)complete""))
)"),"#N/A")</f>
        <v>#N/A</v>
      </c>
      <c r="E20" s="11" t="str">
        <f>IFERROR(__xludf.DUMMYFUNCTION("FILTER(SemEval_2025_T2!$G$4:$G$100, 
  REGEXMATCH(SemEval_2025_T2!$A$4:$A$100, ""(?i)"" &amp; E$15 &amp; ""_gpt_title_description""), NOT(REGEXMATCH(SemEval_2025_T2!$A$4:$A$100, ""(?i)complete""))
)"),"#N/A")</f>
        <v>#N/A</v>
      </c>
      <c r="H20" s="11" t="s">
        <v>43</v>
      </c>
      <c r="I20" s="11" t="str">
        <f>IFERROR(__xludf.DUMMYFUNCTION("FILTER(SemEval_2025_T2!$H$4:$H$100, 
  REGEXMATCH(SemEval_2025_T2!$A$4:$A$100, ""(?i)"" &amp; I$15 &amp; ""_gpt_title_description""), NOT(REGEXMATCH(SemEval_2025_T2!$A$4:$A$100, ""(?i)complete""))
)"),"#N/A")</f>
        <v>#N/A</v>
      </c>
      <c r="J20" s="11" t="str">
        <f>IFERROR(__xludf.DUMMYFUNCTION("FILTER(SemEval_2025_T2!$H$4:$H$100, 
  REGEXMATCH(SemEval_2025_T2!$A$4:$A$100, ""(?i)"" &amp; J$15 &amp; ""_gpt_title_description""), NOT(REGEXMATCH(SemEval_2025_T2!$A$4:$A$100, ""(?i)complete""))
)"),"#N/A")</f>
        <v>#N/A</v>
      </c>
      <c r="K20" s="11" t="str">
        <f>IFERROR(__xludf.DUMMYFUNCTION("FILTER(SemEval_2025_T2!$H$4:$H$100, 
  REGEXMATCH(SemEval_2025_T2!$A$4:$A$100, ""(?i)"" &amp; K$15 &amp; ""_gpt_title_description""), NOT(REGEXMATCH(SemEval_2025_T2!$A$4:$A$100, ""(?i)complete""))
)"),"#N/A")</f>
        <v>#N/A</v>
      </c>
      <c r="L20" s="11" t="str">
        <f>IFERROR(__xludf.DUMMYFUNCTION("FILTER(SemEval_2025_T2!$H$4:$H$100, 
  REGEXMATCH(SemEval_2025_T2!$A$4:$A$100, ""(?i)"" &amp; L$15 &amp; ""_gpt_title_description""), NOT(REGEXMATCH(SemEval_2025_T2!$A$4:$A$100, ""(?i)complete""))
)"),"#N/A")</f>
        <v>#N/A</v>
      </c>
    </row>
    <row r="21">
      <c r="A21" s="13" t="s">
        <v>45</v>
      </c>
      <c r="B21" s="15" t="str">
        <f t="shared" ref="B21:E21" si="6">B19-B20</f>
        <v>#N/A</v>
      </c>
      <c r="C21" s="15" t="str">
        <f t="shared" si="6"/>
        <v>#N/A</v>
      </c>
      <c r="D21" s="15" t="str">
        <f t="shared" si="6"/>
        <v>#N/A</v>
      </c>
      <c r="E21" s="15" t="str">
        <f t="shared" si="6"/>
        <v>#N/A</v>
      </c>
      <c r="F21" s="15" t="str">
        <f>AVERAGE(B21:E21)</f>
        <v>#N/A</v>
      </c>
      <c r="G21" s="15"/>
      <c r="H21" s="13" t="s">
        <v>45</v>
      </c>
      <c r="I21" s="15" t="str">
        <f t="shared" ref="I21:L21" si="7">I19-I20</f>
        <v>#N/A</v>
      </c>
      <c r="J21" s="15" t="str">
        <f t="shared" si="7"/>
        <v>#N/A</v>
      </c>
      <c r="K21" s="15" t="str">
        <f t="shared" si="7"/>
        <v>#N/A</v>
      </c>
      <c r="L21" s="15" t="str">
        <f t="shared" si="7"/>
        <v>#N/A</v>
      </c>
      <c r="M21" s="15" t="str">
        <f>AVERAGE(I21:L21)</f>
        <v>#N/A</v>
      </c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>
      <c r="A22" s="7" t="s">
        <v>28</v>
      </c>
      <c r="B22" s="5">
        <f>IFERROR(__xludf.DUMMYFUNCTION("FILTER(SemEval_2025_T2!$G$4:$G$100, 
  REGEXMATCH(SemEval_2025_T2!$A$4:$A$100, ""(?i)"" &amp; B$15 &amp; ""_title_description_complete"")
)"),0.430385701433069)</f>
        <v>0.4303857014</v>
      </c>
      <c r="C22" s="5">
        <f>IFERROR(__xludf.DUMMYFUNCTION("FILTER(SemEval_2025_T2!$G$4:$G$100, 
  REGEXMATCH(SemEval_2025_T2!$A$4:$A$100, ""(?i)"" &amp; C$15 &amp; ""_title_description_complete"")
)"),0.031951417004048)</f>
        <v>0.031951417</v>
      </c>
      <c r="D22" s="5">
        <f>IFERROR(__xludf.DUMMYFUNCTION("FILTER(SemEval_2025_T2!$G$4:$G$100, 
  REGEXMATCH(SemEval_2025_T2!$A$4:$A$100, ""(?i)"" &amp; D$15 &amp; ""_title_description_complete"")
)"),0.288692243429085)</f>
        <v>0.2886922434</v>
      </c>
      <c r="E22" s="11" t="str">
        <f>IFERROR(__xludf.DUMMYFUNCTION("FILTER(SemEval_2025_T2!$G$4:$G$100, 
  REGEXMATCH(SemEval_2025_T2!$A$4:$A$100, ""(?i)"" &amp; E$15 &amp; ""_title_description_complete"")
)"),"#N/A")</f>
        <v>#N/A</v>
      </c>
      <c r="H22" s="7" t="s">
        <v>28</v>
      </c>
      <c r="I22" s="5">
        <f>IFERROR(__xludf.DUMMYFUNCTION("FILTER(SemEval_2025_T2!$H$4:$H$100, 
  REGEXMATCH(SemEval_2025_T2!$A$4:$A$100, ""(?i)"" &amp; I$15 &amp; ""_title_description_complete"")
)"),0.246254129631052)</f>
        <v>0.2462541296</v>
      </c>
      <c r="J22" s="5">
        <f>IFERROR(__xludf.DUMMYFUNCTION("FILTER(SemEval_2025_T2!$H$4:$H$100, 
  REGEXMATCH(SemEval_2025_T2!$A$4:$A$100, ""(?i)"" &amp; J$15 &amp; ""_title_description_complete"")
)"),0.016105263157894)</f>
        <v>0.01610526316</v>
      </c>
      <c r="K22" s="5">
        <f>IFERROR(__xludf.DUMMYFUNCTION("FILTER(SemEval_2025_T2!$H$4:$H$100, 
  REGEXMATCH(SemEval_2025_T2!$A$4:$A$100, ""(?i)"" &amp; K$15 &amp; ""_title_description_complete"")
)"),0.125237610500161)</f>
        <v>0.1252376105</v>
      </c>
      <c r="L22" s="11" t="str">
        <f>IFERROR(__xludf.DUMMYFUNCTION("FILTER(SemEval_2025_T2!$H$4:$H$100, 
  REGEXMATCH(SemEval_2025_T2!$A$4:$A$100, ""(?i)"" &amp; L$15 &amp; ""_title_description_complete"")
)"),"#N/A")</f>
        <v>#N/A</v>
      </c>
    </row>
    <row r="23">
      <c r="A23" s="11" t="s">
        <v>48</v>
      </c>
      <c r="B23" s="11" t="str">
        <f>IFERROR(__xludf.DUMMYFUNCTION("FILTER(SemEval_2025_T2!$G$4:$G$100, 
  REGEXMATCH(SemEval_2025_T2!$A$4:$A$100, ""(?i)"" &amp; B$15 &amp; ""_gpt_title_description_complete"")
)"),"#N/A")</f>
        <v>#N/A</v>
      </c>
      <c r="C23" s="11" t="str">
        <f>IFERROR(__xludf.DUMMYFUNCTION("FILTER(SemEval_2025_T2!$G$4:$G$100, 
  REGEXMATCH(SemEval_2025_T2!$A$4:$A$100, ""(?i)"" &amp; C$15 &amp; ""_gpt_title_description_complete"")
)"),"#N/A")</f>
        <v>#N/A</v>
      </c>
      <c r="D23" s="11" t="str">
        <f>IFERROR(__xludf.DUMMYFUNCTION("FILTER(SemEval_2025_T2!$G$4:$G$100, 
  REGEXMATCH(SemEval_2025_T2!$A$4:$A$100, ""(?i)"" &amp; D$15 &amp; ""_gpt_title_description_complete"")
)"),"#N/A")</f>
        <v>#N/A</v>
      </c>
      <c r="E23" s="11" t="str">
        <f>IFERROR(__xludf.DUMMYFUNCTION("FILTER(SemEval_2025_T2!$G$4:$G$100, 
  REGEXMATCH(SemEval_2025_T2!$A$4:$A$100, ""(?i)"" &amp; E$15 &amp; ""_gpt_title_description_complete"")
)"),"#N/A")</f>
        <v>#N/A</v>
      </c>
      <c r="H23" s="11" t="s">
        <v>48</v>
      </c>
      <c r="I23" s="11" t="str">
        <f>IFERROR(__xludf.DUMMYFUNCTION("FILTER(SemEval_2025_T2!$H$4:$H$100, 
  REGEXMATCH(SemEval_2025_T2!$A$4:$A$100, ""(?i)"" &amp; I$15 &amp; ""_gpt_title_description_complete"")
)"),"#N/A")</f>
        <v>#N/A</v>
      </c>
      <c r="J23" s="11" t="str">
        <f>IFERROR(__xludf.DUMMYFUNCTION("FILTER(SemEval_2025_T2!$H$4:$H$100, 
  REGEXMATCH(SemEval_2025_T2!$A$4:$A$100, ""(?i)"" &amp; J$15 &amp; ""_gpt_title_description_complete"")
)"),"#N/A")</f>
        <v>#N/A</v>
      </c>
      <c r="K23" s="11" t="str">
        <f>IFERROR(__xludf.DUMMYFUNCTION("FILTER(SemEval_2025_T2!$H$4:$H$100, 
  REGEXMATCH(SemEval_2025_T2!$A$4:$A$100, ""(?i)"" &amp; K$15 &amp; ""_gpt_title_description_complete"")
)"),"#N/A")</f>
        <v>#N/A</v>
      </c>
      <c r="L23" s="11" t="str">
        <f>IFERROR(__xludf.DUMMYFUNCTION("FILTER(SemEval_2025_T2!$H$4:$H$100, 
  REGEXMATCH(SemEval_2025_T2!$A$4:$A$100, ""(?i)"" &amp; L$15 &amp; ""_gpt_title_description_complete"")
)"),"#N/A")</f>
        <v>#N/A</v>
      </c>
    </row>
    <row r="24">
      <c r="A24" s="13" t="s">
        <v>49</v>
      </c>
      <c r="B24" s="15" t="str">
        <f t="shared" ref="B24:E24" si="8">B22-B23</f>
        <v>#N/A</v>
      </c>
      <c r="C24" s="15" t="str">
        <f t="shared" si="8"/>
        <v>#N/A</v>
      </c>
      <c r="D24" s="15" t="str">
        <f t="shared" si="8"/>
        <v>#N/A</v>
      </c>
      <c r="E24" s="15" t="str">
        <f t="shared" si="8"/>
        <v>#N/A</v>
      </c>
      <c r="F24" s="15" t="str">
        <f>AVERAGE(B24:E24)</f>
        <v>#N/A</v>
      </c>
      <c r="G24" s="15"/>
      <c r="H24" s="13" t="s">
        <v>49</v>
      </c>
      <c r="I24" s="15" t="str">
        <f t="shared" ref="I24:L24" si="9">I22-I23</f>
        <v>#N/A</v>
      </c>
      <c r="J24" s="15" t="str">
        <f t="shared" si="9"/>
        <v>#N/A</v>
      </c>
      <c r="K24" s="15" t="str">
        <f t="shared" si="9"/>
        <v>#N/A</v>
      </c>
      <c r="L24" s="15" t="str">
        <f t="shared" si="9"/>
        <v>#N/A</v>
      </c>
      <c r="M24" s="15" t="str">
        <f>AVERAGE(I24:L24)</f>
        <v>#N/A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6">
      <c r="A26" s="7" t="s">
        <v>51</v>
      </c>
      <c r="B26" s="7" t="s">
        <v>13</v>
      </c>
      <c r="C26" s="7" t="s">
        <v>15</v>
      </c>
      <c r="D26" s="7" t="s">
        <v>16</v>
      </c>
      <c r="E26" s="7" t="s">
        <v>17</v>
      </c>
      <c r="H26" s="7" t="s">
        <v>52</v>
      </c>
      <c r="I26" s="7" t="s">
        <v>13</v>
      </c>
      <c r="J26" s="7" t="s">
        <v>15</v>
      </c>
      <c r="K26" s="7" t="s">
        <v>16</v>
      </c>
      <c r="L26" s="7" t="s">
        <v>17</v>
      </c>
    </row>
    <row r="27">
      <c r="A27" s="11" t="s">
        <v>20</v>
      </c>
      <c r="B27" s="5">
        <f>IFERROR(__xludf.DUMMYFUNCTION("FILTER(SemEval_2025_T2!$G$4:$G$100, 
  REGEXMATCH(SemEval_2025_T2!$A$4:$A$100, ""(?i)"" &amp; B$15 &amp; ""_only_title"")
)"),0.443146947744113)</f>
        <v>0.4431469477</v>
      </c>
      <c r="C27" s="5">
        <f>IFERROR(__xludf.DUMMYFUNCTION("FILTER(SemEval_2025_T2!$E$4:$E$100, 
  REGEXMATCH(SemEval_2025_T2!$A$4:$A$100, ""(?i)"" &amp; C$15 &amp; ""_only_title"")
)"),0.256158582353319)</f>
        <v>0.2561585824</v>
      </c>
      <c r="D27" s="5">
        <f>IFERROR(__xludf.DUMMYFUNCTION("FILTER(SemEval_2025_T2!$E$4:$E$100, 
  REGEXMATCH(SemEval_2025_T2!$A$4:$A$100, ""(?i)"" &amp; D$15 &amp; ""_only_title"")
)"),0.319426180836707)</f>
        <v>0.3194261808</v>
      </c>
      <c r="E27" s="11" t="str">
        <f>IFERROR(__xludf.DUMMYFUNCTION("FILTER(SemEval_2025_T2!$E$4:$E$100, 
  REGEXMATCH(SemEval_2025_T2!$A$4:$A$100, ""(?i)"" &amp; E$15 &amp; ""_only_title"")
)"),"#N/A")</f>
        <v>#N/A</v>
      </c>
      <c r="H27" s="11" t="s">
        <v>20</v>
      </c>
      <c r="I27" s="5">
        <f>IFERROR(__xludf.DUMMYFUNCTION("FILTER(SemEval_2025_T2!$F$4:$F$100, 
  REGEXMATCH(SemEval_2025_T2!$A$4:$A$100, ""(?i)"" &amp; I$15 &amp; ""_only_title"")
)"),0.293747720745291)</f>
        <v>0.2937477207</v>
      </c>
      <c r="J27" s="5">
        <f>IFERROR(__xludf.DUMMYFUNCTION("FILTER(SemEval_2025_T2!$F$4:$F$100, 
  REGEXMATCH(SemEval_2025_T2!$A$4:$A$100, ""(?i)"" &amp; J$15 &amp; ""_only_title"")
)"),0.104719207692891)</f>
        <v>0.1047192077</v>
      </c>
      <c r="K27" s="5">
        <f>IFERROR(__xludf.DUMMYFUNCTION("FILTER(SemEval_2025_T2!$F$4:$F$100, 
  REGEXMATCH(SemEval_2025_T2!$A$4:$A$100, ""(?i)"" &amp; K$15 &amp; ""_only_title"")
)"),0.06204916136495)</f>
        <v>0.06204916136</v>
      </c>
      <c r="L27" s="11" t="str">
        <f>IFERROR(__xludf.DUMMYFUNCTION("FILTER(SemEval_2025_T2!$F$4:$F$100, 
  REGEXMATCH(SemEval_2025_T2!$A$4:$A$100, ""(?i)"" &amp; L$15 &amp; ""_only_title"")
)"),"#N/A")</f>
        <v>#N/A</v>
      </c>
    </row>
    <row r="28">
      <c r="A28" s="11" t="s">
        <v>39</v>
      </c>
      <c r="B28" s="11" t="str">
        <f>IFERROR(__xludf.DUMMYFUNCTION("FILTER(SemEval_2025_T2!$E$4:$E$100, 
  REGEXMATCH(SemEval_2025_T2!$A$4:$A$100, ""(?i)"" &amp; B$15 &amp; ""_gpt_only_title"")
)"),"#N/A")</f>
        <v>#N/A</v>
      </c>
      <c r="C28" s="11" t="str">
        <f>IFERROR(__xludf.DUMMYFUNCTION("FILTER(SemEval_2025_T2!$E$4:$E$100, 
  REGEXMATCH(SemEval_2025_T2!$A$4:$A$100, ""(?i)"" &amp; C$15 &amp; ""_gpt_only_title"")
)"),"#N/A")</f>
        <v>#N/A</v>
      </c>
      <c r="D28" s="11" t="str">
        <f>IFERROR(__xludf.DUMMYFUNCTION("FILTER(SemEval_2025_T2!$E$4:$E$100, 
  REGEXMATCH(SemEval_2025_T2!$A$4:$A$100, ""(?i)"" &amp; D$15 &amp; ""_gpt_only_title"")
)"),"#N/A")</f>
        <v>#N/A</v>
      </c>
      <c r="E28" s="11" t="str">
        <f>IFERROR(__xludf.DUMMYFUNCTION("FILTER(SemEval_2025_T2!$E$4:$E$100, 
  REGEXMATCH(SemEval_2025_T2!$A$4:$A$100, ""(?i)"" &amp; E$15 &amp; ""_gpt_only_title"")
)"),"#N/A")</f>
        <v>#N/A</v>
      </c>
      <c r="H28" s="11" t="s">
        <v>39</v>
      </c>
      <c r="I28" s="11" t="str">
        <f>IFERROR(__xludf.DUMMYFUNCTION("FILTER(SemEval_2025_T2!$F$4:$F$100, 
  REGEXMATCH(SemEval_2025_T2!$A$4:$A$100, ""(?i)"" &amp; I$15 &amp; ""_gpt_only_title"")
)"),"#N/A")</f>
        <v>#N/A</v>
      </c>
      <c r="J28" s="11" t="str">
        <f>IFERROR(__xludf.DUMMYFUNCTION("FILTER(SemEval_2025_T2!$F$4:$F$100, 
  REGEXMATCH(SemEval_2025_T2!$A$4:$A$100, ""(?i)"" &amp; J$15 &amp; ""_gpt_only_title"")
)"),"#N/A")</f>
        <v>#N/A</v>
      </c>
      <c r="K28" s="11" t="str">
        <f>IFERROR(__xludf.DUMMYFUNCTION("FILTER(SemEval_2025_T2!$F$4:$F$100, 
  REGEXMATCH(SemEval_2025_T2!$A$4:$A$100, ""(?i)"" &amp; K$15 &amp; ""_gpt_only_title"")
)"),"#N/A")</f>
        <v>#N/A</v>
      </c>
      <c r="L28" s="11" t="str">
        <f>IFERROR(__xludf.DUMMYFUNCTION("FILTER(SemEval_2025_T2!$F$4:$F$100, 
  REGEXMATCH(SemEval_2025_T2!$A$4:$A$100, ""(?i)"" &amp; L$15 &amp; ""_gpt_only_title"")
)"),"#N/A")</f>
        <v>#N/A</v>
      </c>
    </row>
    <row r="29">
      <c r="A29" s="13" t="s">
        <v>23</v>
      </c>
      <c r="B29" s="15" t="str">
        <f t="shared" ref="B29:E29" si="10">B27-B28</f>
        <v>#N/A</v>
      </c>
      <c r="C29" s="15" t="str">
        <f t="shared" si="10"/>
        <v>#N/A</v>
      </c>
      <c r="D29" s="15" t="str">
        <f t="shared" si="10"/>
        <v>#N/A</v>
      </c>
      <c r="E29" s="15" t="str">
        <f t="shared" si="10"/>
        <v>#N/A</v>
      </c>
      <c r="F29" s="15" t="str">
        <f>AVERAGE(B29:E29)</f>
        <v>#N/A</v>
      </c>
      <c r="G29" s="15"/>
      <c r="H29" s="13" t="s">
        <v>23</v>
      </c>
      <c r="I29" s="15" t="str">
        <f t="shared" ref="I29:L29" si="11">I27-I28</f>
        <v>#N/A</v>
      </c>
      <c r="J29" s="15" t="str">
        <f t="shared" si="11"/>
        <v>#N/A</v>
      </c>
      <c r="K29" s="15" t="str">
        <f t="shared" si="11"/>
        <v>#N/A</v>
      </c>
      <c r="L29" s="15" t="str">
        <f t="shared" si="11"/>
        <v>#N/A</v>
      </c>
      <c r="M29" s="15" t="str">
        <f>AVERAGE(I29:L29)</f>
        <v>#N/A</v>
      </c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>
      <c r="A30" s="7" t="s">
        <v>24</v>
      </c>
      <c r="B30" s="5">
        <f>IFERROR(__xludf.DUMMYFUNCTION("FILTER(SemEval_2025_T2!$E$4:$E$100, 
  REGEXMATCH(SemEval_2025_T2!$A$4:$A$100, ""(?i)"" &amp; B$15 &amp; ""_title_description""), NOT(REGEXMATCH(SemEval_2025_T2!$A$4:$A$100, ""(?i)complete""))
)"),0.523713880855986)</f>
        <v>0.5237138809</v>
      </c>
      <c r="C30" s="5">
        <f>IFERROR(__xludf.DUMMYFUNCTION("FILTER(SemEval_2025_T2!$E$4:$E$100, 
  REGEXMATCH(SemEval_2025_T2!$A$4:$A$100, ""(?i)"" &amp; C$15 &amp; ""_title_description""), NOT(REGEXMATCH(SemEval_2025_T2!$A$4:$A$100, ""(?i)complete""))
)"),0.255036344065291)</f>
        <v>0.2550363441</v>
      </c>
      <c r="D30" s="5">
        <f>IFERROR(__xludf.DUMMYFUNCTION("FILTER(SemEval_2025_T2!$E$4:$E$100, 
  REGEXMATCH(SemEval_2025_T2!$A$4:$A$100, ""(?i)"" &amp; D$15 &amp; ""_title_description""), NOT(REGEXMATCH(SemEval_2025_T2!$A$4:$A$100, ""(?i)complete""))
)"),0.303224179037336)</f>
        <v>0.303224179</v>
      </c>
      <c r="E30" s="11" t="str">
        <f>IFERROR(__xludf.DUMMYFUNCTION("FILTER(SemEval_2025_T2!$E$4:$E$100, 
  REGEXMATCH(SemEval_2025_T2!$A$4:$A$100, ""(?i)"" &amp; E$15 &amp; ""_title_description""), NOT(REGEXMATCH(SemEval_2025_T2!$A$4:$A$100, ""(?i)complete""))
)"),"#N/A")</f>
        <v>#N/A</v>
      </c>
      <c r="H30" s="7" t="s">
        <v>24</v>
      </c>
      <c r="I30" s="5">
        <f>IFERROR(__xludf.DUMMYFUNCTION("FILTER(SemEval_2025_T2!$F$4:$F$100, 
  REGEXMATCH(SemEval_2025_T2!$A$4:$A$100, ""(?i)"" &amp; I$15 &amp; ""_title_description""), NOT(REGEXMATCH(SemEval_2025_T2!$A$4:$A$100, ""(?i)complete""))
)"),0.298182340601368)</f>
        <v>0.2981823406</v>
      </c>
      <c r="J30" s="5">
        <f>IFERROR(__xludf.DUMMYFUNCTION("FILTER(SemEval_2025_T2!$F$4:$F$100, 
  REGEXMATCH(SemEval_2025_T2!$A$4:$A$100, ""(?i)"" &amp; J$15 &amp; ""_title_description""), NOT(REGEXMATCH(SemEval_2025_T2!$A$4:$A$100, ""(?i)complete""))
)"),0.10422726630095)</f>
        <v>0.1042272663</v>
      </c>
      <c r="K30" s="5">
        <f>IFERROR(__xludf.DUMMYFUNCTION("FILTER(SemEval_2025_T2!$F$4:$F$100, 
  REGEXMATCH(SemEval_2025_T2!$A$4:$A$100, ""(?i)"" &amp; K$15 &amp; ""_title_description""), NOT(REGEXMATCH(SemEval_2025_T2!$A$4:$A$100, ""(?i)complete""))
)"),0.06794643339117)</f>
        <v>0.06794643339</v>
      </c>
      <c r="L30" s="11" t="str">
        <f>IFERROR(__xludf.DUMMYFUNCTION("FILTER(SemEval_2025_T2!$F$4:$F$100, 
  REGEXMATCH(SemEval_2025_T2!$A$4:$A$100, ""(?i)"" &amp; L$15 &amp; ""_title_description""), NOT(REGEXMATCH(SemEval_2025_T2!$A$4:$A$100, ""(?i)complete""))
)"),"#N/A")</f>
        <v>#N/A</v>
      </c>
    </row>
    <row r="31">
      <c r="A31" s="11" t="s">
        <v>43</v>
      </c>
      <c r="B31" s="11" t="str">
        <f>IFERROR(__xludf.DUMMYFUNCTION("FILTER(SemEval_2025_T2!$E$4:$E$100, 
  REGEXMATCH(SemEval_2025_T2!$A$4:$A$100, ""(?i)"" &amp; B$15 &amp; ""_gpt_title_description""), NOT(REGEXMATCH(SemEval_2025_T2!$A$4:$A$100, ""(?i)complete""))
)"),"#N/A")</f>
        <v>#N/A</v>
      </c>
      <c r="C31" s="11" t="str">
        <f>IFERROR(__xludf.DUMMYFUNCTION("FILTER(SemEval_2025_T2!$E$4:$E$100, 
  REGEXMATCH(SemEval_2025_T2!$A$4:$A$100, ""(?i)"" &amp; C$15 &amp; ""_gpt_title_description""), NOT(REGEXMATCH(SemEval_2025_T2!$A$4:$A$100, ""(?i)complete""))
)"),"#N/A")</f>
        <v>#N/A</v>
      </c>
      <c r="D31" s="11" t="str">
        <f>IFERROR(__xludf.DUMMYFUNCTION("FILTER(SemEval_2025_T2!$E$4:$E$100, 
  REGEXMATCH(SemEval_2025_T2!$A$4:$A$100, ""(?i)"" &amp; D$15 &amp; ""_gpt_title_description""), NOT(REGEXMATCH(SemEval_2025_T2!$A$4:$A$100, ""(?i)complete""))
)"),"#N/A")</f>
        <v>#N/A</v>
      </c>
      <c r="E31" s="11" t="str">
        <f>IFERROR(__xludf.DUMMYFUNCTION("FILTER(SemEval_2025_T2!$E$4:$E$100, 
  REGEXMATCH(SemEval_2025_T2!$A$4:$A$100, ""(?i)"" &amp; E$15 &amp; ""_gpt_title_description""), NOT(REGEXMATCH(SemEval_2025_T2!$A$4:$A$100, ""(?i)complete""))
)"),"#N/A")</f>
        <v>#N/A</v>
      </c>
      <c r="H31" s="11" t="s">
        <v>43</v>
      </c>
      <c r="I31" s="11" t="str">
        <f>IFERROR(__xludf.DUMMYFUNCTION("FILTER(SemEval_2025_T2!$F$4:$F$100, 
  REGEXMATCH(SemEval_2025_T2!$A$4:$A$100, ""(?i)"" &amp; I$15 &amp; ""_gpt_title_description""), NOT(REGEXMATCH(SemEval_2025_T2!$A$4:$A$100, ""(?i)complete""))
)"),"#N/A")</f>
        <v>#N/A</v>
      </c>
      <c r="J31" s="11" t="str">
        <f>IFERROR(__xludf.DUMMYFUNCTION("FILTER(SemEval_2025_T2!$F$4:$F$100, 
  REGEXMATCH(SemEval_2025_T2!$A$4:$A$100, ""(?i)"" &amp; J$15 &amp; ""_gpt_title_description""), NOT(REGEXMATCH(SemEval_2025_T2!$A$4:$A$100, ""(?i)complete""))
)"),"#N/A")</f>
        <v>#N/A</v>
      </c>
      <c r="K31" s="11" t="str">
        <f>IFERROR(__xludf.DUMMYFUNCTION("FILTER(SemEval_2025_T2!$F$4:$F$100, 
  REGEXMATCH(SemEval_2025_T2!$A$4:$A$100, ""(?i)"" &amp; K$15 &amp; ""_gpt_title_description""), NOT(REGEXMATCH(SemEval_2025_T2!$A$4:$A$100, ""(?i)complete""))
)"),"#N/A")</f>
        <v>#N/A</v>
      </c>
      <c r="L31" s="11" t="str">
        <f>IFERROR(__xludf.DUMMYFUNCTION("FILTER(SemEval_2025_T2!$F$4:$F$100, 
  REGEXMATCH(SemEval_2025_T2!$A$4:$A$100, ""(?i)"" &amp; L$15 &amp; ""_gpt_title_description""), NOT(REGEXMATCH(SemEval_2025_T2!$A$4:$A$100, ""(?i)complete""))
)"),"#N/A")</f>
        <v>#N/A</v>
      </c>
    </row>
    <row r="32">
      <c r="A32" s="13" t="s">
        <v>45</v>
      </c>
      <c r="B32" s="15" t="str">
        <f t="shared" ref="B32:E32" si="12">B30-B31</f>
        <v>#N/A</v>
      </c>
      <c r="C32" s="15" t="str">
        <f t="shared" si="12"/>
        <v>#N/A</v>
      </c>
      <c r="D32" s="15" t="str">
        <f t="shared" si="12"/>
        <v>#N/A</v>
      </c>
      <c r="E32" s="15" t="str">
        <f t="shared" si="12"/>
        <v>#N/A</v>
      </c>
      <c r="F32" s="15" t="str">
        <f>AVERAGE(B32:E32)</f>
        <v>#N/A</v>
      </c>
      <c r="G32" s="15"/>
      <c r="H32" s="13" t="s">
        <v>45</v>
      </c>
      <c r="I32" s="15" t="str">
        <f t="shared" ref="I32:L32" si="13">I30-I31</f>
        <v>#N/A</v>
      </c>
      <c r="J32" s="15" t="str">
        <f t="shared" si="13"/>
        <v>#N/A</v>
      </c>
      <c r="K32" s="15" t="str">
        <f t="shared" si="13"/>
        <v>#N/A</v>
      </c>
      <c r="L32" s="15" t="str">
        <f t="shared" si="13"/>
        <v>#N/A</v>
      </c>
      <c r="M32" s="15" t="str">
        <f>AVERAGE(I32:L32)</f>
        <v>#N/A</v>
      </c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>
      <c r="A33" s="7" t="s">
        <v>28</v>
      </c>
      <c r="B33" s="5">
        <f>IFERROR(__xludf.DUMMYFUNCTION("FILTER(SemEval_2025_T2!$E$4:$E$100, 
  REGEXMATCH(SemEval_2025_T2!$A$4:$A$100, ""(?i)"" &amp; B$15 &amp; ""_title_description_complete"")
)"),0.493213067926225)</f>
        <v>0.4932130679</v>
      </c>
      <c r="C33" s="5">
        <f>IFERROR(__xludf.DUMMYFUNCTION("FILTER(SemEval_2025_T2!$E$4:$E$100, 
  REGEXMATCH(SemEval_2025_T2!$A$4:$A$100, ""(?i)"" &amp; C$15 &amp; ""_title_description_complete"")
)"),0.223272228648544)</f>
        <v>0.2232722286</v>
      </c>
      <c r="D33" s="5">
        <f>IFERROR(__xludf.DUMMYFUNCTION("FILTER(SemEval_2025_T2!$E$4:$E$100, 
  REGEXMATCH(SemEval_2025_T2!$A$4:$A$100, ""(?i)"" &amp; D$15 &amp; ""_title_description_complete"")
)"),0.300439374076216)</f>
        <v>0.3004393741</v>
      </c>
      <c r="E33" s="11" t="str">
        <f>IFERROR(__xludf.DUMMYFUNCTION("FILTER(SemEval_2025_T2!$E$4:$E$100, 
  REGEXMATCH(SemEval_2025_T2!$A$4:$A$100, ""(?i)"" &amp; E$15 &amp; ""_title_description_complete"")
)"),"#N/A")</f>
        <v>#N/A</v>
      </c>
      <c r="H33" s="7" t="s">
        <v>28</v>
      </c>
      <c r="I33" s="5">
        <f>IFERROR(__xludf.DUMMYFUNCTION("FILTER(SemEval_2025_T2!$F$4:$F$100, 
  REGEXMATCH(SemEval_2025_T2!$A$4:$A$100, ""(?i)"" &amp; I$15 &amp; ""_title_description_complete"")
)"),0.274709964596806)</f>
        <v>0.2747099646</v>
      </c>
      <c r="J33" s="5">
        <f>IFERROR(__xludf.DUMMYFUNCTION("FILTER(SemEval_2025_T2!$F$4:$F$100, 
  REGEXMATCH(SemEval_2025_T2!$A$4:$A$100, ""(?i)"" &amp; J$15 &amp; ""_title_description_complete"")
)"),0.054960912389454)</f>
        <v>0.05496091239</v>
      </c>
      <c r="K33" s="5">
        <f>IFERROR(__xludf.DUMMYFUNCTION("FILTER(SemEval_2025_T2!$F$4:$F$100, 
  REGEXMATCH(SemEval_2025_T2!$A$4:$A$100, ""(?i)"" &amp; K$15 &amp; ""_title_description_complete"")
)"),0.040366798406272)</f>
        <v>0.04036679841</v>
      </c>
      <c r="L33" s="11" t="str">
        <f>IFERROR(__xludf.DUMMYFUNCTION("FILTER(SemEval_2025_T2!$F$4:$F$100, 
  REGEXMATCH(SemEval_2025_T2!$A$4:$A$100, ""(?i)"" &amp; L$15 &amp; ""_title_description_complete"")
)"),"#N/A")</f>
        <v>#N/A</v>
      </c>
    </row>
    <row r="34">
      <c r="A34" s="11" t="s">
        <v>48</v>
      </c>
      <c r="B34" s="11" t="str">
        <f>IFERROR(__xludf.DUMMYFUNCTION("FILTER(SemEval_2025_T2!$E$4:$E$100, 
  REGEXMATCH(SemEval_2025_T2!$A$4:$A$100, ""(?i)"" &amp; B$15 &amp; ""_gpt_title_description_complete"")
)"),"#N/A")</f>
        <v>#N/A</v>
      </c>
      <c r="C34" s="11" t="str">
        <f>IFERROR(__xludf.DUMMYFUNCTION("FILTER(SemEval_2025_T2!$E$4:$E$100, 
  REGEXMATCH(SemEval_2025_T2!$A$4:$A$100, ""(?i)"" &amp; C$15 &amp; ""_gpt_title_description_complete"")
)"),"#N/A")</f>
        <v>#N/A</v>
      </c>
      <c r="D34" s="11" t="str">
        <f>IFERROR(__xludf.DUMMYFUNCTION("FILTER(SemEval_2025_T2!$E$4:$E$100, 
  REGEXMATCH(SemEval_2025_T2!$A$4:$A$100, ""(?i)"" &amp; D$15 &amp; ""_gpt_title_description_complete"")
)"),"#N/A")</f>
        <v>#N/A</v>
      </c>
      <c r="E34" s="11" t="str">
        <f>IFERROR(__xludf.DUMMYFUNCTION("FILTER(SemEval_2025_T2!$E$4:$E$100, 
  REGEXMATCH(SemEval_2025_T2!$A$4:$A$100, ""(?i)"" &amp; E$15 &amp; ""_gpt_title_description_complete"")
)"),"#N/A")</f>
        <v>#N/A</v>
      </c>
      <c r="H34" s="11" t="s">
        <v>48</v>
      </c>
      <c r="I34" s="11" t="str">
        <f>IFERROR(__xludf.DUMMYFUNCTION("FILTER(SemEval_2025_T2!$F$4:$F$100, 
  REGEXMATCH(SemEval_2025_T2!$A$4:$A$100, ""(?i)"" &amp; I$15 &amp; ""_gpt_title_description_complete"")
)"),"#N/A")</f>
        <v>#N/A</v>
      </c>
      <c r="J34" s="11" t="str">
        <f>IFERROR(__xludf.DUMMYFUNCTION("FILTER(SemEval_2025_T2!$F$4:$F$100, 
  REGEXMATCH(SemEval_2025_T2!$A$4:$A$100, ""(?i)"" &amp; J$15 &amp; ""_gpt_title_description_complete"")
)"),"#N/A")</f>
        <v>#N/A</v>
      </c>
      <c r="K34" s="11" t="str">
        <f>IFERROR(__xludf.DUMMYFUNCTION("FILTER(SemEval_2025_T2!$F$4:$F$100, 
  REGEXMATCH(SemEval_2025_T2!$A$4:$A$100, ""(?i)"" &amp; K$15 &amp; ""_gpt_title_description_complete"")
)"),"#N/A")</f>
        <v>#N/A</v>
      </c>
      <c r="L34" s="11" t="str">
        <f>IFERROR(__xludf.DUMMYFUNCTION("FILTER(SemEval_2025_T2!$F$4:$F$100, 
  REGEXMATCH(SemEval_2025_T2!$A$4:$A$100, ""(?i)"" &amp; L$15 &amp; ""_gpt_title_description_complete"")
)"),"#N/A")</f>
        <v>#N/A</v>
      </c>
    </row>
    <row r="35">
      <c r="A35" s="13" t="s">
        <v>49</v>
      </c>
      <c r="B35" s="15" t="str">
        <f t="shared" ref="B35:E35" si="14">B33-B34</f>
        <v>#N/A</v>
      </c>
      <c r="C35" s="15" t="str">
        <f t="shared" si="14"/>
        <v>#N/A</v>
      </c>
      <c r="D35" s="15" t="str">
        <f t="shared" si="14"/>
        <v>#N/A</v>
      </c>
      <c r="E35" s="15" t="str">
        <f t="shared" si="14"/>
        <v>#N/A</v>
      </c>
      <c r="F35" s="15" t="str">
        <f>AVERAGE(B35:E35)</f>
        <v>#N/A</v>
      </c>
      <c r="G35" s="15"/>
      <c r="H35" s="13" t="s">
        <v>49</v>
      </c>
      <c r="I35" s="15" t="str">
        <f t="shared" ref="I35:L35" si="15">I33-I34</f>
        <v>#N/A</v>
      </c>
      <c r="J35" s="15" t="str">
        <f t="shared" si="15"/>
        <v>#N/A</v>
      </c>
      <c r="K35" s="15" t="str">
        <f t="shared" si="15"/>
        <v>#N/A</v>
      </c>
      <c r="L35" s="15" t="str">
        <f t="shared" si="15"/>
        <v>#N/A</v>
      </c>
      <c r="M35" s="15" t="str">
        <f>AVERAGE(I35:L35)</f>
        <v>#N/A</v>
      </c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7">
      <c r="A37" s="7" t="s">
        <v>55</v>
      </c>
      <c r="B37" s="7" t="s">
        <v>13</v>
      </c>
      <c r="C37" s="7" t="s">
        <v>15</v>
      </c>
      <c r="D37" s="7" t="s">
        <v>16</v>
      </c>
      <c r="E37" s="7" t="s">
        <v>17</v>
      </c>
      <c r="H37" s="7" t="s">
        <v>56</v>
      </c>
      <c r="I37" s="7" t="s">
        <v>13</v>
      </c>
      <c r="J37" s="7" t="s">
        <v>15</v>
      </c>
      <c r="K37" s="7" t="s">
        <v>16</v>
      </c>
      <c r="L37" s="7" t="s">
        <v>17</v>
      </c>
    </row>
    <row r="38">
      <c r="A38" s="11" t="s">
        <v>20</v>
      </c>
      <c r="B38" s="5">
        <f>IFERROR(__xludf.DUMMYFUNCTION("FILTER(SemEval_2025_T2!$G$4:$G$100, 
  REGEXMATCH(SemEval_2025_T2!$A$4:$A$100, ""(?i)"" &amp; B$15 &amp; ""_only_title"")
)"),0.443146947744113)</f>
        <v>0.4431469477</v>
      </c>
      <c r="C38" s="5">
        <f>IFERROR(__xludf.DUMMYFUNCTION("FILTER(SemEval_2025_T2!$C$4:$C$100, 
  REGEXMATCH(SemEval_2025_T2!$A$4:$A$100, ""(?i)"" &amp; C$15 &amp; ""_only_title"")
)"),0.061765240023134)</f>
        <v>0.06176524002</v>
      </c>
      <c r="D38" s="5">
        <f>IFERROR(__xludf.DUMMYFUNCTION("FILTER(SemEval_2025_T2!$C$4:$C$100, 
  REGEXMATCH(SemEval_2025_T2!$A$4:$A$100, ""(?i)"" &amp; D$15 &amp; ""_only_title"")
)"),0.286909321380373)</f>
        <v>0.2869093214</v>
      </c>
      <c r="E38" s="11" t="str">
        <f>IFERROR(__xludf.DUMMYFUNCTION("FILTER(SemEval_2025_T2!$C$4:$C$100, 
  REGEXMATCH(SemEval_2025_T2!$A$4:$A$100, ""(?i)"" &amp; E$15 &amp; ""_only_title"")
)"),"#N/A")</f>
        <v>#N/A</v>
      </c>
      <c r="H38" s="11" t="s">
        <v>20</v>
      </c>
      <c r="I38" s="5" t="str">
        <f>IFERROR(__xludf.DUMMYFUNCTION("FILTER(SemEval_2025_T2!$D$4:$D$100, 
  REGEXMATCH(SemEval_2025_T2!$A$4:$A$100, ""(?i)"" &amp; I$15 &amp; ""_only_title"")
)"),"")</f>
        <v/>
      </c>
      <c r="J38" s="5">
        <f>IFERROR(__xludf.DUMMYFUNCTION("FILTER(SemEval_2025_T2!$D$4:$D$100, 
  REGEXMATCH(SemEval_2025_T2!$A$4:$A$100, ""(?i)"" &amp; J$15 &amp; ""_only_title"")
)"),0.029348708309234)</f>
        <v>0.02934870831</v>
      </c>
      <c r="K38" s="5">
        <f>IFERROR(__xludf.DUMMYFUNCTION("FILTER(SemEval_2025_T2!$D$4:$D$100, 
  REGEXMATCH(SemEval_2025_T2!$A$4:$A$100, ""(?i)"" &amp; K$15 &amp; ""_only_title"")
)"),0.040739516331621)</f>
        <v>0.04073951633</v>
      </c>
      <c r="L38" s="11" t="str">
        <f>IFERROR(__xludf.DUMMYFUNCTION("FILTER(SemEval_2025_T2!$D$4:$D$100, 
  REGEXMATCH(SemEval_2025_T2!$A$4:$A$100, ""(?i)"" &amp; L$15 &amp; ""_only_title"")
)"),"#N/A")</f>
        <v>#N/A</v>
      </c>
    </row>
    <row r="39">
      <c r="A39" s="11" t="s">
        <v>39</v>
      </c>
      <c r="B39" s="11" t="str">
        <f>IFERROR(__xludf.DUMMYFUNCTION("FILTER(SemEval_2025_T2!$C$4:$C$100, 
  REGEXMATCH(SemEval_2025_T2!$A$4:$A$100, ""(?i)"" &amp; B$15 &amp; ""_gpt_only_title"")
)"),"#N/A")</f>
        <v>#N/A</v>
      </c>
      <c r="C39" s="11" t="str">
        <f>IFERROR(__xludf.DUMMYFUNCTION("FILTER(SemEval_2025_T2!$C$4:$C$100, 
  REGEXMATCH(SemEval_2025_T2!$A$4:$A$100, ""(?i)"" &amp; C$15 &amp; ""_gpt_only_title"")
)"),"#N/A")</f>
        <v>#N/A</v>
      </c>
      <c r="D39" s="11" t="str">
        <f>IFERROR(__xludf.DUMMYFUNCTION("FILTER(SemEval_2025_T2!$C$4:$C$100, 
  REGEXMATCH(SemEval_2025_T2!$A$4:$A$100, ""(?i)"" &amp; D$15 &amp; ""_gpt_only_title"")
)"),"#N/A")</f>
        <v>#N/A</v>
      </c>
      <c r="E39" s="11" t="str">
        <f>IFERROR(__xludf.DUMMYFUNCTION("FILTER(SemEval_2025_T2!$C$4:$C$100, 
  REGEXMATCH(SemEval_2025_T2!$A$4:$A$100, ""(?i)"" &amp; E$15 &amp; ""_gpt_only_title"")
)"),"#N/A")</f>
        <v>#N/A</v>
      </c>
      <c r="H39" s="11" t="s">
        <v>39</v>
      </c>
      <c r="I39" s="11" t="str">
        <f>IFERROR(__xludf.DUMMYFUNCTION("FILTER(SemEval_2025_T2!$D$4:$D$100, 
  REGEXMATCH(SemEval_2025_T2!$A$4:$A$100, ""(?i)"" &amp; I$15 &amp; ""_gpt_only_title"")
)"),"#N/A")</f>
        <v>#N/A</v>
      </c>
      <c r="J39" s="11" t="str">
        <f>IFERROR(__xludf.DUMMYFUNCTION("FILTER(SemEval_2025_T2!$D$4:$D$100, 
  REGEXMATCH(SemEval_2025_T2!$A$4:$A$100, ""(?i)"" &amp; J$15 &amp; ""_gpt_only_title"")
)"),"#N/A")</f>
        <v>#N/A</v>
      </c>
      <c r="K39" s="11" t="str">
        <f>IFERROR(__xludf.DUMMYFUNCTION("FILTER(SemEval_2025_T2!$D$4:$D$100, 
  REGEXMATCH(SemEval_2025_T2!$A$4:$A$100, ""(?i)"" &amp; K$15 &amp; ""_gpt_only_title"")
)"),"#N/A")</f>
        <v>#N/A</v>
      </c>
      <c r="L39" s="11" t="str">
        <f>IFERROR(__xludf.DUMMYFUNCTION("FILTER(SemEval_2025_T2!$D$4:$D$100, 
  REGEXMATCH(SemEval_2025_T2!$A$4:$A$100, ""(?i)"" &amp; L$15 &amp; ""_gpt_only_title"")
)"),"#N/A")</f>
        <v>#N/A</v>
      </c>
    </row>
    <row r="40">
      <c r="A40" s="13" t="s">
        <v>23</v>
      </c>
      <c r="B40" s="15" t="str">
        <f t="shared" ref="B40:E40" si="16">B38-B39</f>
        <v>#N/A</v>
      </c>
      <c r="C40" s="15" t="str">
        <f t="shared" si="16"/>
        <v>#N/A</v>
      </c>
      <c r="D40" s="15" t="str">
        <f t="shared" si="16"/>
        <v>#N/A</v>
      </c>
      <c r="E40" s="15" t="str">
        <f t="shared" si="16"/>
        <v>#N/A</v>
      </c>
      <c r="F40" s="15" t="str">
        <f>AVERAGE(B40:E40)</f>
        <v>#N/A</v>
      </c>
      <c r="G40" s="15"/>
      <c r="H40" s="13" t="s">
        <v>23</v>
      </c>
      <c r="I40" s="15" t="str">
        <f t="shared" ref="I40:L40" si="17">I38-I39</f>
        <v>#N/A</v>
      </c>
      <c r="J40" s="15" t="str">
        <f t="shared" si="17"/>
        <v>#N/A</v>
      </c>
      <c r="K40" s="15" t="str">
        <f t="shared" si="17"/>
        <v>#N/A</v>
      </c>
      <c r="L40" s="15" t="str">
        <f t="shared" si="17"/>
        <v>#N/A</v>
      </c>
      <c r="M40" s="15" t="str">
        <f>AVERAGE(I40:L40)</f>
        <v>#N/A</v>
      </c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>
      <c r="A41" s="7" t="s">
        <v>24</v>
      </c>
      <c r="B41" s="5" t="str">
        <f>IFERROR(__xludf.DUMMYFUNCTION("FILTER(SemEval_2025_T2!$C$4:$C$100, 
  REGEXMATCH(SemEval_2025_T2!$A$4:$A$100, ""(?i)"" &amp; B$15 &amp; ""_title_description""), NOT(REGEXMATCH(SemEval_2025_T2!$A$4:$A$100, ""(?i)complete""))
)"),"")</f>
        <v/>
      </c>
      <c r="C41" s="5">
        <f>IFERROR(__xludf.DUMMYFUNCTION("FILTER(SemEval_2025_T2!$C$4:$C$100, 
  REGEXMATCH(SemEval_2025_T2!$A$4:$A$100, ""(?i)"" &amp; C$15 &amp; ""_title_description""), NOT(REGEXMATCH(SemEval_2025_T2!$A$4:$A$100, ""(?i)complete""))
)"),0.043328475033738)</f>
        <v>0.04332847503</v>
      </c>
      <c r="D41" s="5">
        <f>IFERROR(__xludf.DUMMYFUNCTION("FILTER(SemEval_2025_T2!$C$4:$C$100, 
  REGEXMATCH(SemEval_2025_T2!$A$4:$A$100, ""(?i)"" &amp; D$15 &amp; ""_title_description""), NOT(REGEXMATCH(SemEval_2025_T2!$A$4:$A$100, ""(?i)complete""))
)"),0.273295328063749)</f>
        <v>0.2732953281</v>
      </c>
      <c r="E41" s="11" t="str">
        <f>IFERROR(__xludf.DUMMYFUNCTION("FILTER(SemEval_2025_T2!$C$4:$C$100, 
  REGEXMATCH(SemEval_2025_T2!$A$4:$A$100, ""(?i)"" &amp; E$15 &amp; ""_title_description""), NOT(REGEXMATCH(SemEval_2025_T2!$A$4:$A$100, ""(?i)complete""))
)"),"#N/A")</f>
        <v>#N/A</v>
      </c>
      <c r="H41" s="7" t="s">
        <v>24</v>
      </c>
      <c r="I41" s="5" t="str">
        <f>IFERROR(__xludf.DUMMYFUNCTION("FILTER(SemEval_2025_T2!$D$4:$D$100, 
  REGEXMATCH(SemEval_2025_T2!$A$4:$A$100, ""(?i)"" &amp; I$15 &amp; ""_title_description""), NOT(REGEXMATCH(SemEval_2025_T2!$A$4:$A$100, ""(?i)complete""))
)"),"")</f>
        <v/>
      </c>
      <c r="J41" s="5">
        <f>IFERROR(__xludf.DUMMYFUNCTION("FILTER(SemEval_2025_T2!$D$4:$D$100, 
  REGEXMATCH(SemEval_2025_T2!$A$4:$A$100, ""(?i)"" &amp; J$15 &amp; ""_title_description""), NOT(REGEXMATCH(SemEval_2025_T2!$A$4:$A$100, ""(?i)complete""))
)"),0.02139393997815)</f>
        <v>0.02139393998</v>
      </c>
      <c r="K41" s="5">
        <f>IFERROR(__xludf.DUMMYFUNCTION("FILTER(SemEval_2025_T2!$D$4:$D$100, 
  REGEXMATCH(SemEval_2025_T2!$A$4:$A$100, ""(?i)"" &amp; K$15 &amp; ""_title_description""), NOT(REGEXMATCH(SemEval_2025_T2!$A$4:$A$100, ""(?i)complete""))
)"),0.051847278160436)</f>
        <v>0.05184727816</v>
      </c>
      <c r="L41" s="11" t="str">
        <f>IFERROR(__xludf.DUMMYFUNCTION("FILTER(SemEval_2025_T2!$D$4:$D$100, 
  REGEXMATCH(SemEval_2025_T2!$A$4:$A$100, ""(?i)"" &amp; L$15 &amp; ""_title_description""), NOT(REGEXMATCH(SemEval_2025_T2!$A$4:$A$100, ""(?i)complete""))
)"),"#N/A")</f>
        <v>#N/A</v>
      </c>
    </row>
    <row r="42">
      <c r="A42" s="11" t="s">
        <v>43</v>
      </c>
      <c r="B42" s="11" t="str">
        <f>IFERROR(__xludf.DUMMYFUNCTION("FILTER(SemEval_2025_T2!$C$4:$C$100, 
  REGEXMATCH(SemEval_2025_T2!$A$4:$A$100, ""(?i)"" &amp; B$15 &amp; ""_gpt_title_description""), NOT(REGEXMATCH(SemEval_2025_T2!$A$4:$A$100, ""(?i)complete""))
)"),"#N/A")</f>
        <v>#N/A</v>
      </c>
      <c r="C42" s="11" t="str">
        <f>IFERROR(__xludf.DUMMYFUNCTION("FILTER(SemEval_2025_T2!$C$4:$C$100, 
  REGEXMATCH(SemEval_2025_T2!$A$4:$A$100, ""(?i)"" &amp; C$15 &amp; ""_gpt_title_description""), NOT(REGEXMATCH(SemEval_2025_T2!$A$4:$A$100, ""(?i)complete""))
)"),"#N/A")</f>
        <v>#N/A</v>
      </c>
      <c r="D42" s="11" t="str">
        <f>IFERROR(__xludf.DUMMYFUNCTION("FILTER(SemEval_2025_T2!$C$4:$C$100, 
  REGEXMATCH(SemEval_2025_T2!$A$4:$A$100, ""(?i)"" &amp; D$15 &amp; ""_gpt_title_description""), NOT(REGEXMATCH(SemEval_2025_T2!$A$4:$A$100, ""(?i)complete""))
)"),"#N/A")</f>
        <v>#N/A</v>
      </c>
      <c r="E42" s="11" t="str">
        <f>IFERROR(__xludf.DUMMYFUNCTION("FILTER(SemEval_2025_T2!$C$4:$C$100, 
  REGEXMATCH(SemEval_2025_T2!$A$4:$A$100, ""(?i)"" &amp; E$15 &amp; ""_gpt_title_description""), NOT(REGEXMATCH(SemEval_2025_T2!$A$4:$A$100, ""(?i)complete""))
)"),"#N/A")</f>
        <v>#N/A</v>
      </c>
      <c r="H42" s="11" t="s">
        <v>43</v>
      </c>
      <c r="I42" s="11" t="str">
        <f>IFERROR(__xludf.DUMMYFUNCTION("FILTER(SemEval_2025_T2!$D$4:$D$100, 
  REGEXMATCH(SemEval_2025_T2!$A$4:$A$100, ""(?i)"" &amp; I$15 &amp; ""_gpt_title_description""), NOT(REGEXMATCH(SemEval_2025_T2!$A$4:$A$100, ""(?i)complete""))
)"),"#N/A")</f>
        <v>#N/A</v>
      </c>
      <c r="J42" s="11" t="str">
        <f>IFERROR(__xludf.DUMMYFUNCTION("FILTER(SemEval_2025_T2!$D$4:$D$100, 
  REGEXMATCH(SemEval_2025_T2!$A$4:$A$100, ""(?i)"" &amp; J$15 &amp; ""_gpt_title_description""), NOT(REGEXMATCH(SemEval_2025_T2!$A$4:$A$100, ""(?i)complete""))
)"),"#N/A")</f>
        <v>#N/A</v>
      </c>
      <c r="K42" s="11" t="str">
        <f>IFERROR(__xludf.DUMMYFUNCTION("FILTER(SemEval_2025_T2!$D$4:$D$100, 
  REGEXMATCH(SemEval_2025_T2!$A$4:$A$100, ""(?i)"" &amp; K$15 &amp; ""_gpt_title_description""), NOT(REGEXMATCH(SemEval_2025_T2!$A$4:$A$100, ""(?i)complete""))
)"),"#N/A")</f>
        <v>#N/A</v>
      </c>
      <c r="L42" s="11" t="str">
        <f>IFERROR(__xludf.DUMMYFUNCTION("FILTER(SemEval_2025_T2!$D$4:$D$100, 
  REGEXMATCH(SemEval_2025_T2!$A$4:$A$100, ""(?i)"" &amp; L$15 &amp; ""_gpt_title_description""), NOT(REGEXMATCH(SemEval_2025_T2!$A$4:$A$100, ""(?i)complete""))
)"),"#N/A")</f>
        <v>#N/A</v>
      </c>
    </row>
    <row r="43">
      <c r="A43" s="13" t="s">
        <v>45</v>
      </c>
      <c r="B43" s="15" t="str">
        <f t="shared" ref="B43:E43" si="18">B41-B42</f>
        <v>#N/A</v>
      </c>
      <c r="C43" s="15" t="str">
        <f t="shared" si="18"/>
        <v>#N/A</v>
      </c>
      <c r="D43" s="15" t="str">
        <f t="shared" si="18"/>
        <v>#N/A</v>
      </c>
      <c r="E43" s="15" t="str">
        <f t="shared" si="18"/>
        <v>#N/A</v>
      </c>
      <c r="F43" s="15" t="str">
        <f>AVERAGE(C43:E43)</f>
        <v>#N/A</v>
      </c>
      <c r="G43" s="15"/>
      <c r="H43" s="13" t="s">
        <v>45</v>
      </c>
      <c r="I43" s="15" t="str">
        <f t="shared" ref="I43:L43" si="19">I41-I42</f>
        <v>#N/A</v>
      </c>
      <c r="J43" s="15" t="str">
        <f t="shared" si="19"/>
        <v>#N/A</v>
      </c>
      <c r="K43" s="15" t="str">
        <f t="shared" si="19"/>
        <v>#N/A</v>
      </c>
      <c r="L43" s="15" t="str">
        <f t="shared" si="19"/>
        <v>#N/A</v>
      </c>
      <c r="M43" s="15" t="str">
        <f>AVERAGE(J43:L43)</f>
        <v>#N/A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>
      <c r="A44" s="7" t="s">
        <v>28</v>
      </c>
      <c r="B44" s="5" t="str">
        <f>IFERROR(__xludf.DUMMYFUNCTION("FILTER(SemEval_2025_T2!$C$4:$C$100, 
  REGEXMATCH(SemEval_2025_T2!$A$4:$A$100, ""(?i)"" &amp; B$15 &amp; ""_title_description_complete"")
)"),"")</f>
        <v/>
      </c>
      <c r="C44" s="5" t="str">
        <f>IFERROR(__xludf.DUMMYFUNCTION("FILTER(SemEval_2025_T2!$C$4:$C$100, 
  REGEXMATCH(SemEval_2025_T2!$A$4:$A$100, ""(?i)"" &amp; C$15 &amp; ""_title_description_complete"")
)"),"")</f>
        <v/>
      </c>
      <c r="D44" s="5" t="str">
        <f>IFERROR(__xludf.DUMMYFUNCTION("FILTER(SemEval_2025_T2!$C$4:$C$100, 
  REGEXMATCH(SemEval_2025_T2!$A$4:$A$100, ""(?i)"" &amp; D$15 &amp; ""_title_description_complete"")
)"),"")</f>
        <v/>
      </c>
      <c r="E44" s="11" t="str">
        <f>IFERROR(__xludf.DUMMYFUNCTION("FILTER(SemEval_2025_T2!$C$4:$C$100, 
  REGEXMATCH(SemEval_2025_T2!$A$4:$A$100, ""(?i)"" &amp; E$15 &amp; ""_title_description_complete"")
)"),"#N/A")</f>
        <v>#N/A</v>
      </c>
      <c r="H44" s="7" t="s">
        <v>28</v>
      </c>
      <c r="I44" s="5" t="str">
        <f>IFERROR(__xludf.DUMMYFUNCTION("FILTER(SemEval_2025_T2!$D$4:$D$100, 
  REGEXMATCH(SemEval_2025_T2!$A$4:$A$100, ""(?i)"" &amp; I$15 &amp; ""_title_description_complete"")
)"),"")</f>
        <v/>
      </c>
      <c r="J44" s="5" t="str">
        <f>IFERROR(__xludf.DUMMYFUNCTION("FILTER(SemEval_2025_T2!$D$4:$D$100, 
  REGEXMATCH(SemEval_2025_T2!$A$4:$A$100, ""(?i)"" &amp; J$15 &amp; ""_title_description_complete"")
)"),"")</f>
        <v/>
      </c>
      <c r="K44" s="5" t="str">
        <f>IFERROR(__xludf.DUMMYFUNCTION("FILTER(SemEval_2025_T2!$D$4:$D$100, 
  REGEXMATCH(SemEval_2025_T2!$A$4:$A$100, ""(?i)"" &amp; K$15 &amp; ""_title_description_complete"")
)"),"")</f>
        <v/>
      </c>
      <c r="L44" s="11" t="str">
        <f>IFERROR(__xludf.DUMMYFUNCTION("FILTER(SemEval_2025_T2!$D$4:$D$100, 
  REGEXMATCH(SemEval_2025_T2!$A$4:$A$100, ""(?i)"" &amp; L$15 &amp; ""_title_description_complete"")
)"),"#N/A")</f>
        <v>#N/A</v>
      </c>
    </row>
    <row r="45">
      <c r="A45" s="11" t="s">
        <v>48</v>
      </c>
      <c r="B45" s="11" t="str">
        <f>IFERROR(__xludf.DUMMYFUNCTION("FILTER(SemEval_2025_T2!$C$4:$C$100, 
  REGEXMATCH(SemEval_2025_T2!$A$4:$A$100, ""(?i)"" &amp; B$15 &amp; ""_gpt_title_description_complete"")
)"),"#N/A")</f>
        <v>#N/A</v>
      </c>
      <c r="C45" s="11" t="str">
        <f>IFERROR(__xludf.DUMMYFUNCTION("FILTER(SemEval_2025_T2!$C$4:$C$100, 
  REGEXMATCH(SemEval_2025_T2!$A$4:$A$100, ""(?i)"" &amp; C$15 &amp; ""_gpt_title_description_complete"")
)"),"#N/A")</f>
        <v>#N/A</v>
      </c>
      <c r="D45" s="11" t="str">
        <f>IFERROR(__xludf.DUMMYFUNCTION("FILTER(SemEval_2025_T2!$C$4:$C$100, 
  REGEXMATCH(SemEval_2025_T2!$A$4:$A$100, ""(?i)"" &amp; D$15 &amp; ""_gpt_title_description_complete"")
)"),"#N/A")</f>
        <v>#N/A</v>
      </c>
      <c r="E45" s="11" t="str">
        <f>IFERROR(__xludf.DUMMYFUNCTION("FILTER(SemEval_2025_T2!$C$4:$C$100, 
  REGEXMATCH(SemEval_2025_T2!$A$4:$A$100, ""(?i)"" &amp; E$15 &amp; ""_gpt_title_description_complete"")
)"),"#N/A")</f>
        <v>#N/A</v>
      </c>
      <c r="H45" s="11" t="s">
        <v>48</v>
      </c>
      <c r="I45" s="11" t="str">
        <f>IFERROR(__xludf.DUMMYFUNCTION("FILTER(SemEval_2025_T2!$D$4:$D$100, 
  REGEXMATCH(SemEval_2025_T2!$A$4:$A$100, ""(?i)"" &amp; I$15 &amp; ""_gpt_title_description_complete"")
)"),"#N/A")</f>
        <v>#N/A</v>
      </c>
      <c r="J45" s="11" t="str">
        <f>IFERROR(__xludf.DUMMYFUNCTION("FILTER(SemEval_2025_T2!$D$4:$D$100, 
  REGEXMATCH(SemEval_2025_T2!$A$4:$A$100, ""(?i)"" &amp; J$15 &amp; ""_gpt_title_description_complete"")
)"),"#N/A")</f>
        <v>#N/A</v>
      </c>
      <c r="K45" s="11" t="str">
        <f>IFERROR(__xludf.DUMMYFUNCTION("FILTER(SemEval_2025_T2!$D$4:$D$100, 
  REGEXMATCH(SemEval_2025_T2!$A$4:$A$100, ""(?i)"" &amp; K$15 &amp; ""_gpt_title_description_complete"")
)"),"#N/A")</f>
        <v>#N/A</v>
      </c>
      <c r="L45" s="11" t="str">
        <f>IFERROR(__xludf.DUMMYFUNCTION("FILTER(SemEval_2025_T2!$D$4:$D$100, 
  REGEXMATCH(SemEval_2025_T2!$A$4:$A$100, ""(?i)"" &amp; L$15 &amp; ""_gpt_title_description_complete"")
)"),"#N/A")</f>
        <v>#N/A</v>
      </c>
    </row>
    <row r="46">
      <c r="A46" s="13" t="s">
        <v>49</v>
      </c>
      <c r="B46" s="15" t="str">
        <f t="shared" ref="B46:E46" si="20">B44-B45</f>
        <v>#N/A</v>
      </c>
      <c r="C46" s="15" t="str">
        <f t="shared" si="20"/>
        <v>#N/A</v>
      </c>
      <c r="D46" s="15" t="str">
        <f t="shared" si="20"/>
        <v>#N/A</v>
      </c>
      <c r="E46" s="15" t="str">
        <f t="shared" si="20"/>
        <v>#N/A</v>
      </c>
      <c r="F46" s="15" t="str">
        <f>AVERAGE(B46:E46)</f>
        <v>#N/A</v>
      </c>
      <c r="G46" s="15"/>
      <c r="H46" s="13" t="s">
        <v>49</v>
      </c>
      <c r="I46" s="15" t="str">
        <f t="shared" ref="I46:L46" si="21">I44-I45</f>
        <v>#N/A</v>
      </c>
      <c r="J46" s="15" t="str">
        <f t="shared" si="21"/>
        <v>#N/A</v>
      </c>
      <c r="K46" s="15" t="str">
        <f t="shared" si="21"/>
        <v>#N/A</v>
      </c>
      <c r="L46" s="15" t="str">
        <f t="shared" si="21"/>
        <v>#N/A</v>
      </c>
      <c r="M46" s="15" t="str">
        <f>AVERAGE(I46:L46)</f>
        <v>#N/A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50">
      <c r="E50" s="11" t="str">
        <f>AVERAGE(J5,J8,J11,M18,F18,F21,M21,F24,M24,M29,M32,M35,F29,F32,F35,F40,M40)</f>
        <v>#N/A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16.63"/>
  </cols>
  <sheetData>
    <row r="1">
      <c r="A1" s="7" t="s">
        <v>64</v>
      </c>
      <c r="B1" s="56"/>
      <c r="C1" s="56" t="s">
        <v>65</v>
      </c>
    </row>
    <row r="2">
      <c r="A2" s="57"/>
      <c r="B2" s="26"/>
      <c r="C2" s="26"/>
      <c r="E2" s="58" t="s">
        <v>66</v>
      </c>
      <c r="G2" s="26"/>
      <c r="I2" s="26"/>
    </row>
    <row r="3">
      <c r="A3" s="59"/>
      <c r="B3" s="60" t="s">
        <v>67</v>
      </c>
      <c r="C3" s="60" t="s">
        <v>68</v>
      </c>
      <c r="D3" s="60" t="s">
        <v>69</v>
      </c>
      <c r="E3" s="60" t="s">
        <v>68</v>
      </c>
      <c r="F3" s="60" t="s">
        <v>69</v>
      </c>
      <c r="G3" s="61" t="s">
        <v>68</v>
      </c>
      <c r="H3" s="61" t="s">
        <v>69</v>
      </c>
      <c r="I3" s="61" t="s">
        <v>68</v>
      </c>
      <c r="J3" s="61" t="s">
        <v>69</v>
      </c>
    </row>
    <row r="4">
      <c r="A4" s="59"/>
      <c r="B4" s="60"/>
      <c r="C4" s="60" t="s">
        <v>70</v>
      </c>
      <c r="D4" s="60" t="s">
        <v>70</v>
      </c>
      <c r="E4" s="60" t="s">
        <v>71</v>
      </c>
      <c r="F4" s="60" t="s">
        <v>71</v>
      </c>
      <c r="G4" s="61" t="s">
        <v>72</v>
      </c>
      <c r="H4" s="61" t="s">
        <v>72</v>
      </c>
      <c r="I4" s="61" t="s">
        <v>73</v>
      </c>
      <c r="J4" s="61" t="s">
        <v>73</v>
      </c>
    </row>
    <row r="5">
      <c r="A5" s="59"/>
      <c r="B5" s="62"/>
      <c r="C5" s="62"/>
      <c r="D5" s="62"/>
      <c r="E5" s="62"/>
      <c r="F5" s="62"/>
      <c r="G5" s="8"/>
      <c r="H5" s="8"/>
      <c r="I5" s="8"/>
      <c r="J5" s="8"/>
    </row>
    <row r="6">
      <c r="A6" s="59" t="s">
        <v>21</v>
      </c>
      <c r="B6" s="63" t="s">
        <v>74</v>
      </c>
      <c r="C6" s="64">
        <v>0.5419384931377862</v>
      </c>
      <c r="D6" s="64">
        <v>0.5117315859020619</v>
      </c>
      <c r="E6" s="62">
        <v>0.642831750679554</v>
      </c>
      <c r="F6" s="62">
        <v>0.597702377854602</v>
      </c>
      <c r="G6" s="24">
        <v>0.6053534738128943</v>
      </c>
      <c r="H6" s="24">
        <v>0.5565419113667803</v>
      </c>
      <c r="I6" s="8">
        <v>0.641372813923377</v>
      </c>
      <c r="J6" s="8">
        <v>0.586918258059075</v>
      </c>
    </row>
    <row r="7">
      <c r="A7" s="59"/>
      <c r="B7" s="63" t="s">
        <v>75</v>
      </c>
      <c r="C7" s="64">
        <v>0.5236087162767843</v>
      </c>
      <c r="D7" s="64">
        <v>0.4943390596078688</v>
      </c>
      <c r="E7" s="62">
        <v>0.400107417157464</v>
      </c>
      <c r="F7" s="62">
        <v>0.393652929014778</v>
      </c>
      <c r="G7" s="24">
        <v>0.5825720121897643</v>
      </c>
      <c r="H7" s="24">
        <v>0.5320940742117477</v>
      </c>
      <c r="I7" s="8">
        <v>0.517640159750091</v>
      </c>
      <c r="J7" s="8">
        <v>0.466203934203608</v>
      </c>
    </row>
    <row r="8">
      <c r="A8" s="26"/>
      <c r="B8" s="65"/>
      <c r="C8" s="62"/>
      <c r="D8" s="62"/>
      <c r="E8" s="62"/>
      <c r="F8" s="62"/>
      <c r="G8" s="8"/>
      <c r="H8" s="8"/>
      <c r="I8" s="8"/>
      <c r="J8" s="8"/>
    </row>
    <row r="9">
      <c r="A9" s="57" t="s">
        <v>26</v>
      </c>
      <c r="B9" s="63" t="s">
        <v>74</v>
      </c>
      <c r="C9" s="64">
        <v>0.5477188700832996</v>
      </c>
      <c r="D9" s="64">
        <v>0.5292887578858964</v>
      </c>
      <c r="E9" s="62">
        <v>0.634072891433604</v>
      </c>
      <c r="F9" s="62">
        <v>0.604647253792606</v>
      </c>
      <c r="G9" s="24">
        <v>0.6185795850294233</v>
      </c>
      <c r="H9" s="24">
        <v>0.5860634272731544</v>
      </c>
      <c r="I9" s="8">
        <v>0.641745007342877</v>
      </c>
      <c r="J9" s="8">
        <v>0.621603952821018</v>
      </c>
    </row>
    <row r="10">
      <c r="A10" s="26"/>
      <c r="B10" s="63" t="s">
        <v>75</v>
      </c>
      <c r="C10" s="64">
        <v>0.5377833669089732</v>
      </c>
      <c r="D10" s="64">
        <v>0.5131886961871358</v>
      </c>
      <c r="E10" s="62">
        <v>0.404810754696845</v>
      </c>
      <c r="F10" s="62">
        <v>0.397469270497135</v>
      </c>
      <c r="G10" s="24">
        <v>0.5984712708635663</v>
      </c>
      <c r="H10" s="24">
        <v>0.561488092033104</v>
      </c>
      <c r="I10" s="8">
        <v>0.537523492086359</v>
      </c>
      <c r="J10" s="8">
        <v>0.496005447230576</v>
      </c>
    </row>
    <row r="11">
      <c r="B11" s="7"/>
      <c r="C11" s="7"/>
      <c r="D11" s="7"/>
      <c r="E11" s="7"/>
      <c r="F11" s="7"/>
      <c r="G11" s="7"/>
      <c r="H11" s="7"/>
      <c r="I11" s="7"/>
      <c r="J11" s="7"/>
    </row>
    <row r="12">
      <c r="A12" s="7" t="s">
        <v>21</v>
      </c>
      <c r="B12" s="7"/>
      <c r="C12" s="66" t="s">
        <v>70</v>
      </c>
      <c r="D12" s="66" t="s">
        <v>70</v>
      </c>
      <c r="E12" s="66" t="s">
        <v>76</v>
      </c>
      <c r="F12" s="66" t="s">
        <v>76</v>
      </c>
      <c r="G12" s="61" t="s">
        <v>72</v>
      </c>
      <c r="H12" s="61" t="s">
        <v>72</v>
      </c>
      <c r="I12" s="61" t="s">
        <v>73</v>
      </c>
      <c r="J12" s="61" t="s">
        <v>73</v>
      </c>
    </row>
    <row r="13">
      <c r="B13" s="7"/>
      <c r="C13" s="66" t="s">
        <v>77</v>
      </c>
      <c r="D13" s="66" t="s">
        <v>78</v>
      </c>
      <c r="E13" s="66" t="s">
        <v>77</v>
      </c>
      <c r="F13" s="66" t="s">
        <v>78</v>
      </c>
      <c r="G13" s="61" t="s">
        <v>77</v>
      </c>
      <c r="H13" s="61" t="s">
        <v>78</v>
      </c>
      <c r="I13" s="61" t="s">
        <v>77</v>
      </c>
      <c r="J13" s="61" t="s">
        <v>78</v>
      </c>
    </row>
    <row r="14">
      <c r="A14" s="67" t="s">
        <v>79</v>
      </c>
      <c r="B14" s="7" t="s">
        <v>74</v>
      </c>
      <c r="C14" s="68" t="str">
        <f>AVERAGE(SemEval_2025_T2!$C$5,SemEval_2025_T2!$C$29,SemEval_2025_T2!$C$53,SemEval_2025_T2!$C$77)</f>
        <v>#REF!</v>
      </c>
      <c r="D14" s="68" t="str">
        <f>AVERAGE(SemEval_2025_T2!$D$5,SemEval_2025_T2!$D$29,SemEval_2025_T2!$D$53,SemEval_2025_T2!$D$77)</f>
        <v>#REF!</v>
      </c>
      <c r="E14" s="68" t="str">
        <f>IFERROR(__xludf.DUMMYFUNCTION("FILTER(RawData_Ensembles!$C$1:$C$98, 
  REGEXMATCH(RawData_Ensembles!$A$1:$A$98, ""(?i)"" &amp; $A$14), 
  REGEXMATCH(RawData_Ensembles!$A$1:$A$98, ""(?i)"" &amp; $E$12), REGEXMATCH(RawData_Ensembles!$A$1:$A$98, ""(?i)"" &amp; $B$14), REGEXMATCH(RawData_Ensembles!$A$"&amp;"1:$A$98, ""(?i)no_no"")
)"),"#N/A")</f>
        <v>#N/A</v>
      </c>
      <c r="F14" s="68" t="str">
        <f>IFERROR(__xludf.DUMMYFUNCTION("FILTER(RawData_Ensembles!$D$1:$D$98, 
  REGEXMATCH(RawData_Ensembles!$A$1:$A$98, ""(?i)"" &amp; $A$14), 
  REGEXMATCH(RawData_Ensembles!$A$1:$A$98, ""(?i)"" &amp; $E$12), REGEXMATCH(RawData_Ensembles!$A$1:$A$98, ""(?i)"" &amp; $B$14), REGEXMATCH(RawData_Ensembles!$A$"&amp;"1:$A$98, ""(?i)no_no"")
)"),"#N/A")</f>
        <v>#N/A</v>
      </c>
      <c r="G14" s="8" t="str">
        <f>AVERAGE(SemEval_2025_T2!$C$5,SemEval_2025_T2!$C$29,SemEval_2025_T2!$C$53)</f>
        <v>#REF!</v>
      </c>
      <c r="H14" s="8" t="str">
        <f>AVERAGE(SemEval_2025_T2!$D$5,SemEval_2025_T2!$D$29,SemEval_2025_T2!$D$53)</f>
        <v>#REF!</v>
      </c>
      <c r="I14" s="8" t="str">
        <f>IFERROR(__xludf.DUMMYFUNCTION("FILTER(RawData_Ensembles!$C$1:$C$98, 
  REGEXMATCH(RawData_Ensembles!$A$1:$A$98, ""(?i)"" &amp; $A$14), 
  REGEXMATCH(RawData_Ensembles!$A$1:$A$98, ""(?i)"" &amp; $I$12), REGEXMATCH(RawData_Ensembles!$A$1:$A$98, ""(?i)"" &amp; $B$14), REGEXMATCH(RawData_Ensembles!$A$"&amp;"1:$A$98, ""(?i)no_no"")
)"),"#N/A")</f>
        <v>#N/A</v>
      </c>
      <c r="J14" s="8" t="str">
        <f>IFERROR(__xludf.DUMMYFUNCTION("FILTER(RawData_Ensembles!$D$1:$D$98, 
  REGEXMATCH(RawData_Ensembles!$A$1:$A$98, ""(?i)"" &amp; $A$14), 
  REGEXMATCH(RawData_Ensembles!$A$1:$A$98, ""(?i)"" &amp; $I$12), REGEXMATCH(RawData_Ensembles!$A$1:$A$98, ""(?i)"" &amp; $B$14), REGEXMATCH(RawData_Ensembles!$A$"&amp;"1:$A$98, ""(?i)no_no"")
)"),"#N/A")</f>
        <v>#N/A</v>
      </c>
    </row>
    <row r="15">
      <c r="A15" s="67"/>
      <c r="B15" s="7" t="s">
        <v>75</v>
      </c>
      <c r="C15" s="68" t="str">
        <f>AVERAGE(SemEval_2025_T2!$C$6,SemEval_2025_T2!$C$30,SemEval_2025_T2!$C$54,SemEval_2025_T2!$C$78)</f>
        <v>#REF!</v>
      </c>
      <c r="D15" s="68" t="str">
        <f>AVERAGE(SemEval_2025_T2!$D$6,SemEval_2025_T2!$D$30,SemEval_2025_T2!$D$54,SemEval_2025_T2!$D$78)</f>
        <v>#REF!</v>
      </c>
      <c r="E15" s="68" t="str">
        <f>IFERROR(__xludf.DUMMYFUNCTION("FILTER(RawData_Ensembles!$C$1:$C$98, 
  REGEXMATCH(RawData_Ensembles!$A$1:$A$98, ""(?i)"" &amp; $A$14), 
  REGEXMATCH(RawData_Ensembles!$A$1:$A$98, ""(?i)"" &amp; $E$12), REGEXMATCH(RawData_Ensembles!$A$1:$A$98, ""(?i)"" &amp; $B$15), REGEXMATCH(RawData_Ensembles!$A$"&amp;"1:$A$98, ""(?i)no_no"")
)"),"#N/A")</f>
        <v>#N/A</v>
      </c>
      <c r="F15" s="68" t="str">
        <f>IFERROR(__xludf.DUMMYFUNCTION("FILTER(RawData_Ensembles!$D$1:$D$98, 
  REGEXMATCH(RawData_Ensembles!$A$1:$A$98, ""(?i)"" &amp; $A$14), 
  REGEXMATCH(RawData_Ensembles!$A$1:$A$98, ""(?i)"" &amp; $E$12), REGEXMATCH(RawData_Ensembles!$A$1:$A$98, ""(?i)"" &amp; $B$15), REGEXMATCH(RawData_Ensembles!$A$"&amp;"1:$A$98, ""(?i)no_no"")
)"),"#N/A")</f>
        <v>#N/A</v>
      </c>
      <c r="G15" s="8" t="str">
        <f>AVERAGE(SemEval_2025_T2!$C$6,SemEval_2025_T2!$C$30,SemEval_2025_T2!$C$54)</f>
        <v>#REF!</v>
      </c>
      <c r="H15" s="8" t="str">
        <f>AVERAGE(SemEval_2025_T2!$D$6,SemEval_2025_T2!$D$30,SemEval_2025_T2!$D$54)</f>
        <v>#REF!</v>
      </c>
      <c r="I15" s="8" t="str">
        <f>IFERROR(__xludf.DUMMYFUNCTION("FILTER(RawData_Ensembles!$C$1:$C$98, 
  REGEXMATCH(RawData_Ensembles!$A$1:$A$98, ""(?i)"" &amp; $A$14), 
  REGEXMATCH(RawData_Ensembles!$A$1:$A$98, ""(?i)"" &amp; $I$12), REGEXMATCH(RawData_Ensembles!$A$1:$A$98, ""(?i)"" &amp; $B$15), REGEXMATCH(RawData_Ensembles!$A$"&amp;"1:$A$98, ""(?i)no_no"")
)"),"#N/A")</f>
        <v>#N/A</v>
      </c>
      <c r="J15" s="8" t="str">
        <f>IFERROR(__xludf.DUMMYFUNCTION("FILTER(RawData_Ensembles!$D$1:$D$98, 
  REGEXMATCH(RawData_Ensembles!$A$1:$A$98, ""(?i)"" &amp; $A$14), 
  REGEXMATCH(RawData_Ensembles!$A$1:$A$98, ""(?i)"" &amp; $I$12), REGEXMATCH(RawData_Ensembles!$A$1:$A$98, ""(?i)"" &amp; $B$15), REGEXMATCH(RawData_Ensembles!$A$"&amp;"1:$A$98, ""(?i)no_no"")
)"),"#N/A")</f>
        <v>#N/A</v>
      </c>
    </row>
    <row r="16">
      <c r="A16" s="67" t="s">
        <v>80</v>
      </c>
      <c r="B16" s="7" t="s">
        <v>74</v>
      </c>
      <c r="C16" s="68" t="str">
        <f>AVERAGE(SemEval_2025_T2!$E$5,SemEval_2025_T2!$E$29,SemEval_2025_T2!$E$53,SemEval_2025_T2!$E$77)</f>
        <v>#REF!</v>
      </c>
      <c r="D16" s="68" t="str">
        <f>AVERAGE(SemEval_2025_T2!$F$5,SemEval_2025_T2!$F$29,SemEval_2025_T2!$F$53,SemEval_2025_T2!$F$77)</f>
        <v>#REF!</v>
      </c>
      <c r="E16" s="68" t="str">
        <f>IFERROR(__xludf.DUMMYFUNCTION("FILTER(RawData_Ensembles!$C$1:$C$98, 
  REGEXMATCH(RawData_Ensembles!$A$1:$A$98, ""(?i)"" &amp; $A$16), 
  REGEXMATCH(RawData_Ensembles!$A$1:$A$98, ""(?i)"" &amp; $E$12), REGEXMATCH(RawData_Ensembles!$A$1:$A$98, ""(?i)"" &amp; $B$14), REGEXMATCH(RawData_Ensembles!$A$"&amp;"1:$A$98, ""(?i)no_no"")
)"),"#N/A")</f>
        <v>#N/A</v>
      </c>
      <c r="F16" s="68" t="str">
        <f>IFERROR(__xludf.DUMMYFUNCTION("FILTER(RawData_Ensembles!$D$1:$D$98, 
  REGEXMATCH(RawData_Ensembles!$A$1:$A$98, ""(?i)"" &amp; $A$16), 
  REGEXMATCH(RawData_Ensembles!$A$1:$A$98, ""(?i)"" &amp; $E$12), REGEXMATCH(RawData_Ensembles!$A$1:$A$98, ""(?i)"" &amp; $B$14), REGEXMATCH(RawData_Ensembles!$A$"&amp;"1:$A$98, ""(?i)no_no"")
)"),"#N/A")</f>
        <v>#N/A</v>
      </c>
      <c r="G16" s="8" t="str">
        <f>AVERAGE(SemEval_2025_T2!$E$5,SemEval_2025_T2!$E$29,SemEval_2025_T2!$E$53)</f>
        <v>#REF!</v>
      </c>
      <c r="H16" s="8" t="str">
        <f>AVERAGE(SemEval_2025_T2!$F$5,SemEval_2025_T2!$F$29,SemEval_2025_T2!$F$53)</f>
        <v>#REF!</v>
      </c>
      <c r="I16" s="8" t="str">
        <f>IFERROR(__xludf.DUMMYFUNCTION("FILTER(RawData_Ensembles!$C$1:$C$98, 
  REGEXMATCH(RawData_Ensembles!$A$1:$A$98, ""(?i)"" &amp; $A$16), 
  REGEXMATCH(RawData_Ensembles!$A$1:$A$98, ""(?i)"" &amp; $I$12), REGEXMATCH(RawData_Ensembles!$A$1:$A$98, ""(?i)"" &amp; $B$14), REGEXMATCH(RawData_Ensembles!$A$"&amp;"1:$A$98, ""(?i)no_no"")
)"),"#N/A")</f>
        <v>#N/A</v>
      </c>
      <c r="J16" s="8" t="str">
        <f>IFERROR(__xludf.DUMMYFUNCTION("FILTER(RawData_Ensembles!$D$1:$D$98, 
  REGEXMATCH(RawData_Ensembles!$A$1:$A$98, ""(?i)"" &amp; $A$16), 
  REGEXMATCH(RawData_Ensembles!$A$1:$A$98, ""(?i)"" &amp; $I$12), REGEXMATCH(RawData_Ensembles!$A$1:$A$98, ""(?i)"" &amp; $B$14), REGEXMATCH(RawData_Ensembles!$A$"&amp;"1:$A$98, ""(?i)no_no"")
)"),"#N/A")</f>
        <v>#N/A</v>
      </c>
    </row>
    <row r="17">
      <c r="A17" s="67"/>
      <c r="B17" s="7" t="s">
        <v>75</v>
      </c>
      <c r="C17" s="68" t="str">
        <f>AVERAGE(SemEval_2025_T2!$E$6,SemEval_2025_T2!$E$30,SemEval_2025_T2!$E$54,SemEval_2025_T2!$E$78)</f>
        <v>#REF!</v>
      </c>
      <c r="D17" s="68" t="str">
        <f>AVERAGE(SemEval_2025_T2!$F$6,SemEval_2025_T2!$F$30,SemEval_2025_T2!$F$54,SemEval_2025_T2!$F$78)</f>
        <v>#REF!</v>
      </c>
      <c r="E17" s="68" t="str">
        <f>IFERROR(__xludf.DUMMYFUNCTION("FILTER(RawData_Ensembles!$C$1:$C$98, 
  REGEXMATCH(RawData_Ensembles!$A$1:$A$98, ""(?i)"" &amp; $A$16), 
  REGEXMATCH(RawData_Ensembles!$A$1:$A$98, ""(?i)"" &amp; $E$12), REGEXMATCH(RawData_Ensembles!$A$1:$A$98, ""(?i)"" &amp; $B$15), REGEXMATCH(RawData_Ensembles!$A$"&amp;"1:$A$98, ""(?i)no_no"")
)"),"#N/A")</f>
        <v>#N/A</v>
      </c>
      <c r="F17" s="68" t="str">
        <f>IFERROR(__xludf.DUMMYFUNCTION("FILTER(RawData_Ensembles!$D$1:$D$98, 
  REGEXMATCH(RawData_Ensembles!$A$1:$A$98, ""(?i)"" &amp; $A$16), 
  REGEXMATCH(RawData_Ensembles!$A$1:$A$98, ""(?i)"" &amp; $E$12), REGEXMATCH(RawData_Ensembles!$A$1:$A$98, ""(?i)"" &amp; $B$15), REGEXMATCH(RawData_Ensembles!$A$"&amp;"1:$A$98, ""(?i)no_no"")
)"),"#N/A")</f>
        <v>#N/A</v>
      </c>
      <c r="G17" s="8" t="str">
        <f>AVERAGE(SemEval_2025_T2!$E$6,SemEval_2025_T2!$E$30,SemEval_2025_T2!$E$54)</f>
        <v>#REF!</v>
      </c>
      <c r="H17" s="8" t="str">
        <f>AVERAGE(SemEval_2025_T2!$F$6,SemEval_2025_T2!$F$30,SemEval_2025_T2!$F$54)</f>
        <v>#REF!</v>
      </c>
      <c r="I17" s="8" t="str">
        <f>IFERROR(__xludf.DUMMYFUNCTION("FILTER(RawData_Ensembles!$C$1:$C$98, 
  REGEXMATCH(RawData_Ensembles!$A$1:$A$98, ""(?i)"" &amp; $A$16), 
  REGEXMATCH(RawData_Ensembles!$A$1:$A$98, ""(?i)"" &amp; $I$12), REGEXMATCH(RawData_Ensembles!$A$1:$A$98, ""(?i)"" &amp; $B$15), REGEXMATCH(RawData_Ensembles!$A$"&amp;"1:$A$98, ""(?i)no_no"")
)"),"#N/A")</f>
        <v>#N/A</v>
      </c>
      <c r="J17" s="8" t="str">
        <f>IFERROR(__xludf.DUMMYFUNCTION("FILTER(RawData_Ensembles!$D$1:$D$98, 
  REGEXMATCH(RawData_Ensembles!$A$1:$A$98, ""(?i)"" &amp; $A$16), 
  REGEXMATCH(RawData_Ensembles!$A$1:$A$98, ""(?i)"" &amp; $I$12), REGEXMATCH(RawData_Ensembles!$A$1:$A$98, ""(?i)"" &amp; $B$15), REGEXMATCH(RawData_Ensembles!$A$"&amp;"1:$A$98, ""(?i)no_no"")
)"),"#N/A")</f>
        <v>#N/A</v>
      </c>
    </row>
    <row r="18">
      <c r="A18" s="67" t="s">
        <v>57</v>
      </c>
      <c r="B18" s="7" t="s">
        <v>74</v>
      </c>
      <c r="C18" s="68" t="str">
        <f>AVERAGE(SemEval_2025_T2!$G$5,SemEval_2025_T2!$G$29,SemEval_2025_T2!$G$53,SemEval_2025_T2!$G$77)</f>
        <v>#REF!</v>
      </c>
      <c r="D18" s="68" t="str">
        <f>AVERAGE(SemEval_2025_T2!$H$5,SemEval_2025_T2!$H$29,SemEval_2025_T2!$H$53,SemEval_2025_T2!$H$77)</f>
        <v>#REF!</v>
      </c>
      <c r="E18" s="68" t="str">
        <f>IFERROR(__xludf.DUMMYFUNCTION("FILTER(RawData_Ensembles!$C$1:$C$98, 
  REGEXMATCH(RawData_Ensembles!$A$1:$A$98, ""(?i)"" &amp; $A$18), 
  REGEXMATCH(RawData_Ensembles!$A$1:$A$98, ""(?i)"" &amp; $E$12), REGEXMATCH(RawData_Ensembles!$A$1:$A$98, ""(?i)"" &amp; $B$14), REGEXMATCH(RawData_Ensembles!$A$"&amp;"1:$A$98, ""(?i)no_no"")
)"),"#N/A")</f>
        <v>#N/A</v>
      </c>
      <c r="F18" s="68" t="str">
        <f>IFERROR(__xludf.DUMMYFUNCTION("FILTER(RawData_Ensembles!$D$1:$D$98, 
  REGEXMATCH(RawData_Ensembles!$A$1:$A$98, ""(?i)"" &amp; $A$18), 
  REGEXMATCH(RawData_Ensembles!$A$1:$A$98, ""(?i)"" &amp; $E$12), REGEXMATCH(RawData_Ensembles!$A$1:$A$98, ""(?i)"" &amp; $B$14), REGEXMATCH(RawData_Ensembles!$A$"&amp;"1:$A$98, ""(?i)no_no"")
)"),"#N/A")</f>
        <v>#N/A</v>
      </c>
      <c r="G18" s="8" t="str">
        <f>AVERAGE(SemEval_2025_T2!$G$5,SemEval_2025_T2!$G$29,SemEval_2025_T2!$G$53)</f>
        <v>#REF!</v>
      </c>
      <c r="H18" s="8" t="str">
        <f>AVERAGE(SemEval_2025_T2!$H$5,SemEval_2025_T2!$H$29,SemEval_2025_T2!$H$53)</f>
        <v>#REF!</v>
      </c>
      <c r="I18" s="8" t="str">
        <f>IFERROR(__xludf.DUMMYFUNCTION("FILTER(RawData_Ensembles!$C$1:$C$98, 
  REGEXMATCH(RawData_Ensembles!$A$1:$A$98, ""(?i)"" &amp; $A$18), 
  REGEXMATCH(RawData_Ensembles!$A$1:$A$98, ""(?i)"" &amp; $I$12), REGEXMATCH(RawData_Ensembles!$A$1:$A$98, ""(?i)"" &amp; $B$14), REGEXMATCH(RawData_Ensembles!$A$"&amp;"1:$A$98, ""(?i)no_no"")
)"),"#N/A")</f>
        <v>#N/A</v>
      </c>
      <c r="J18" s="8" t="str">
        <f>IFERROR(__xludf.DUMMYFUNCTION("FILTER(RawData_Ensembles!$D$1:$D$98, 
  REGEXMATCH(RawData_Ensembles!$A$1:$A$98, ""(?i)"" &amp; $A$18), 
  REGEXMATCH(RawData_Ensembles!$A$1:$A$98, ""(?i)"" &amp; $I$12), REGEXMATCH(RawData_Ensembles!$A$1:$A$98, ""(?i)"" &amp; $B$14), REGEXMATCH(RawData_Ensembles!$A$"&amp;"1:$A$98, ""(?i)no_no"")
)"),"#N/A")</f>
        <v>#N/A</v>
      </c>
    </row>
    <row r="19">
      <c r="A19" s="67"/>
      <c r="B19" s="7" t="s">
        <v>75</v>
      </c>
      <c r="C19" s="68" t="str">
        <f>AVERAGE(SemEval_2025_T2!$G$6,SemEval_2025_T2!$G$30,SemEval_2025_T2!$G$54,SemEval_2025_T2!$G$78)</f>
        <v>#REF!</v>
      </c>
      <c r="D19" s="68" t="str">
        <f>AVERAGE(SemEval_2025_T2!$H$6,SemEval_2025_T2!$H$30,SemEval_2025_T2!$H$54,SemEval_2025_T2!$H$78)</f>
        <v>#REF!</v>
      </c>
      <c r="E19" s="68" t="str">
        <f>IFERROR(__xludf.DUMMYFUNCTION("FILTER(RawData_Ensembles!$C$1:$C$98, 
  REGEXMATCH(RawData_Ensembles!$A$1:$A$98, ""(?i)"" &amp; $A$18), 
  REGEXMATCH(RawData_Ensembles!$A$1:$A$98, ""(?i)"" &amp; $E$12), REGEXMATCH(RawData_Ensembles!$A$1:$A$98, ""(?i)"" &amp; $B$15), REGEXMATCH(RawData_Ensembles!$A$"&amp;"1:$A$98, ""(?i)no_no"")
)"),"#N/A")</f>
        <v>#N/A</v>
      </c>
      <c r="F19" s="68" t="str">
        <f>IFERROR(__xludf.DUMMYFUNCTION("FILTER(RawData_Ensembles!$D$1:$D$98, 
  REGEXMATCH(RawData_Ensembles!$A$1:$A$98, ""(?i)"" &amp; $A$18), 
  REGEXMATCH(RawData_Ensembles!$A$1:$A$98, ""(?i)"" &amp; $E$12), REGEXMATCH(RawData_Ensembles!$A$1:$A$98, ""(?i)"" &amp; $B$15), REGEXMATCH(RawData_Ensembles!$A$"&amp;"1:$A$98, ""(?i)no_no"")
)"),"#N/A")</f>
        <v>#N/A</v>
      </c>
      <c r="G19" s="8" t="str">
        <f>AVERAGE(SemEval_2025_T2!$G$6,SemEval_2025_T2!$G$30,SemEval_2025_T2!$G$54)</f>
        <v>#REF!</v>
      </c>
      <c r="H19" s="8" t="str">
        <f>AVERAGE(SemEval_2025_T2!$H$6,SemEval_2025_T2!$H$30,SemEval_2025_T2!$H$54)</f>
        <v>#REF!</v>
      </c>
      <c r="I19" s="8" t="str">
        <f>IFERROR(__xludf.DUMMYFUNCTION("FILTER(RawData_Ensembles!$C$1:$C$98, 
  REGEXMATCH(RawData_Ensembles!$A$1:$A$98, ""(?i)"" &amp; $A$18), 
  REGEXMATCH(RawData_Ensembles!$A$1:$A$98, ""(?i)"" &amp; $I$12), REGEXMATCH(RawData_Ensembles!$A$1:$A$98, ""(?i)"" &amp; $B$15), REGEXMATCH(RawData_Ensembles!$A$"&amp;"1:$A$98, ""(?i)no_no"")
)"),"#N/A")</f>
        <v>#N/A</v>
      </c>
      <c r="J19" s="8" t="str">
        <f>IFERROR(__xludf.DUMMYFUNCTION("FILTER(RawData_Ensembles!$D$1:$D$98, 
  REGEXMATCH(RawData_Ensembles!$A$1:$A$98, ""(?i)"" &amp; $A$18), 
  REGEXMATCH(RawData_Ensembles!$A$1:$A$98, ""(?i)"" &amp; $I$12), REGEXMATCH(RawData_Ensembles!$A$1:$A$98, ""(?i)"" &amp; $B$15), REGEXMATCH(RawData_Ensembles!$A$"&amp;"1:$A$98, ""(?i)no_no"")
)"),"#N/A")</f>
        <v>#N/A</v>
      </c>
    </row>
    <row r="21">
      <c r="C21" s="7" t="s">
        <v>82</v>
      </c>
      <c r="D21" s="7" t="s">
        <v>83</v>
      </c>
      <c r="E21" s="7" t="s">
        <v>82</v>
      </c>
      <c r="F21" s="7" t="s">
        <v>83</v>
      </c>
    </row>
    <row r="22">
      <c r="B22" s="7" t="s">
        <v>74</v>
      </c>
      <c r="C22" s="11" t="str">
        <f t="shared" ref="C22:D22" si="1">E14-C14</f>
        <v>#N/A</v>
      </c>
      <c r="D22" s="11" t="str">
        <f t="shared" si="1"/>
        <v>#N/A</v>
      </c>
      <c r="E22" s="11" t="str">
        <f t="shared" ref="E22:F22" si="2">I14-G14</f>
        <v>#N/A</v>
      </c>
      <c r="F22" s="11" t="str">
        <f t="shared" si="2"/>
        <v>#N/A</v>
      </c>
    </row>
    <row r="23">
      <c r="B23" s="7" t="s">
        <v>75</v>
      </c>
      <c r="C23" s="11" t="str">
        <f t="shared" ref="C23:D23" si="3">E15-C15</f>
        <v>#N/A</v>
      </c>
      <c r="D23" s="11" t="str">
        <f t="shared" si="3"/>
        <v>#N/A</v>
      </c>
      <c r="E23" s="11" t="str">
        <f t="shared" ref="E23:F23" si="4">I15-G15</f>
        <v>#N/A</v>
      </c>
      <c r="F23" s="11" t="str">
        <f t="shared" si="4"/>
        <v>#N/A</v>
      </c>
    </row>
    <row r="24">
      <c r="B24" s="7" t="s">
        <v>74</v>
      </c>
      <c r="C24" s="11" t="str">
        <f t="shared" ref="C24:D24" si="5">E16-C16</f>
        <v>#N/A</v>
      </c>
      <c r="D24" s="11" t="str">
        <f t="shared" si="5"/>
        <v>#N/A</v>
      </c>
      <c r="E24" s="11" t="str">
        <f t="shared" ref="E24:F24" si="6">I16-G16</f>
        <v>#N/A</v>
      </c>
      <c r="F24" s="11" t="str">
        <f t="shared" si="6"/>
        <v>#N/A</v>
      </c>
    </row>
    <row r="25">
      <c r="B25" s="7" t="s">
        <v>75</v>
      </c>
      <c r="C25" s="11" t="str">
        <f t="shared" ref="C25:D25" si="7">E17-C17</f>
        <v>#N/A</v>
      </c>
      <c r="D25" s="11" t="str">
        <f t="shared" si="7"/>
        <v>#N/A</v>
      </c>
      <c r="E25" s="11" t="str">
        <f t="shared" ref="E25:F25" si="8">I17-G17</f>
        <v>#N/A</v>
      </c>
      <c r="F25" s="11" t="str">
        <f t="shared" si="8"/>
        <v>#N/A</v>
      </c>
    </row>
    <row r="26">
      <c r="B26" s="7" t="s">
        <v>74</v>
      </c>
      <c r="C26" s="11" t="str">
        <f t="shared" ref="C26:D26" si="9">E18-C18</f>
        <v>#N/A</v>
      </c>
      <c r="D26" s="11" t="str">
        <f t="shared" si="9"/>
        <v>#N/A</v>
      </c>
      <c r="E26" s="11" t="str">
        <f t="shared" ref="E26:F26" si="10">I18-G18</f>
        <v>#N/A</v>
      </c>
      <c r="F26" s="11" t="str">
        <f t="shared" si="10"/>
        <v>#N/A</v>
      </c>
    </row>
    <row r="27">
      <c r="B27" s="7" t="s">
        <v>75</v>
      </c>
      <c r="C27" s="11" t="str">
        <f t="shared" ref="C27:D27" si="11">E19-C19</f>
        <v>#N/A</v>
      </c>
      <c r="D27" s="11" t="str">
        <f t="shared" si="11"/>
        <v>#N/A</v>
      </c>
      <c r="E27" s="11" t="str">
        <f t="shared" ref="E27:F27" si="12">I19-G19</f>
        <v>#N/A</v>
      </c>
      <c r="F27" s="11" t="str">
        <f t="shared" si="12"/>
        <v>#N/A</v>
      </c>
    </row>
    <row r="28">
      <c r="B28" s="7" t="s">
        <v>84</v>
      </c>
      <c r="C28" s="11">
        <f t="shared" ref="C28:F28" si="13">COUNTIF(C22:C27,"&gt;0")</f>
        <v>0</v>
      </c>
      <c r="D28" s="11">
        <f t="shared" si="13"/>
        <v>0</v>
      </c>
      <c r="E28" s="11">
        <f t="shared" si="13"/>
        <v>0</v>
      </c>
      <c r="F28" s="11">
        <f t="shared" si="13"/>
        <v>0</v>
      </c>
      <c r="G28" s="11">
        <f>SUM(C28:F28)*100/24</f>
        <v>0</v>
      </c>
    </row>
    <row r="29">
      <c r="B29" s="7" t="s">
        <v>74</v>
      </c>
      <c r="C29" s="11">
        <f t="shared" ref="C29:F29" si="14">COUNTIF(C22,"&gt;0") + COUNTIF(C24,"&gt;0") + COUNTIF(C26,"&gt;0")</f>
        <v>0</v>
      </c>
      <c r="D29" s="11">
        <f t="shared" si="14"/>
        <v>0</v>
      </c>
      <c r="E29" s="11">
        <f t="shared" si="14"/>
        <v>0</v>
      </c>
      <c r="F29" s="11">
        <f t="shared" si="14"/>
        <v>0</v>
      </c>
      <c r="G29" s="11">
        <f t="shared" ref="G29:G30" si="16">SUM(C29:F29)*100/12</f>
        <v>0</v>
      </c>
    </row>
    <row r="30">
      <c r="B30" s="7" t="s">
        <v>75</v>
      </c>
      <c r="C30" s="11">
        <f t="shared" ref="C30:F30" si="15">COUNTIF(C23,"&gt;0") + COUNTIF(C25,"&gt;0") + COUNTIF(C27,"&gt;0")</f>
        <v>0</v>
      </c>
      <c r="D30" s="11">
        <f t="shared" si="15"/>
        <v>0</v>
      </c>
      <c r="E30" s="11">
        <f t="shared" si="15"/>
        <v>0</v>
      </c>
      <c r="F30" s="11">
        <f t="shared" si="15"/>
        <v>0</v>
      </c>
      <c r="G30" s="11">
        <f t="shared" si="16"/>
        <v>0</v>
      </c>
    </row>
    <row r="33">
      <c r="A33" s="7" t="s">
        <v>26</v>
      </c>
      <c r="B33" s="7"/>
      <c r="C33" s="66" t="s">
        <v>70</v>
      </c>
      <c r="D33" s="66" t="s">
        <v>70</v>
      </c>
      <c r="E33" s="66" t="s">
        <v>76</v>
      </c>
      <c r="F33" s="66" t="s">
        <v>76</v>
      </c>
      <c r="G33" s="61" t="s">
        <v>72</v>
      </c>
      <c r="H33" s="61" t="s">
        <v>72</v>
      </c>
      <c r="I33" s="61" t="s">
        <v>73</v>
      </c>
      <c r="J33" s="61" t="s">
        <v>73</v>
      </c>
    </row>
    <row r="34">
      <c r="B34" s="7"/>
      <c r="C34" s="66" t="s">
        <v>77</v>
      </c>
      <c r="D34" s="66" t="s">
        <v>78</v>
      </c>
      <c r="E34" s="66" t="s">
        <v>77</v>
      </c>
      <c r="F34" s="66" t="s">
        <v>78</v>
      </c>
      <c r="G34" s="61" t="s">
        <v>77</v>
      </c>
      <c r="H34" s="61" t="s">
        <v>78</v>
      </c>
      <c r="I34" s="61" t="s">
        <v>77</v>
      </c>
      <c r="J34" s="61" t="s">
        <v>78</v>
      </c>
    </row>
    <row r="35">
      <c r="A35" s="67" t="s">
        <v>79</v>
      </c>
      <c r="B35" s="7" t="s">
        <v>74</v>
      </c>
      <c r="C35" s="68" t="str">
        <f>AVERAGE(SemEval_2025_T2!$C$8,SemEval_2025_T2!$C$32,SemEval_2025_T2!$C$56,SemEval_2025_T2!$C$80)</f>
        <v>#REF!</v>
      </c>
      <c r="D35" s="68" t="str">
        <f>AVERAGE(SemEval_2025_T2!$D$8,SemEval_2025_T2!$D$32,SemEval_2025_T2!$D$56,SemEval_2025_T2!$D$80)</f>
        <v>#REF!</v>
      </c>
      <c r="E35" s="68" t="str">
        <f>IFERROR(__xludf.DUMMYFUNCTION("FILTER(RawData_Ensembles!$C$1:$C$98, 
  REGEXMATCH(RawData_Ensembles!$A$1:$A$98, ""(?i)"" &amp; $A$14), 
  REGEXMATCH(RawData_Ensembles!$A$1:$A$98, ""(?i)"" &amp; $E$12), REGEXMATCH(RawData_Ensembles!$A$1:$A$98, ""(?i)"" &amp; $B$14), REGEXMATCH(RawData_Ensembles!$A$"&amp;"1:$A$98, ""(?i)original_original"")
)"),"#N/A")</f>
        <v>#N/A</v>
      </c>
      <c r="F35" s="68" t="str">
        <f>IFERROR(__xludf.DUMMYFUNCTION("FILTER(RawData_Ensembles!$D$1:$D$98, 
  REGEXMATCH(RawData_Ensembles!$A$1:$A$98, ""(?i)"" &amp; $A$14), 
  REGEXMATCH(RawData_Ensembles!$A$1:$A$98, ""(?i)"" &amp; $E$12), REGEXMATCH(RawData_Ensembles!$A$1:$A$98, ""(?i)"" &amp; $B$14), REGEXMATCH(RawData_Ensembles!$A$"&amp;"1:$A$98, ""(?i)original_original"")
)"),"#N/A")</f>
        <v>#N/A</v>
      </c>
      <c r="G35" s="68" t="str">
        <f>AVERAGE(SemEval_2025_T2!$C$8,SemEval_2025_T2!$C$32,SemEval_2025_T2!$C$56)</f>
        <v>#REF!</v>
      </c>
      <c r="H35" s="68" t="str">
        <f>AVERAGE(SemEval_2025_T2!$D$8,SemEval_2025_T2!$D$32,SemEval_2025_T2!$D$56)</f>
        <v>#REF!</v>
      </c>
      <c r="I35" s="8" t="str">
        <f>IFERROR(__xludf.DUMMYFUNCTION("FILTER(RawData_Ensembles!$C$1:$C$98, 
  REGEXMATCH(RawData_Ensembles!$A$1:$A$98, ""(?i)"" &amp; $A$14), 
  REGEXMATCH(RawData_Ensembles!$A$1:$A$98, ""(?i)"" &amp; $I$12), REGEXMATCH(RawData_Ensembles!$A$1:$A$98, ""(?i)"" &amp; $B$14), REGEXMATCH(RawData_Ensembles!$A$"&amp;"1:$A$98, ""(?i)original_original"")
)"),"#N/A")</f>
        <v>#N/A</v>
      </c>
      <c r="J35" s="8" t="str">
        <f>IFERROR(__xludf.DUMMYFUNCTION("FILTER(RawData_Ensembles!$D$1:$D$98, 
  REGEXMATCH(RawData_Ensembles!$A$1:$A$98, ""(?i)"" &amp; $A$14), 
  REGEXMATCH(RawData_Ensembles!$A$1:$A$98, ""(?i)"" &amp; $I$12), REGEXMATCH(RawData_Ensembles!$A$1:$A$98, ""(?i)"" &amp; $B$14), REGEXMATCH(RawData_Ensembles!$A$"&amp;"1:$A$98, ""(?i)original_original"")
)"),"#N/A")</f>
        <v>#N/A</v>
      </c>
    </row>
    <row r="36">
      <c r="A36" s="67"/>
      <c r="B36" s="7" t="s">
        <v>75</v>
      </c>
      <c r="C36" s="68" t="str">
        <f>AVERAGE(SemEval_2025_T2!$C$9,SemEval_2025_T2!$C$39,SemEval_2025_T2!$C$57,SemEval_2025_T2!$C$81)</f>
        <v>#REF!</v>
      </c>
      <c r="D36" s="68" t="str">
        <f>AVERAGE(SemEval_2025_T2!$D$9,SemEval_2025_T2!$D$39,SemEval_2025_T2!$D$57,SemEval_2025_T2!$D$81)</f>
        <v>#REF!</v>
      </c>
      <c r="E36" s="68" t="str">
        <f>IFERROR(__xludf.DUMMYFUNCTION("FILTER(RawData_Ensembles!$C$1:$C$98, 
  REGEXMATCH(RawData_Ensembles!$A$1:$A$98, ""(?i)"" &amp; $A$14), 
  REGEXMATCH(RawData_Ensembles!$A$1:$A$98, ""(?i)"" &amp; $E$12), REGEXMATCH(RawData_Ensembles!$A$1:$A$98, ""(?i)"" &amp; $B$15), REGEXMATCH(RawData_Ensembles!$A$"&amp;"1:$A$98, ""(?i)original_original"")
)"),"#N/A")</f>
        <v>#N/A</v>
      </c>
      <c r="F36" s="68" t="str">
        <f>IFERROR(__xludf.DUMMYFUNCTION("FILTER(RawData_Ensembles!$D$1:$D$98, 
  REGEXMATCH(RawData_Ensembles!$A$1:$A$98, ""(?i)"" &amp; $A$14), 
  REGEXMATCH(RawData_Ensembles!$A$1:$A$98, ""(?i)"" &amp; $E$12), REGEXMATCH(RawData_Ensembles!$A$1:$A$98, ""(?i)"" &amp; $B$15), REGEXMATCH(RawData_Ensembles!$A$"&amp;"1:$A$98, ""(?i)original_original"")
)"),"#N/A")</f>
        <v>#N/A</v>
      </c>
      <c r="G36" s="68" t="str">
        <f>AVERAGE(SemEval_2025_T2!$C$9,SemEval_2025_T2!$C$39,SemEval_2025_T2!$C$57)</f>
        <v>#REF!</v>
      </c>
      <c r="H36" s="68" t="str">
        <f>AVERAGE(SemEval_2025_T2!$D$9,SemEval_2025_T2!$D$39,SemEval_2025_T2!$D$57)</f>
        <v>#REF!</v>
      </c>
      <c r="I36" s="8" t="str">
        <f>IFERROR(__xludf.DUMMYFUNCTION("FILTER(RawData_Ensembles!$C$1:$C$98, 
  REGEXMATCH(RawData_Ensembles!$A$1:$A$98, ""(?i)"" &amp; $A$14), 
  REGEXMATCH(RawData_Ensembles!$A$1:$A$98, ""(?i)"" &amp; $I$12), REGEXMATCH(RawData_Ensembles!$A$1:$A$98, ""(?i)"" &amp; $B$15), REGEXMATCH(RawData_Ensembles!$A$"&amp;"1:$A$98, ""(?i)original_original"")
)"),"#N/A")</f>
        <v>#N/A</v>
      </c>
      <c r="J36" s="8" t="str">
        <f>IFERROR(__xludf.DUMMYFUNCTION("FILTER(RawData_Ensembles!$D$1:$D$98, 
  REGEXMATCH(RawData_Ensembles!$A$1:$A$98, ""(?i)"" &amp; $A$14), 
  REGEXMATCH(RawData_Ensembles!$A$1:$A$98, ""(?i)"" &amp; $I$12), REGEXMATCH(RawData_Ensembles!$A$1:$A$98, ""(?i)"" &amp; $B$15), REGEXMATCH(RawData_Ensembles!$A$"&amp;"1:$A$98, ""(?i)original_original"")
)"),"#N/A")</f>
        <v>#N/A</v>
      </c>
    </row>
    <row r="37">
      <c r="A37" s="67" t="s">
        <v>80</v>
      </c>
      <c r="B37" s="7" t="s">
        <v>74</v>
      </c>
      <c r="C37" s="68" t="str">
        <f>AVERAGE(SemEval_2025_T2!$E$8,SemEval_2025_T2!$E$32,SemEval_2025_T2!$E$56,SemEval_2025_T2!$E$80)</f>
        <v>#REF!</v>
      </c>
      <c r="D37" s="68" t="str">
        <f>AVERAGE(SemEval_2025_T2!$F$8,SemEval_2025_T2!$F$32,SemEval_2025_T2!$F$56,SemEval_2025_T2!$F$80)</f>
        <v>#REF!</v>
      </c>
      <c r="E37" s="68" t="str">
        <f>IFERROR(__xludf.DUMMYFUNCTION("FILTER(RawData_Ensembles!$C$1:$C$98, 
  REGEXMATCH(RawData_Ensembles!$A$1:$A$98, ""(?i)"" &amp; $A$16), 
  REGEXMATCH(RawData_Ensembles!$A$1:$A$98, ""(?i)"" &amp; $E$12), REGEXMATCH(RawData_Ensembles!$A$1:$A$98, ""(?i)"" &amp; $B$14), REGEXMATCH(RawData_Ensembles!$A$"&amp;"1:$A$98, ""(?i)original_original"")
)"),"#N/A")</f>
        <v>#N/A</v>
      </c>
      <c r="F37" s="68" t="str">
        <f>IFERROR(__xludf.DUMMYFUNCTION("FILTER(RawData_Ensembles!$D$1:$D$98, 
  REGEXMATCH(RawData_Ensembles!$A$1:$A$98, ""(?i)"" &amp; $A$16), 
  REGEXMATCH(RawData_Ensembles!$A$1:$A$98, ""(?i)"" &amp; $E$12), REGEXMATCH(RawData_Ensembles!$A$1:$A$98, ""(?i)"" &amp; $B$14), REGEXMATCH(RawData_Ensembles!$A$"&amp;"1:$A$98, ""(?i)original_original"")
)"),"#N/A")</f>
        <v>#N/A</v>
      </c>
      <c r="G37" s="68" t="str">
        <f>AVERAGE(SemEval_2025_T2!$E$8,SemEval_2025_T2!$E$32,SemEval_2025_T2!$E$56)</f>
        <v>#REF!</v>
      </c>
      <c r="H37" s="68" t="str">
        <f>AVERAGE(SemEval_2025_T2!$F$8,SemEval_2025_T2!$F$32,SemEval_2025_T2!$F$56)</f>
        <v>#REF!</v>
      </c>
      <c r="I37" s="8" t="str">
        <f>IFERROR(__xludf.DUMMYFUNCTION("FILTER(RawData_Ensembles!$C$1:$C$98, 
  REGEXMATCH(RawData_Ensembles!$A$1:$A$98, ""(?i)"" &amp; $A$16), 
  REGEXMATCH(RawData_Ensembles!$A$1:$A$98, ""(?i)"" &amp; $I$12), REGEXMATCH(RawData_Ensembles!$A$1:$A$98, ""(?i)"" &amp; $B$14), REGEXMATCH(RawData_Ensembles!$A$"&amp;"1:$A$98, ""(?i)original_original"")
)"),"#N/A")</f>
        <v>#N/A</v>
      </c>
      <c r="J37" s="8" t="str">
        <f>IFERROR(__xludf.DUMMYFUNCTION("FILTER(RawData_Ensembles!$D$1:$D$98, 
  REGEXMATCH(RawData_Ensembles!$A$1:$A$98, ""(?i)"" &amp; $A$16), 
  REGEXMATCH(RawData_Ensembles!$A$1:$A$98, ""(?i)"" &amp; $I$12), REGEXMATCH(RawData_Ensembles!$A$1:$A$98, ""(?i)"" &amp; $B$14), REGEXMATCH(RawData_Ensembles!$A$"&amp;"1:$A$98, ""(?i)original_original"")
)"),"#N/A")</f>
        <v>#N/A</v>
      </c>
    </row>
    <row r="38">
      <c r="A38" s="67"/>
      <c r="B38" s="7" t="s">
        <v>75</v>
      </c>
      <c r="C38" s="68" t="str">
        <f>AVERAGE(SemEval_2025_T2!$E$9,SemEval_2025_T2!$E$39,SemEval_2025_T2!$E$57,SemEval_2025_T2!$E$81)</f>
        <v>#REF!</v>
      </c>
      <c r="D38" s="68" t="str">
        <f>AVERAGE(SemEval_2025_T2!$F$9,SemEval_2025_T2!$F$39,SemEval_2025_T2!$F$57,SemEval_2025_T2!$F$81)</f>
        <v>#REF!</v>
      </c>
      <c r="E38" s="68" t="str">
        <f>IFERROR(__xludf.DUMMYFUNCTION("FILTER(RawData_Ensembles!$C$1:$C$98, 
  REGEXMATCH(RawData_Ensembles!$A$1:$A$98, ""(?i)"" &amp; $A$16), 
  REGEXMATCH(RawData_Ensembles!$A$1:$A$98, ""(?i)"" &amp; $E$12), REGEXMATCH(RawData_Ensembles!$A$1:$A$98, ""(?i)"" &amp; $B$15), REGEXMATCH(RawData_Ensembles!$A$"&amp;"1:$A$98, ""(?i)original_original"")
)"),"#N/A")</f>
        <v>#N/A</v>
      </c>
      <c r="F38" s="68" t="str">
        <f>IFERROR(__xludf.DUMMYFUNCTION("FILTER(RawData_Ensembles!$D$1:$D$98, 
  REGEXMATCH(RawData_Ensembles!$A$1:$A$98, ""(?i)"" &amp; $A$16), 
  REGEXMATCH(RawData_Ensembles!$A$1:$A$98, ""(?i)"" &amp; $E$12), REGEXMATCH(RawData_Ensembles!$A$1:$A$98, ""(?i)"" &amp; $B$15), REGEXMATCH(RawData_Ensembles!$A$"&amp;"1:$A$98, ""(?i)original_original"")
)"),"#N/A")</f>
        <v>#N/A</v>
      </c>
      <c r="G38" s="68" t="str">
        <f>AVERAGE(SemEval_2025_T2!$E$9,SemEval_2025_T2!$E$39,SemEval_2025_T2!$E$57)</f>
        <v>#REF!</v>
      </c>
      <c r="H38" s="68" t="str">
        <f>AVERAGE(SemEval_2025_T2!$F$9,SemEval_2025_T2!$F$39,SemEval_2025_T2!$F$57)</f>
        <v>#REF!</v>
      </c>
      <c r="I38" s="8" t="str">
        <f>IFERROR(__xludf.DUMMYFUNCTION("FILTER(RawData_Ensembles!$C$1:$C$98, 
  REGEXMATCH(RawData_Ensembles!$A$1:$A$98, ""(?i)"" &amp; $A$16), 
  REGEXMATCH(RawData_Ensembles!$A$1:$A$98, ""(?i)"" &amp; $I$12), REGEXMATCH(RawData_Ensembles!$A$1:$A$98, ""(?i)"" &amp; $B$15), REGEXMATCH(RawData_Ensembles!$A$"&amp;"1:$A$98, ""(?i)original_original"")
)"),"#N/A")</f>
        <v>#N/A</v>
      </c>
      <c r="J38" s="8" t="str">
        <f>IFERROR(__xludf.DUMMYFUNCTION("FILTER(RawData_Ensembles!$D$1:$D$98, 
  REGEXMATCH(RawData_Ensembles!$A$1:$A$98, ""(?i)"" &amp; $A$16), 
  REGEXMATCH(RawData_Ensembles!$A$1:$A$98, ""(?i)"" &amp; $I$12), REGEXMATCH(RawData_Ensembles!$A$1:$A$98, ""(?i)"" &amp; $B$15), REGEXMATCH(RawData_Ensembles!$A$"&amp;"1:$A$98, ""(?i)original_original"")
)"),"#N/A")</f>
        <v>#N/A</v>
      </c>
    </row>
    <row r="39">
      <c r="A39" s="67" t="s">
        <v>57</v>
      </c>
      <c r="B39" s="7" t="s">
        <v>74</v>
      </c>
      <c r="C39" s="68" t="str">
        <f>AVERAGE(SemEval_2025_T2!$G$8,SemEval_2025_T2!$G$32,SemEval_2025_T2!$G$56,SemEval_2025_T2!$G$80)</f>
        <v>#REF!</v>
      </c>
      <c r="D39" s="68" t="str">
        <f>AVERAGE(SemEval_2025_T2!$H$8,SemEval_2025_T2!$H$32,SemEval_2025_T2!$H$56,SemEval_2025_T2!$H$80)</f>
        <v>#REF!</v>
      </c>
      <c r="E39" s="68" t="str">
        <f>IFERROR(__xludf.DUMMYFUNCTION("FILTER(RawData_Ensembles!$C$1:$C$98, 
  REGEXMATCH(RawData_Ensembles!$A$1:$A$98, ""(?i)"" &amp; $A$18), 
  REGEXMATCH(RawData_Ensembles!$A$1:$A$98, ""(?i)"" &amp; $E$12), REGEXMATCH(RawData_Ensembles!$A$1:$A$98, ""(?i)"" &amp; $B$14), REGEXMATCH(RawData_Ensembles!$A$"&amp;"1:$A$98, ""(?i)original_original"")
)"),"#N/A")</f>
        <v>#N/A</v>
      </c>
      <c r="F39" s="68" t="str">
        <f>IFERROR(__xludf.DUMMYFUNCTION("FILTER(RawData_Ensembles!$D$1:$D$98, 
  REGEXMATCH(RawData_Ensembles!$A$1:$A$98, ""(?i)"" &amp; $A$18), 
  REGEXMATCH(RawData_Ensembles!$A$1:$A$98, ""(?i)"" &amp; $E$12), REGEXMATCH(RawData_Ensembles!$A$1:$A$98, ""(?i)"" &amp; $B$14), REGEXMATCH(RawData_Ensembles!$A$"&amp;"1:$A$98, ""(?i)original_original"")
)"),"#N/A")</f>
        <v>#N/A</v>
      </c>
      <c r="G39" s="68" t="str">
        <f>AVERAGE(SemEval_2025_T2!$G$8,SemEval_2025_T2!$G$32,SemEval_2025_T2!$G$56)</f>
        <v>#REF!</v>
      </c>
      <c r="H39" s="68" t="str">
        <f>AVERAGE(SemEval_2025_T2!$H$8,SemEval_2025_T2!$H$32,SemEval_2025_T2!$H$56)</f>
        <v>#REF!</v>
      </c>
      <c r="I39" s="8" t="str">
        <f>IFERROR(__xludf.DUMMYFUNCTION("FILTER(RawData_Ensembles!$C$1:$C$98, 
  REGEXMATCH(RawData_Ensembles!$A$1:$A$98, ""(?i)"" &amp; $A$18), 
  REGEXMATCH(RawData_Ensembles!$A$1:$A$98, ""(?i)"" &amp; $I$12), REGEXMATCH(RawData_Ensembles!$A$1:$A$98, ""(?i)"" &amp; $B$14), REGEXMATCH(RawData_Ensembles!$A$"&amp;"1:$A$98, ""(?i)original_original"")
)"),"#N/A")</f>
        <v>#N/A</v>
      </c>
      <c r="J39" s="8" t="str">
        <f>IFERROR(__xludf.DUMMYFUNCTION("FILTER(RawData_Ensembles!$D$1:$D$98, 
  REGEXMATCH(RawData_Ensembles!$A$1:$A$98, ""(?i)"" &amp; $A$18), 
  REGEXMATCH(RawData_Ensembles!$A$1:$A$98, ""(?i)"" &amp; $I$12), REGEXMATCH(RawData_Ensembles!$A$1:$A$98, ""(?i)"" &amp; $B$14), REGEXMATCH(RawData_Ensembles!$A$"&amp;"1:$A$98, ""(?i)original_original"")
)"),"#N/A")</f>
        <v>#N/A</v>
      </c>
    </row>
    <row r="40">
      <c r="A40" s="67"/>
      <c r="B40" s="7" t="s">
        <v>75</v>
      </c>
      <c r="C40" s="68" t="str">
        <f>AVERAGE(SemEval_2025_T2!$G$9,SemEval_2025_T2!$G$39,SemEval_2025_T2!$G$57,SemEval_2025_T2!$G$81)</f>
        <v>#REF!</v>
      </c>
      <c r="D40" s="68" t="str">
        <f>AVERAGE(SemEval_2025_T2!$H$9,SemEval_2025_T2!$H$39,SemEval_2025_T2!$H$57,SemEval_2025_T2!$H$81)</f>
        <v>#REF!</v>
      </c>
      <c r="E40" s="68" t="str">
        <f>IFERROR(__xludf.DUMMYFUNCTION("FILTER(RawData_Ensembles!$C$1:$C$98, 
  REGEXMATCH(RawData_Ensembles!$A$1:$A$98, ""(?i)"" &amp; $A$18), 
  REGEXMATCH(RawData_Ensembles!$A$1:$A$98, ""(?i)"" &amp; $E$12), REGEXMATCH(RawData_Ensembles!$A$1:$A$98, ""(?i)"" &amp; $B$15), REGEXMATCH(RawData_Ensembles!$A$"&amp;"1:$A$98, ""(?i)original_original"")
)"),"#N/A")</f>
        <v>#N/A</v>
      </c>
      <c r="F40" s="68" t="str">
        <f>IFERROR(__xludf.DUMMYFUNCTION("FILTER(RawData_Ensembles!$D$1:$D$98, 
  REGEXMATCH(RawData_Ensembles!$A$1:$A$98, ""(?i)"" &amp; $A$18), 
  REGEXMATCH(RawData_Ensembles!$A$1:$A$98, ""(?i)"" &amp; $E$12), REGEXMATCH(RawData_Ensembles!$A$1:$A$98, ""(?i)"" &amp; $B$15), REGEXMATCH(RawData_Ensembles!$A$"&amp;"1:$A$98, ""(?i)original_original"")
)"),"#N/A")</f>
        <v>#N/A</v>
      </c>
      <c r="G40" s="68" t="str">
        <f>AVERAGE(SemEval_2025_T2!$G$9,SemEval_2025_T2!$G$39,SemEval_2025_T2!$G$57)</f>
        <v>#REF!</v>
      </c>
      <c r="H40" s="68" t="str">
        <f>AVERAGE(SemEval_2025_T2!$H$9,SemEval_2025_T2!$H$39,SemEval_2025_T2!$H$57)</f>
        <v>#REF!</v>
      </c>
      <c r="I40" s="8" t="str">
        <f>IFERROR(__xludf.DUMMYFUNCTION("FILTER(RawData_Ensembles!$C$1:$C$98, 
  REGEXMATCH(RawData_Ensembles!$A$1:$A$98, ""(?i)"" &amp; $A$18), 
  REGEXMATCH(RawData_Ensembles!$A$1:$A$98, ""(?i)"" &amp; $I$12), REGEXMATCH(RawData_Ensembles!$A$1:$A$98, ""(?i)"" &amp; $B$15), REGEXMATCH(RawData_Ensembles!$A$"&amp;"1:$A$98, ""(?i)original_original"")
)"),"#N/A")</f>
        <v>#N/A</v>
      </c>
      <c r="J40" s="8" t="str">
        <f>IFERROR(__xludf.DUMMYFUNCTION("FILTER(RawData_Ensembles!$D$1:$D$98, 
  REGEXMATCH(RawData_Ensembles!$A$1:$A$98, ""(?i)"" &amp; $A$18), 
  REGEXMATCH(RawData_Ensembles!$A$1:$A$98, ""(?i)"" &amp; $I$12), REGEXMATCH(RawData_Ensembles!$A$1:$A$98, ""(?i)"" &amp; $B$15), REGEXMATCH(RawData_Ensembles!$A$"&amp;"1:$A$98, ""(?i)original_original"")
)"),"#N/A")</f>
        <v>#N/A</v>
      </c>
    </row>
    <row r="42">
      <c r="C42" s="7" t="s">
        <v>82</v>
      </c>
      <c r="D42" s="7" t="s">
        <v>83</v>
      </c>
      <c r="E42" s="7" t="s">
        <v>82</v>
      </c>
      <c r="F42" s="7" t="s">
        <v>83</v>
      </c>
    </row>
    <row r="43">
      <c r="B43" s="7" t="s">
        <v>74</v>
      </c>
      <c r="C43" s="11" t="str">
        <f t="shared" ref="C43:D43" si="17">E35-C35</f>
        <v>#N/A</v>
      </c>
      <c r="D43" s="11" t="str">
        <f t="shared" si="17"/>
        <v>#N/A</v>
      </c>
      <c r="E43" s="11" t="str">
        <f t="shared" ref="E43:F43" si="18">I35-G35</f>
        <v>#N/A</v>
      </c>
      <c r="F43" s="11" t="str">
        <f t="shared" si="18"/>
        <v>#N/A</v>
      </c>
    </row>
    <row r="44">
      <c r="B44" s="7" t="s">
        <v>75</v>
      </c>
      <c r="C44" s="11" t="str">
        <f t="shared" ref="C44:D44" si="19">E36-C36</f>
        <v>#N/A</v>
      </c>
      <c r="D44" s="11" t="str">
        <f t="shared" si="19"/>
        <v>#N/A</v>
      </c>
      <c r="E44" s="11" t="str">
        <f t="shared" ref="E44:F44" si="20">I36-G36</f>
        <v>#N/A</v>
      </c>
      <c r="F44" s="11" t="str">
        <f t="shared" si="20"/>
        <v>#N/A</v>
      </c>
    </row>
    <row r="45">
      <c r="B45" s="7" t="s">
        <v>74</v>
      </c>
      <c r="C45" s="11" t="str">
        <f t="shared" ref="C45:D45" si="21">E37-C37</f>
        <v>#N/A</v>
      </c>
      <c r="D45" s="11" t="str">
        <f t="shared" si="21"/>
        <v>#N/A</v>
      </c>
      <c r="E45" s="11" t="str">
        <f t="shared" ref="E45:F45" si="22">I37-G37</f>
        <v>#N/A</v>
      </c>
      <c r="F45" s="11" t="str">
        <f t="shared" si="22"/>
        <v>#N/A</v>
      </c>
    </row>
    <row r="46">
      <c r="B46" s="7" t="s">
        <v>75</v>
      </c>
      <c r="C46" s="11" t="str">
        <f t="shared" ref="C46:D46" si="23">E38-C38</f>
        <v>#N/A</v>
      </c>
      <c r="D46" s="11" t="str">
        <f t="shared" si="23"/>
        <v>#N/A</v>
      </c>
      <c r="E46" s="11" t="str">
        <f t="shared" ref="E46:F46" si="24">I38-G38</f>
        <v>#N/A</v>
      </c>
      <c r="F46" s="11" t="str">
        <f t="shared" si="24"/>
        <v>#N/A</v>
      </c>
    </row>
    <row r="47">
      <c r="B47" s="7" t="s">
        <v>74</v>
      </c>
      <c r="C47" s="11" t="str">
        <f t="shared" ref="C47:D47" si="25">E39-C39</f>
        <v>#N/A</v>
      </c>
      <c r="D47" s="11" t="str">
        <f t="shared" si="25"/>
        <v>#N/A</v>
      </c>
      <c r="E47" s="11" t="str">
        <f t="shared" ref="E47:F47" si="26">I39-G39</f>
        <v>#N/A</v>
      </c>
      <c r="F47" s="11" t="str">
        <f t="shared" si="26"/>
        <v>#N/A</v>
      </c>
    </row>
    <row r="48">
      <c r="B48" s="7" t="s">
        <v>75</v>
      </c>
      <c r="C48" s="11" t="str">
        <f t="shared" ref="C48:D48" si="27">E40-C40</f>
        <v>#N/A</v>
      </c>
      <c r="D48" s="11" t="str">
        <f t="shared" si="27"/>
        <v>#N/A</v>
      </c>
      <c r="E48" s="11" t="str">
        <f t="shared" ref="E48:F48" si="28">I40-G40</f>
        <v>#N/A</v>
      </c>
      <c r="F48" s="11" t="str">
        <f t="shared" si="28"/>
        <v>#N/A</v>
      </c>
    </row>
    <row r="49">
      <c r="B49" s="7" t="s">
        <v>84</v>
      </c>
      <c r="C49" s="11">
        <f t="shared" ref="C49:F49" si="29">COUNTIF(C43:C48,"&gt;0")</f>
        <v>0</v>
      </c>
      <c r="D49" s="11">
        <f t="shared" si="29"/>
        <v>0</v>
      </c>
      <c r="E49" s="11">
        <f t="shared" si="29"/>
        <v>0</v>
      </c>
      <c r="F49" s="11">
        <f t="shared" si="29"/>
        <v>0</v>
      </c>
      <c r="G49" s="11">
        <f>SUM(C49:F49)*100/24</f>
        <v>0</v>
      </c>
    </row>
    <row r="50">
      <c r="B50" s="7" t="s">
        <v>74</v>
      </c>
      <c r="C50" s="11">
        <f t="shared" ref="C50:F50" si="30">COUNTIF(C43,"&gt;0") + COUNTIF(C45,"&gt;0") + COUNTIF(C47,"&gt;0")</f>
        <v>0</v>
      </c>
      <c r="D50" s="11">
        <f t="shared" si="30"/>
        <v>0</v>
      </c>
      <c r="E50" s="11">
        <f t="shared" si="30"/>
        <v>0</v>
      </c>
      <c r="F50" s="11">
        <f t="shared" si="30"/>
        <v>0</v>
      </c>
      <c r="G50" s="11">
        <f t="shared" ref="G50:G51" si="32">SUM(C50:F50)*100/12</f>
        <v>0</v>
      </c>
    </row>
    <row r="51">
      <c r="B51" s="7" t="s">
        <v>75</v>
      </c>
      <c r="C51" s="11">
        <f t="shared" ref="C51:F51" si="31">COUNTIF(C44,"&gt;0") + COUNTIF(C46,"&gt;0") + COUNTIF(C48,"&gt;0")</f>
        <v>0</v>
      </c>
      <c r="D51" s="11">
        <f t="shared" si="31"/>
        <v>0</v>
      </c>
      <c r="E51" s="11">
        <f t="shared" si="31"/>
        <v>0</v>
      </c>
      <c r="F51" s="11">
        <f t="shared" si="31"/>
        <v>0</v>
      </c>
      <c r="G51" s="11">
        <f t="shared" si="32"/>
        <v>0</v>
      </c>
    </row>
    <row r="53">
      <c r="C53" s="7" t="s">
        <v>85</v>
      </c>
      <c r="D53" s="7" t="s">
        <v>86</v>
      </c>
    </row>
    <row r="54">
      <c r="A54" s="7" t="s">
        <v>87</v>
      </c>
      <c r="B54" s="7" t="s">
        <v>74</v>
      </c>
      <c r="C54" s="11" t="str">
        <f t="shared" ref="C54:C55" si="33">AVERAGE(C22,C24,C26,C43,C45,C47)</f>
        <v>#N/A</v>
      </c>
      <c r="D54" s="11" t="str">
        <f t="shared" ref="D54:D55" si="34">AVERAGE(E22,E24,E26,E43,E45,E47)</f>
        <v>#N/A</v>
      </c>
    </row>
    <row r="55">
      <c r="B55" s="7" t="s">
        <v>88</v>
      </c>
      <c r="C55" s="11" t="str">
        <f t="shared" si="33"/>
        <v>#N/A</v>
      </c>
      <c r="D55" s="11" t="str">
        <f t="shared" si="34"/>
        <v>#N/A</v>
      </c>
    </row>
    <row r="56">
      <c r="A56" s="7" t="s">
        <v>89</v>
      </c>
      <c r="B56" s="7" t="s">
        <v>90</v>
      </c>
      <c r="C56" s="11" t="str">
        <f t="shared" ref="C56:C57" si="35">AVERAGE(D22,D24,D26,D43,D45,D47)</f>
        <v>#N/A</v>
      </c>
      <c r="D56" s="11" t="str">
        <f t="shared" ref="D56:D57" si="36">AVERAGE(F22,F24,F26,F43,F45,F47)</f>
        <v>#N/A</v>
      </c>
    </row>
    <row r="57">
      <c r="B57" s="7" t="s">
        <v>88</v>
      </c>
      <c r="C57" s="11" t="str">
        <f t="shared" si="35"/>
        <v>#N/A</v>
      </c>
      <c r="D57" s="11" t="str">
        <f t="shared" si="36"/>
        <v>#N/A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5" max="6" width="12.75"/>
    <col customWidth="1" min="7" max="8" width="11.75"/>
    <col customWidth="1" min="11" max="11" width="20.75"/>
    <col customWidth="1" min="12" max="12" width="13.38"/>
    <col customWidth="1" min="15" max="17" width="20.0"/>
  </cols>
  <sheetData>
    <row r="1">
      <c r="A1" s="3"/>
      <c r="B1" s="7"/>
      <c r="C1" s="70" t="s">
        <v>68</v>
      </c>
      <c r="D1" s="7" t="s">
        <v>69</v>
      </c>
      <c r="E1" s="70" t="s">
        <v>68</v>
      </c>
      <c r="F1" s="7" t="s">
        <v>69</v>
      </c>
      <c r="G1" s="70" t="s">
        <v>68</v>
      </c>
      <c r="H1" s="7" t="s">
        <v>69</v>
      </c>
      <c r="I1" s="70" t="s">
        <v>68</v>
      </c>
      <c r="J1" s="7" t="s">
        <v>69</v>
      </c>
      <c r="K1" s="71" t="s">
        <v>68</v>
      </c>
      <c r="L1" s="66" t="s">
        <v>69</v>
      </c>
      <c r="M1" s="66" t="s">
        <v>68</v>
      </c>
      <c r="N1" s="66" t="s">
        <v>69</v>
      </c>
      <c r="O1" s="72" t="s">
        <v>68</v>
      </c>
      <c r="P1" s="61" t="s">
        <v>69</v>
      </c>
      <c r="Q1" s="61" t="s">
        <v>68</v>
      </c>
      <c r="R1" s="61" t="s">
        <v>69</v>
      </c>
    </row>
    <row r="2">
      <c r="A2" s="73" t="s">
        <v>91</v>
      </c>
      <c r="B2" s="74"/>
      <c r="C2" s="75" t="s">
        <v>13</v>
      </c>
      <c r="D2" s="74"/>
      <c r="E2" s="75" t="s">
        <v>15</v>
      </c>
      <c r="F2" s="74"/>
      <c r="G2" s="75" t="s">
        <v>16</v>
      </c>
      <c r="H2" s="74"/>
      <c r="I2" s="75" t="s">
        <v>17</v>
      </c>
      <c r="J2" s="74"/>
      <c r="K2" s="76" t="s">
        <v>70</v>
      </c>
      <c r="L2" s="76" t="s">
        <v>70</v>
      </c>
      <c r="M2" s="76" t="s">
        <v>71</v>
      </c>
      <c r="N2" s="76" t="s">
        <v>71</v>
      </c>
      <c r="O2" s="77" t="s">
        <v>72</v>
      </c>
      <c r="P2" s="77" t="s">
        <v>72</v>
      </c>
      <c r="Q2" s="77" t="s">
        <v>73</v>
      </c>
      <c r="R2" s="47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</row>
    <row r="3">
      <c r="A3" s="7" t="s">
        <v>21</v>
      </c>
      <c r="C3" s="44">
        <f>IFERROR(__xludf.DUMMYFUNCTION("FILTER(RawData_Dipro!$C$2:$C$389, 
  REGEXMATCH(RawData_Dipro!$A$2:$A$389, ""(?i)"" &amp; $A$3), 
  REGEXMATCH(RawData_Dipro!$A$2:$A$389, ""(?i)"" &amp; $C$2), REGEXMATCH(RawData_Dipro!$B$2:$B$389, ""(?i)"" &amp; $C$1), 
  NOT(REGEXMATCH(RawData_Dipro!$A$2:$A$389,  "&amp;"""(?i)ensemble"")) 
)"),0.634504615288617)</f>
        <v>0.6345046153</v>
      </c>
      <c r="D3" s="5">
        <f>IFERROR(__xludf.DUMMYFUNCTION("FILTER(RawData_Dipro!$C$2:$C$389, 
  REGEXMATCH(RawData_Dipro!$A$2:$A$389, ""(?i)"" &amp; $A$3), 
  REGEXMATCH(RawData_Dipro!$A$2:$A$389, ""(?i)"" &amp; $C$2), REGEXMATCH(RawData_Dipro!$B$2:$B$389, ""(?i)"" &amp; $D$1), 
  NOT(REGEXMATCH(RawData_Dipro!$A$2:$A$389,  "&amp;"""(?i)ensemble"")) 
)"),0.583394320061881)</f>
        <v>0.5833943201</v>
      </c>
      <c r="E3" s="44">
        <f>IFERROR(__xludf.DUMMYFUNCTION("FILTER(RawData_Dipro!$C$2:$C$389, 
  REGEXMATCH(RawData_Dipro!$A$2:$A$389, ""(?i)"" &amp; $A$3), 
  REGEXMATCH(RawData_Dipro!$A$2:$A$389, ""(?i)"" &amp; $E$2), REGEXMATCH(RawData_Dipro!$B$2:$B$389, ""(?i)"" &amp; $C$1), 
  NOT(REGEXMATCH(RawData_Dipro!$A$2:$A$389,  "&amp;"""(?i)ensemble"")) 
)"),0.612546907727468)</f>
        <v>0.6125469077</v>
      </c>
      <c r="F3" s="5">
        <f>IFERROR(__xludf.DUMMYFUNCTION("FILTER(RawData_Dipro!$C$2:$C$389, 
  REGEXMATCH(RawData_Dipro!$A$2:$A$389, ""(?i)"" &amp; $A$3), 
  REGEXMATCH(RawData_Dipro!$A$2:$A$389, ""(?i)"" &amp; $E$2), REGEXMATCH(RawData_Dipro!$B$2:$B$389, ""(?i)"" &amp; $D$1), 
  NOT(REGEXMATCH(RawData_Dipro!$A$2:$A$389,  "&amp;"""(?i)ensemble"")) 
)"),0.564694414756619)</f>
        <v>0.5646944148</v>
      </c>
      <c r="G3" s="44">
        <f>IFERROR(__xludf.DUMMYFUNCTION("FILTER(RawData_Dipro!$C$2:$C$389, 
  REGEXMATCH(RawData_Dipro!$A$2:$A$389, ""(?i)"" &amp; $A$3), 
  REGEXMATCH(RawData_Dipro!$A$2:$A$389, ""(?i)"" &amp; $G$2), REGEXMATCH(RawData_Dipro!$B$2:$B$389, ""(?i)"" &amp; $C$1), 
  NOT(REGEXMATCH(RawData_Dipro!$A$2:$A$389,  "&amp;"""(?i)ensemble"")) 
)"),0.551936514723647)</f>
        <v>0.5519365147</v>
      </c>
      <c r="H3" s="5">
        <f>IFERROR(__xludf.DUMMYFUNCTION("FILTER(RawData_Dipro!$C$2:$C$389, 
  REGEXMATCH(RawData_Dipro!$A$2:$A$389, ""(?i)"" &amp; $A$3), 
  REGEXMATCH(RawData_Dipro!$A$2:$A$389, ""(?i)"" &amp; $G$2), REGEXMATCH(RawData_Dipro!$B$2:$B$389, ""(?i)"" &amp; $D$1), 
  NOT(REGEXMATCH(RawData_Dipro!$A$2:$A$389,  "&amp;"""(?i)ensemble"")) 
)"),0.498994997427713)</f>
        <v>0.4989949974</v>
      </c>
      <c r="I3" s="44">
        <f>IFERROR(__xludf.DUMMYFUNCTION("FILTER(RawData_Dipro!$C$2:$C$389, 
  REGEXMATCH(RawData_Dipro!$A$2:$A$389, ""(?i)"" &amp; $A$3), 
  REGEXMATCH(RawData_Dipro!$A$2:$A$389, ""(?i)"" &amp; $I$2), REGEXMATCH(RawData_Dipro!$B$2:$B$389, ""(?i)"" &amp; $C$1), 
  NOT(REGEXMATCH(RawData_Dipro!$A$2:$A$389,  "&amp;"""(?i)ensemble"")) 
)"),0.333605146281453)</f>
        <v>0.3336051463</v>
      </c>
      <c r="J3" s="5">
        <f>IFERROR(__xludf.DUMMYFUNCTION("FILTER(RawData_Dipro!$C$2:$C$389, 
  REGEXMATCH(RawData_Dipro!$A$2:$A$389, ""(?i)"" &amp; $A$3), 
  REGEXMATCH(RawData_Dipro!$A$2:$A$389, ""(?i)"" &amp; $I$2), REGEXMATCH(RawData_Dipro!$B$2:$B$389, ""(?i)"" &amp; $D$1), 
  NOT(REGEXMATCH(RawData_Dipro!$A$2:$A$389,  "&amp;"""(?i)ensemble"")) 
)"),0.367508834746624)</f>
        <v>0.3675088347</v>
      </c>
      <c r="K3" s="79"/>
      <c r="L3" s="68"/>
      <c r="M3" s="68"/>
      <c r="N3" s="68"/>
      <c r="O3" s="8"/>
      <c r="P3" s="8"/>
      <c r="Q3" s="8"/>
      <c r="R3" s="8"/>
    </row>
    <row r="4">
      <c r="A4" s="7"/>
      <c r="B4" s="7" t="s">
        <v>74</v>
      </c>
      <c r="C4" s="44">
        <f>IFERROR(__xludf.DUMMYFUNCTION("FILTER(RawData_Dipro!$C$2:$C$389, 
  REGEXMATCH(RawData_Dipro!$A$2:$A$389, ""(?i)"" &amp; $A$3), 
  REGEXMATCH(RawData_Dipro!$A$2:$A$389, ""(?i)"" &amp; $C$2), REGEXMATCH(RawData_Dipro!$B$2:$B$389, ""(?i)"" &amp; $C$1), REGEXMATCH(RawData_Dipro!$A$2:$A$389, ""(?i)maj"&amp;"ority"")
)"),0.639468108366998)</f>
        <v>0.6394681084</v>
      </c>
      <c r="D4" s="5">
        <f>IFERROR(__xludf.DUMMYFUNCTION("FILTER(RawData_Dipro!$C$2:$C$389, 
  REGEXMATCH(RawData_Dipro!$A$2:$A$389, ""(?i)"" &amp; $A$3), 
  REGEXMATCH(RawData_Dipro!$A$2:$A$389, ""(?i)"" &amp; $C$2), REGEXMATCH(RawData_Dipro!$B$2:$B$389, ""(?i)"" &amp; $D$1), REGEXMATCH(RawData_Dipro!$A$2:$A$389, ""(?i)maj"&amp;"ority"")
)"),0.586910136857187)</f>
        <v>0.5869101369</v>
      </c>
      <c r="E4" s="44">
        <f>IFERROR(__xludf.DUMMYFUNCTION("FILTER(RawData_Dipro!$C$2:$C$389, 
  REGEXMATCH(RawData_Dipro!$A$2:$A$389, ""(?i)"" &amp; $A$3), 
  REGEXMATCH(RawData_Dipro!$A$2:$A$389, ""(?i)"" &amp; $E$2), REGEXMATCH(RawData_Dipro!$B$2:$B$389, ""(?i)"" &amp; $C$1), REGEXMATCH(RawData_Dipro!$A$2:$A$389, ""(?i)maj"&amp;"ority"")
)"),0.614143324352865)</f>
        <v>0.6141433244</v>
      </c>
      <c r="F4" s="5">
        <f>IFERROR(__xludf.DUMMYFUNCTION("FILTER(RawData_Dipro!$C$2:$C$389, 
  REGEXMATCH(RawData_Dipro!$A$2:$A$389, ""(?i)"" &amp; $A$3), 
  REGEXMATCH(RawData_Dipro!$A$2:$A$389, ""(?i)"" &amp; $E$2), REGEXMATCH(RawData_Dipro!$B$2:$B$389, ""(?i)"" &amp; $D$1), REGEXMATCH(RawData_Dipro!$A$2:$A$389, ""(?i)maj"&amp;"ority"")
)"),0.567494699039484)</f>
        <v>0.567494699</v>
      </c>
      <c r="G4" s="44">
        <f>IFERROR(__xludf.DUMMYFUNCTION("FILTER(RawData_Dipro!$C$2:$C$389, 
  REGEXMATCH(RawData_Dipro!$A$2:$A$389, ""(?i)"" &amp; $A$3), 
  REGEXMATCH(RawData_Dipro!$A$2:$A$389, ""(?i)"" &amp; $G$2), REGEXMATCH(RawData_Dipro!$B$2:$B$389, ""(?i)"" &amp; $C$1), REGEXMATCH(RawData_Dipro!$A$2:$A$389, ""(?i)maj"&amp;"ority"")
)"),0.56244898871882)</f>
        <v>0.5624489887</v>
      </c>
      <c r="H4" s="5">
        <f>IFERROR(__xludf.DUMMYFUNCTION("FILTER(RawData_Dipro!$C$2:$C$389, 
  REGEXMATCH(RawData_Dipro!$A$2:$A$389, ""(?i)"" &amp; $A$3), 
  REGEXMATCH(RawData_Dipro!$A$2:$A$389, ""(?i)"" &amp; $G$2), REGEXMATCH(RawData_Dipro!$B$2:$B$389, ""(?i)"" &amp; $D$1), REGEXMATCH(RawData_Dipro!$A$2:$A$389, ""(?i)maj"&amp;"ority"")
)"),0.51522089820367)</f>
        <v>0.5152208982</v>
      </c>
      <c r="I4" s="44">
        <f>IFERROR(__xludf.DUMMYFUNCTION("FILTER(RawData_Dipro!$C$2:$C$389, 
  REGEXMATCH(RawData_Dipro!$A$2:$A$389, ""(?i)"" &amp; $A$3), 
  REGEXMATCH(RawData_Dipro!$A$2:$A$389, ""(?i)"" &amp; $I$2), REGEXMATCH(RawData_Dipro!$B$2:$B$389, ""(?i)"" &amp; $C$1), REGEXMATCH(RawData_Dipro!$A$2:$A$389, ""(?i)maj"&amp;"ority"")
)"),0.351693551112462)</f>
        <v>0.3516935511</v>
      </c>
      <c r="J4" s="5">
        <f>IFERROR(__xludf.DUMMYFUNCTION("FILTER(RawData_Dipro!$C$2:$C$389, 
  REGEXMATCH(RawData_Dipro!$A$2:$A$389, ""(?i)"" &amp; $A$3), 
  REGEXMATCH(RawData_Dipro!$A$2:$A$389, ""(?i)"" &amp; $I$2), REGEXMATCH(RawData_Dipro!$B$2:$B$389, ""(?i)"" &amp; $D$1), REGEXMATCH(RawData_Dipro!$A$2:$A$389, ""(?i)maj"&amp;"ority"")
)"),0.377300609507907)</f>
        <v>0.3773006095</v>
      </c>
      <c r="K4" s="80">
        <f t="shared" ref="K4:L4" si="1">AVERAGE(C4,E4,G4,I4)</f>
        <v>0.5419384931</v>
      </c>
      <c r="L4" s="80">
        <f t="shared" si="1"/>
        <v>0.5117315859</v>
      </c>
      <c r="M4" s="68">
        <f>IFERROR(__xludf.DUMMYFUNCTION("FILTER(RawData_Ensembles!$C$1:$C$98, 
  REGEXMATCH(RawData_Ensembles!$A$1:$A$98, ""(?i)"" &amp; $M$2), 
  REGEXMATCH(RawData_Ensembles!$A$1:$A$98, ""(?i)"" &amp; $A$3), REGEXMATCH(RawData_Ensembles!$B$1:$B$98, ""(?i)"" &amp; $M$1), REGEXMATCH(RawData_Ensembles!$A$1:$"&amp;"A$98, ""(?i)dipro""), REGEXMATCH(RawData_Ensembles!$A$1:$A$98, ""(?i)"" &amp; $B$4)
)"),0.642831750679554)</f>
        <v>0.6428317507</v>
      </c>
      <c r="N4" s="68">
        <f>IFERROR(__xludf.DUMMYFUNCTION("FILTER(RawData_Ensembles!$C$1:$C$98, 
  REGEXMATCH(RawData_Ensembles!$A$1:$A$98, ""(?i)"" &amp; $M$2), 
  REGEXMATCH(RawData_Ensembles!$A$1:$A$98, ""(?i)"" &amp; $A$3), REGEXMATCH(RawData_Ensembles!$B$1:$B$98, ""(?i)"" &amp; $N$1), REGEXMATCH(RawData_Ensembles!$A$1:$"&amp;"A$98, ""(?i)dipro""), REGEXMATCH(RawData_Ensembles!$A$1:$A$98, ""(?i)"" &amp; $B$4)
)"),0.597702377854602)</f>
        <v>0.5977023779</v>
      </c>
      <c r="O4" s="81">
        <f t="shared" ref="O4:P4" si="2">AVERAGE(C4,E4,G4)</f>
        <v>0.6053534738</v>
      </c>
      <c r="P4" s="81">
        <f t="shared" si="2"/>
        <v>0.5565419114</v>
      </c>
      <c r="Q4" s="8">
        <f>IFERROR(__xludf.DUMMYFUNCTION("FILTER(RawData_Ensembles!$C$1:$C$98, 
  REGEXMATCH(RawData_Ensembles!$A$1:$A$98, ""(?i)"" &amp; $Q$2), 
  REGEXMATCH(RawData_Ensembles!$A$1:$A$98, ""(?i)"" &amp; $A$3), REGEXMATCH(RawData_Ensembles!$B$1:$B$98, ""(?i)"" &amp; $M$1), REGEXMATCH(RawData_Ensembles!$A$1:$"&amp;"A$98, ""(?i)dipro""), REGEXMATCH(RawData_Ensembles!$A$1:$A$98, ""(?i)"" &amp; $B$4)
)"),0.641372813923377)</f>
        <v>0.6413728139</v>
      </c>
      <c r="R4" s="8">
        <f>IFERROR(__xludf.DUMMYFUNCTION("FILTER(RawData_Ensembles!$C$1:$C$98, 
  REGEXMATCH(RawData_Ensembles!$A$1:$A$98, ""(?i)"" &amp; $Q$2), 
  REGEXMATCH(RawData_Ensembles!$A$1:$A$98, ""(?i)"" &amp; $A$3), REGEXMATCH(RawData_Ensembles!$B$1:$B$98, ""(?i)"" &amp; $N$1), REGEXMATCH(RawData_Ensembles!$A$1:$"&amp;"A$98, ""(?i)dipro""), REGEXMATCH(RawData_Ensembles!$A$1:$A$98, ""(?i)"" &amp; $B$4)
)"),0.586918258059075)</f>
        <v>0.5869182581</v>
      </c>
    </row>
    <row r="5">
      <c r="A5" s="74"/>
      <c r="B5" s="74" t="s">
        <v>75</v>
      </c>
      <c r="C5" s="52">
        <f>IFERROR(__xludf.DUMMYFUNCTION("FILTER(RawData_Dipro!$C$2:$C$389, 
  REGEXMATCH(RawData_Dipro!$A$2:$A$389, ""(?i)"" &amp; $A$3), 
  REGEXMATCH(RawData_Dipro!$A$2:$A$389, ""(?i)"" &amp; $C$2), REGEXMATCH(RawData_Dipro!$B$2:$B$389, ""(?i)"" &amp; $C$1), REGEXMATCH(RawData_Dipro!$A$2:$A$389, ""(?i)inc"&amp;"lusion"")
)"),0.615371009437579)</f>
        <v>0.6153710094</v>
      </c>
      <c r="D5" s="53">
        <f>IFERROR(__xludf.DUMMYFUNCTION("FILTER(RawData_Dipro!$C$2:$C$389, 
  REGEXMATCH(RawData_Dipro!$A$2:$A$389, ""(?i)"" &amp; $A$3), 
  REGEXMATCH(RawData_Dipro!$A$2:$A$389, ""(?i)"" &amp; $C$2), REGEXMATCH(RawData_Dipro!$B$2:$B$389, ""(?i)"" &amp; $D$1), REGEXMATCH(RawData_Dipro!$A$2:$A$389, ""(?i)inc"&amp;"lusion"")
)"),0.567564024262873)</f>
        <v>0.5675640243</v>
      </c>
      <c r="E5" s="52">
        <f>IFERROR(__xludf.DUMMYFUNCTION("FILTER(RawData_Dipro!$C$2:$C$389, 
  REGEXMATCH(RawData_Dipro!$A$2:$A$389, ""(?i)"" &amp; $A$3), 
  REGEXMATCH(RawData_Dipro!$A$2:$A$389, ""(?i)"" &amp; $E$2), REGEXMATCH(RawData_Dipro!$B$2:$B$389, ""(?i)"" &amp; $C$1), REGEXMATCH(RawData_Dipro!$A$2:$A$389, ""(?i)inc"&amp;"lusion"")
)"),0.608184915595477)</f>
        <v>0.6081849156</v>
      </c>
      <c r="F5" s="53">
        <f>IFERROR(__xludf.DUMMYFUNCTION("FILTER(RawData_Dipro!$C$2:$C$389, 
  REGEXMATCH(RawData_Dipro!$A$2:$A$389, ""(?i)"" &amp; $A$3), 
  REGEXMATCH(RawData_Dipro!$A$2:$A$389, ""(?i)"" &amp; $E$2), REGEXMATCH(RawData_Dipro!$B$2:$B$389, ""(?i)"" &amp; $D$1), REGEXMATCH(RawData_Dipro!$A$2:$A$389, ""(?i)inc"&amp;"lusion"")
)"),0.558082339274077)</f>
        <v>0.5580823393</v>
      </c>
      <c r="G5" s="52">
        <f>IFERROR(__xludf.DUMMYFUNCTION("FILTER(RawData_Dipro!$C$2:$C$389, 
  REGEXMATCH(RawData_Dipro!$A$2:$A$389, ""(?i)"" &amp; $A$3), 
  REGEXMATCH(RawData_Dipro!$A$2:$A$389, ""(?i)"" &amp; $G$2), REGEXMATCH(RawData_Dipro!$B$2:$B$389, ""(?i)"" &amp; $C$1), REGEXMATCH(RawData_Dipro!$A$2:$A$389, ""(?i)inc"&amp;"lusion"")
)"),0.524160111536237)</f>
        <v>0.5241601115</v>
      </c>
      <c r="H5" s="53">
        <f>IFERROR(__xludf.DUMMYFUNCTION("FILTER(RawData_Dipro!$C$2:$C$389, 
  REGEXMATCH(RawData_Dipro!$A$2:$A$389, ""(?i)"" &amp; $A$3), 
  REGEXMATCH(RawData_Dipro!$A$2:$A$389, ""(?i)"" &amp; $G$2), REGEXMATCH(RawData_Dipro!$B$2:$B$389, ""(?i)"" &amp; $D$1), REGEXMATCH(RawData_Dipro!$A$2:$A$389, ""(?i)inc"&amp;"lusion"")
)"),0.470635859098293)</f>
        <v>0.4706358591</v>
      </c>
      <c r="I5" s="52">
        <f>IFERROR(__xludf.DUMMYFUNCTION("FILTER(RawData_Dipro!$C$2:$C$389, 
  REGEXMATCH(RawData_Dipro!$A$2:$A$389, ""(?i)"" &amp; $A$3), 
  REGEXMATCH(RawData_Dipro!$A$2:$A$389, ""(?i)"" &amp; $I$2), REGEXMATCH(RawData_Dipro!$B$2:$B$389, ""(?i)"" &amp; $C$1), REGEXMATCH(RawData_Dipro!$A$2:$A$389, ""(?i)inc"&amp;"lusion"")
)"),0.346718828537844)</f>
        <v>0.3467188285</v>
      </c>
      <c r="J5" s="53">
        <f>IFERROR(__xludf.DUMMYFUNCTION("FILTER(RawData_Dipro!$C$2:$C$389, 
  REGEXMATCH(RawData_Dipro!$A$2:$A$389, ""(?i)"" &amp; $A$3), 
  REGEXMATCH(RawData_Dipro!$A$2:$A$389, ""(?i)"" &amp; $I$2), REGEXMATCH(RawData_Dipro!$B$2:$B$389, ""(?i)"" &amp; $D$1), REGEXMATCH(RawData_Dipro!$A$2:$A$389, ""(?i)inc"&amp;"lusion"")
)"),0.381074015796232)</f>
        <v>0.3810740158</v>
      </c>
      <c r="K5" s="80">
        <f t="shared" ref="K5:L5" si="3">AVERAGE(C5,E5,G5,I5)</f>
        <v>0.5236087163</v>
      </c>
      <c r="L5" s="80">
        <f t="shared" si="3"/>
        <v>0.4943390596</v>
      </c>
      <c r="M5" s="68">
        <f>IFERROR(__xludf.DUMMYFUNCTION("FILTER(RawData_Ensembles!$C$1:$C$98, 
  REGEXMATCH(RawData_Ensembles!$A$1:$A$98, ""(?i)"" &amp; $M$2), 
  REGEXMATCH(RawData_Ensembles!$A$1:$A$98, ""(?i)"" &amp; $A$3), REGEXMATCH(RawData_Ensembles!$B$1:$B$98, ""(?i)"" &amp; $M$1), REGEXMATCH(RawData_Ensembles!$A$1:$"&amp;"A$98, ""(?i)dipro""), REGEXMATCH(RawData_Ensembles!$A$1:$A$98, ""(?i)"" &amp; $B$5)
)"),0.400107417157464)</f>
        <v>0.4001074172</v>
      </c>
      <c r="N5" s="68">
        <f>IFERROR(__xludf.DUMMYFUNCTION("FILTER(RawData_Ensembles!$C$1:$C$98, 
  REGEXMATCH(RawData_Ensembles!$A$1:$A$98, ""(?i)"" &amp; $M$2), 
  REGEXMATCH(RawData_Ensembles!$A$1:$A$98, ""(?i)"" &amp; $A$3), REGEXMATCH(RawData_Ensembles!$B$1:$B$98, ""(?i)"" &amp; $N$1), REGEXMATCH(RawData_Ensembles!$A$1:$"&amp;"A$98, ""(?i)dipro""), REGEXMATCH(RawData_Ensembles!$A$1:$A$98, ""(?i)"" &amp; $B$5)
)"),0.393652929014778)</f>
        <v>0.393652929</v>
      </c>
      <c r="O5" s="81">
        <f t="shared" ref="O5:P5" si="4">AVERAGE(C5,E5,G5)</f>
        <v>0.5825720122</v>
      </c>
      <c r="P5" s="81">
        <f t="shared" si="4"/>
        <v>0.5320940742</v>
      </c>
      <c r="Q5" s="8">
        <f>IFERROR(__xludf.DUMMYFUNCTION("FILTER(RawData_Ensembles!$C$1:$C$98, 
  REGEXMATCH(RawData_Ensembles!$A$1:$A$98, ""(?i)"" &amp; $Q$2), 
  REGEXMATCH(RawData_Ensembles!$A$1:$A$98, ""(?i)"" &amp; $A$3), REGEXMATCH(RawData_Ensembles!$B$1:$B$98, ""(?i)"" &amp; $M$1), REGEXMATCH(RawData_Ensembles!$A$1:$"&amp;"A$98, ""(?i)dipro""), REGEXMATCH(RawData_Ensembles!$A$1:$A$98, ""(?i)"" &amp; $B$5)
)"),0.517640159750091)</f>
        <v>0.5176401598</v>
      </c>
      <c r="R5" s="8">
        <f>IFERROR(__xludf.DUMMYFUNCTION("FILTER(RawData_Ensembles!$C$1:$C$98, 
  REGEXMATCH(RawData_Ensembles!$A$1:$A$98, ""(?i)"" &amp; $Q$2), 
  REGEXMATCH(RawData_Ensembles!$A$1:$A$98, ""(?i)"" &amp; $A$3), REGEXMATCH(RawData_Ensembles!$B$1:$B$98, ""(?i)"" &amp; $N$1), REGEXMATCH(RawData_Ensembles!$A$1:$"&amp;"A$98, ""(?i)dipro""), REGEXMATCH(RawData_Ensembles!$A$1:$A$98, ""(?i)"" &amp; $B$5)
)"),0.466203934203608)</f>
        <v>0.4662039342</v>
      </c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</row>
    <row r="6">
      <c r="A6" s="7" t="s">
        <v>26</v>
      </c>
      <c r="C6" s="44">
        <f>IFERROR(__xludf.DUMMYFUNCTION("FILTER(RawData_Dipro!$C$2:$C$389, 
  REGEXMATCH(RawData_Dipro!$A$2:$A$389, ""(?i)"" &amp; $A$6), 
  REGEXMATCH(RawData_Dipro!$A$2:$A$389, ""(?i)"" &amp; $C$2), REGEXMATCH(RawData_Dipro!$B$2:$B$389, ""(?i)"" &amp; $C$1), 
  NOT(REGEXMATCH(RawData_Dipro!$A$2:$A$389,  "&amp;"""(?i)ensemble"")) 
)"),0.638654812715595)</f>
        <v>0.6386548127</v>
      </c>
      <c r="D6" s="5">
        <f>IFERROR(__xludf.DUMMYFUNCTION("FILTER(RawData_Dipro!$C$2:$C$389, 
  REGEXMATCH(RawData_Dipro!$A$2:$A$389, ""(?i)"" &amp; $A$6), 
  REGEXMATCH(RawData_Dipro!$A$2:$A$389, ""(?i)"" &amp; $C$2), REGEXMATCH(RawData_Dipro!$B$2:$B$389, ""(?i)"" &amp; $D$1), 
  NOT(REGEXMATCH(RawData_Dipro!$A$2:$A$389,  "&amp;"""(?i)ensemble"")) 
)"),0.613462791622532)</f>
        <v>0.6134627916</v>
      </c>
      <c r="E6" s="44">
        <f>IFERROR(__xludf.DUMMYFUNCTION("FILTER(RawData_Dipro!$C$2:$C$389, 
  REGEXMATCH(RawData_Dipro!$A$2:$A$389, ""(?i)"" &amp; $A$6), 
  REGEXMATCH(RawData_Dipro!$A$2:$A$389, ""(?i)"" &amp; $E$2), REGEXMATCH(RawData_Dipro!$B$2:$B$389, ""(?i)"" &amp; $C$1), 
  NOT(REGEXMATCH(RawData_Dipro!$A$2:$A$389,  "&amp;"""(?i)ensemble"")) 
)"),0.624175131263906)</f>
        <v>0.6241751313</v>
      </c>
      <c r="F6" s="5">
        <f>IFERROR(__xludf.DUMMYFUNCTION("FILTER(RawData_Dipro!$C$2:$C$389, 
  REGEXMATCH(RawData_Dipro!$A$2:$A$389, ""(?i)"" &amp; $A$6), 
  REGEXMATCH(RawData_Dipro!$A$2:$A$389, ""(?i)"" &amp; $E$2), REGEXMATCH(RawData_Dipro!$B$2:$B$389, ""(?i)"" &amp; $D$1), 
  NOT(REGEXMATCH(RawData_Dipro!$A$2:$A$389,  "&amp;"""(?i)ensemble"")) 
)"),0.593223331315557)</f>
        <v>0.5932233313</v>
      </c>
      <c r="G6" s="44">
        <f>IFERROR(__xludf.DUMMYFUNCTION("FILTER(RawData_Dipro!$C$2:$C$389, 
  REGEXMATCH(RawData_Dipro!$A$2:$A$389, ""(?i)"" &amp; $A$6), 
  REGEXMATCH(RawData_Dipro!$A$2:$A$389, ""(?i)"" &amp; $G$2), REGEXMATCH(RawData_Dipro!$B$2:$B$389, ""(?i)"" &amp; $C$1), 
  NOT(REGEXMATCH(RawData_Dipro!$A$2:$A$389,  "&amp;"""(?i)ensemble"")) 
)"),0.572478446675392)</f>
        <v>0.5724784467</v>
      </c>
      <c r="H6" s="5">
        <f>IFERROR(__xludf.DUMMYFUNCTION("FILTER(RawData_Dipro!$C$2:$C$389, 
  REGEXMATCH(RawData_Dipro!$A$2:$A$389, ""(?i)"" &amp; $A$6), 
  REGEXMATCH(RawData_Dipro!$A$2:$A$389, ""(?i)"" &amp; $G$2), REGEXMATCH(RawData_Dipro!$B$2:$B$389, ""(?i)"" &amp; $D$1), 
  NOT(REGEXMATCH(RawData_Dipro!$A$2:$A$389,  "&amp;"""(?i)ensemble"")) 
)"),0.534765902917699)</f>
        <v>0.5347659029</v>
      </c>
      <c r="I6" s="44">
        <f>IFERROR(__xludf.DUMMYFUNCTION("FILTER(RawData_Dipro!$C$2:$C$389, 
  REGEXMATCH(RawData_Dipro!$A$2:$A$389, ""(?i)"" &amp; $A$6), 
  REGEXMATCH(RawData_Dipro!$A$2:$A$389, ""(?i)"" &amp; $I$2), REGEXMATCH(RawData_Dipro!$B$2:$B$389, ""(?i)"" &amp; $C$1), 
  NOT(REGEXMATCH(RawData_Dipro!$A$2:$A$389,  "&amp;"""(?i)ensemble"")) 
)"),0.335225441305954)</f>
        <v>0.3352254413</v>
      </c>
      <c r="J6" s="5">
        <f>IFERROR(__xludf.DUMMYFUNCTION("FILTER(RawData_Dipro!$C$2:$C$389, 
  REGEXMATCH(RawData_Dipro!$A$2:$A$389, ""(?i)"" &amp; $A$6), 
  REGEXMATCH(RawData_Dipro!$A$2:$A$389, ""(?i)"" &amp; $I$2), REGEXMATCH(RawData_Dipro!$B$2:$B$389, ""(?i)"" &amp; $D$1), 
  NOT(REGEXMATCH(RawData_Dipro!$A$2:$A$389,  "&amp;"""(?i)ensemble"")) 
)"),0.352567599779278)</f>
        <v>0.3525675998</v>
      </c>
      <c r="K6" s="82"/>
    </row>
    <row r="7">
      <c r="A7" s="7"/>
      <c r="B7" s="7" t="s">
        <v>74</v>
      </c>
      <c r="C7" s="44">
        <f>IFERROR(__xludf.DUMMYFUNCTION("FILTER(RawData_Dipro!$C$2:$C$389, 
  REGEXMATCH(RawData_Dipro!$A$2:$A$389, ""(?i)"" &amp; $A$6), 
  REGEXMATCH(RawData_Dipro!$A$2:$A$389, ""(?i)"" &amp; $C$2), REGEXMATCH(RawData_Dipro!$B$2:$B$389, ""(?i)"" &amp; $C$1), REGEXMATCH(RawData_Dipro!$A$2:$A$389, ""(?i)maj"&amp;"ority"")
)"),0.639646077436995)</f>
        <v>0.6396460774</v>
      </c>
      <c r="D7" s="5">
        <f>IFERROR(__xludf.DUMMYFUNCTION("FILTER(RawData_Dipro!$C$2:$C$389, 
  REGEXMATCH(RawData_Dipro!$A$2:$A$389, ""(?i)"" &amp; $A$6), 
  REGEXMATCH(RawData_Dipro!$A$2:$A$389, ""(?i)"" &amp; $C$2), REGEXMATCH(RawData_Dipro!$B$2:$B$389, ""(?i)"" &amp; $D$1), REGEXMATCH(RawData_Dipro!$A$2:$A$389, ""(?i)maj"&amp;"ority"")
)"),0.614953029601582)</f>
        <v>0.6149530296</v>
      </c>
      <c r="E7" s="44">
        <f>IFERROR(__xludf.DUMMYFUNCTION("FILTER(RawData_Dipro!$C$2:$C$389, 
  REGEXMATCH(RawData_Dipro!$A$2:$A$389, ""(?i)"" &amp; $A$6), 
  REGEXMATCH(RawData_Dipro!$A$2:$A$389, ""(?i)"" &amp; $E$2), REGEXMATCH(RawData_Dipro!$B$2:$B$389, ""(?i)"" &amp; $C$1), REGEXMATCH(RawData_Dipro!$A$2:$A$389, ""(?i)maj"&amp;"ority"")
)"),0.626618245702897)</f>
        <v>0.6266182457</v>
      </c>
      <c r="F7" s="5">
        <f>IFERROR(__xludf.DUMMYFUNCTION("FILTER(RawData_Dipro!$C$2:$C$389, 
  REGEXMATCH(RawData_Dipro!$A$2:$A$389, ""(?i)"" &amp; $A$6), 
  REGEXMATCH(RawData_Dipro!$A$2:$A$389, ""(?i)"" &amp; $E$2), REGEXMATCH(RawData_Dipro!$B$2:$B$389, ""(?i)"" &amp; $D$1), REGEXMATCH(RawData_Dipro!$A$2:$A$389, ""(?i)maj"&amp;"ority"")
)"),0.593678659817672)</f>
        <v>0.5936786598</v>
      </c>
      <c r="G7" s="44">
        <f>IFERROR(__xludf.DUMMYFUNCTION("FILTER(RawData_Dipro!$C$2:$C$389, 
  REGEXMATCH(RawData_Dipro!$A$2:$A$389, ""(?i)"" &amp; $A$6), 
  REGEXMATCH(RawData_Dipro!$A$2:$A$389, ""(?i)"" &amp; $G$2), REGEXMATCH(RawData_Dipro!$B$2:$B$389, ""(?i)"" &amp; $C$1), REGEXMATCH(RawData_Dipro!$A$2:$A$389, ""(?i)maj"&amp;"ority"")
)"),0.589474431948378)</f>
        <v>0.5894744319</v>
      </c>
      <c r="H7" s="5">
        <f>IFERROR(__xludf.DUMMYFUNCTION("FILTER(RawData_Dipro!$C$2:$C$389, 
  REGEXMATCH(RawData_Dipro!$A$2:$A$389, ""(?i)"" &amp; $A$6), 
  REGEXMATCH(RawData_Dipro!$A$2:$A$389, ""(?i)"" &amp; $G$2), REGEXMATCH(RawData_Dipro!$B$2:$B$389, ""(?i)"" &amp; $D$1), REGEXMATCH(RawData_Dipro!$A$2:$A$389, ""(?i)maj"&amp;"ority"")
)"),0.549558592400209)</f>
        <v>0.5495585924</v>
      </c>
      <c r="I7" s="44">
        <f>IFERROR(__xludf.DUMMYFUNCTION("FILTER(RawData_Dipro!$C$2:$C$389, 
  REGEXMATCH(RawData_Dipro!$A$2:$A$389, ""(?i)"" &amp; $A$6), 
  REGEXMATCH(RawData_Dipro!$A$2:$A$389, ""(?i)"" &amp; $I$2), REGEXMATCH(RawData_Dipro!$B$2:$B$389, ""(?i)"" &amp; $C$1), REGEXMATCH(RawData_Dipro!$A$2:$A$389, ""(?i)maj"&amp;"ority"")
)"),0.335136725244928)</f>
        <v>0.3351367252</v>
      </c>
      <c r="J7" s="5">
        <f>IFERROR(__xludf.DUMMYFUNCTION("FILTER(RawData_Dipro!$C$2:$C$389, 
  REGEXMATCH(RawData_Dipro!$A$2:$A$389, ""(?i)"" &amp; $A$6), 
  REGEXMATCH(RawData_Dipro!$A$2:$A$389, ""(?i)"" &amp; $I$2), REGEXMATCH(RawData_Dipro!$B$2:$B$389, ""(?i)"" &amp; $D$1), REGEXMATCH(RawData_Dipro!$A$2:$A$389, ""(?i)maj"&amp;"ority"")
)"),0.358964749724122)</f>
        <v>0.3589647497</v>
      </c>
      <c r="K7" s="80">
        <f t="shared" ref="K7:L7" si="5">AVERAGE(C7,E7,G7,I7)</f>
        <v>0.5477188701</v>
      </c>
      <c r="L7" s="80">
        <f t="shared" si="5"/>
        <v>0.5292887579</v>
      </c>
      <c r="M7" s="68">
        <f>IFERROR(__xludf.DUMMYFUNCTION("FILTER(RawData_Ensembles!$C$1:$C$98, 
  REGEXMATCH(RawData_Ensembles!$A$1:$A$98, ""(?i)"" &amp; $M$2), 
  REGEXMATCH(RawData_Ensembles!$A$1:$A$98, ""(?i)"" &amp; $A$6), REGEXMATCH(RawData_Ensembles!$B$1:$B$98, ""(?i)"" &amp; $M$1), REGEXMATCH(RawData_Ensembles!$A$1:$"&amp;"A$98, ""(?i)dipro""), REGEXMATCH(RawData_Ensembles!$A$1:$A$98, ""(?i)"" &amp; $B$4)
)"),0.634072891433604)</f>
        <v>0.6340728914</v>
      </c>
      <c r="N7" s="68">
        <f>IFERROR(__xludf.DUMMYFUNCTION("FILTER(RawData_Ensembles!$C$1:$C$98, 
  REGEXMATCH(RawData_Ensembles!$A$1:$A$98, ""(?i)"" &amp; $M$2), 
  REGEXMATCH(RawData_Ensembles!$A$1:$A$98, ""(?i)"" &amp; $A$6), REGEXMATCH(RawData_Ensembles!$B$1:$B$98, ""(?i)"" &amp; $N$1), REGEXMATCH(RawData_Ensembles!$A$1:$"&amp;"A$98, ""(?i)dipro""), REGEXMATCH(RawData_Ensembles!$A$1:$A$98, ""(?i)"" &amp; $B$4)
)"),0.604647253792606)</f>
        <v>0.6046472538</v>
      </c>
      <c r="O7" s="81">
        <f t="shared" ref="O7:P7" si="6">AVERAGE(C7,E7,G7)</f>
        <v>0.618579585</v>
      </c>
      <c r="P7" s="81">
        <f t="shared" si="6"/>
        <v>0.5860634273</v>
      </c>
      <c r="Q7" s="8">
        <f>IFERROR(__xludf.DUMMYFUNCTION("FILTER(RawData_Ensembles!$C$1:$C$98, 
  REGEXMATCH(RawData_Ensembles!$A$1:$A$98, ""(?i)"" &amp; $Q$2), 
  REGEXMATCH(RawData_Ensembles!$A$1:$A$98, ""(?i)"" &amp; $A$6), REGEXMATCH(RawData_Ensembles!$B$1:$B$98, ""(?i)"" &amp; $M$1), REGEXMATCH(RawData_Ensembles!$A$1:$"&amp;"A$98, ""(?i)dipro""), REGEXMATCH(RawData_Ensembles!$A$1:$A$98, ""(?i)"" &amp; $B$4)
)"),0.641745007342877)</f>
        <v>0.6417450073</v>
      </c>
      <c r="R7" s="8">
        <f>IFERROR(__xludf.DUMMYFUNCTION("FILTER(RawData_Ensembles!$C$1:$C$98, 
  REGEXMATCH(RawData_Ensembles!$A$1:$A$98, ""(?i)"" &amp; $Q$2), 
  REGEXMATCH(RawData_Ensembles!$A$1:$A$98, ""(?i)"" &amp; $A$6), REGEXMATCH(RawData_Ensembles!$B$1:$B$98, ""(?i)"" &amp; $N$1), REGEXMATCH(RawData_Ensembles!$A$1:$"&amp;"A$98, ""(?i)dipro""), REGEXMATCH(RawData_Ensembles!$A$1:$A$98, ""(?i)"" &amp; $B$4)
)"),0.621603952821018)</f>
        <v>0.6216039528</v>
      </c>
      <c r="S7" s="90" t="s">
        <v>109</v>
      </c>
    </row>
    <row r="8">
      <c r="A8" s="74"/>
      <c r="B8" s="74" t="s">
        <v>75</v>
      </c>
      <c r="C8" s="52">
        <f>IFERROR(__xludf.DUMMYFUNCTION("FILTER(RawData_Dipro!$C$2:$C$389, 
  REGEXMATCH(RawData_Dipro!$A$2:$A$389, ""(?i)"" &amp; $A$6), 
  REGEXMATCH(RawData_Dipro!$A$2:$A$389, ""(?i)"" &amp; $C$2), REGEXMATCH(RawData_Dipro!$B$2:$B$389, ""(?i)"" &amp; $C$1), REGEXMATCH(RawData_Dipro!$A$2:$A$389, ""(?i)inc"&amp;"lusion"")
)"),0.621561027511779)</f>
        <v>0.6215610275</v>
      </c>
      <c r="D8" s="53">
        <f>IFERROR(__xludf.DUMMYFUNCTION("FILTER(RawData_Dipro!$C$2:$C$389, 
  REGEXMATCH(RawData_Dipro!$A$2:$A$389, ""(?i)"" &amp; $A$6), 
  REGEXMATCH(RawData_Dipro!$A$2:$A$389, ""(?i)"" &amp; $C$2), REGEXMATCH(RawData_Dipro!$B$2:$B$389, ""(?i)"" &amp; $D$1), REGEXMATCH(RawData_Dipro!$A$2:$A$389, ""(?i)inc"&amp;"lusion"")
)"),0.593407423447775)</f>
        <v>0.5934074234</v>
      </c>
      <c r="E8" s="52">
        <f>IFERROR(__xludf.DUMMYFUNCTION("FILTER(RawData_Dipro!$C$2:$C$389, 
  REGEXMATCH(RawData_Dipro!$A$2:$A$389, ""(?i)"" &amp; $A$6), 
  REGEXMATCH(RawData_Dipro!$A$2:$A$389, ""(?i)"" &amp; $E$2), REGEXMATCH(RawData_Dipro!$B$2:$B$389, ""(?i)"" &amp; $C$1), REGEXMATCH(RawData_Dipro!$A$2:$A$389, ""(?i)inc"&amp;"lusion"")
)"),0.62506442721654)</f>
        <v>0.6250644272</v>
      </c>
      <c r="F8" s="53">
        <f>IFERROR(__xludf.DUMMYFUNCTION("FILTER(RawData_Dipro!$C$2:$C$389, 
  REGEXMATCH(RawData_Dipro!$A$2:$A$389, ""(?i)"" &amp; $A$6), 
  REGEXMATCH(RawData_Dipro!$A$2:$A$389, ""(?i)"" &amp; $E$2), REGEXMATCH(RawData_Dipro!$B$2:$B$389, ""(?i)"" &amp; $D$1), REGEXMATCH(RawData_Dipro!$A$2:$A$389, ""(?i)inc"&amp;"lusion"")
)"),0.585483853546534)</f>
        <v>0.5854838535</v>
      </c>
      <c r="G8" s="52">
        <f>IFERROR(__xludf.DUMMYFUNCTION("FILTER(RawData_Dipro!$C$2:$C$389, 
  REGEXMATCH(RawData_Dipro!$A$2:$A$389, ""(?i)"" &amp; $A$6), 
  REGEXMATCH(RawData_Dipro!$A$2:$A$389, ""(?i)"" &amp; $G$2), REGEXMATCH(RawData_Dipro!$B$2:$B$389, ""(?i)"" &amp; $C$1), REGEXMATCH(RawData_Dipro!$A$2:$A$389, ""(?i)inc"&amp;"lusion"")
)"),0.54878835786238)</f>
        <v>0.5487883579</v>
      </c>
      <c r="H8" s="53">
        <f>IFERROR(__xludf.DUMMYFUNCTION("FILTER(RawData_Dipro!$C$2:$C$389, 
  REGEXMATCH(RawData_Dipro!$A$2:$A$389, ""(?i)"" &amp; $A$6), 
  REGEXMATCH(RawData_Dipro!$A$2:$A$389, ""(?i)"" &amp; $G$2), REGEXMATCH(RawData_Dipro!$B$2:$B$389, ""(?i)"" &amp; $D$1), REGEXMATCH(RawData_Dipro!$A$2:$A$389, ""(?i)inc"&amp;"lusion"")
)"),0.505572999105003)</f>
        <v>0.5055729991</v>
      </c>
      <c r="I8" s="52">
        <f>IFERROR(__xludf.DUMMYFUNCTION("FILTER(RawData_Dipro!$C$2:$C$389, 
  REGEXMATCH(RawData_Dipro!$A$2:$A$389, ""(?i)"" &amp; $A$6), 
  REGEXMATCH(RawData_Dipro!$A$2:$A$389, ""(?i)"" &amp; $I$2), REGEXMATCH(RawData_Dipro!$B$2:$B$389, ""(?i)"" &amp; $C$1), REGEXMATCH(RawData_Dipro!$A$2:$A$389, ""(?i)inc"&amp;"lusion"")
)"),0.355719655045194)</f>
        <v>0.355719655</v>
      </c>
      <c r="J8" s="53">
        <f>IFERROR(__xludf.DUMMYFUNCTION("FILTER(RawData_Dipro!$C$2:$C$389, 
  REGEXMATCH(RawData_Dipro!$A$2:$A$389, ""(?i)"" &amp; $A$6), 
  REGEXMATCH(RawData_Dipro!$A$2:$A$389, ""(?i)"" &amp; $I$2), REGEXMATCH(RawData_Dipro!$B$2:$B$389, ""(?i)"" &amp; $D$1), REGEXMATCH(RawData_Dipro!$A$2:$A$389, ""(?i)inc"&amp;"lusion"")
)"),0.368290508649231)</f>
        <v>0.3682905086</v>
      </c>
      <c r="K8" s="80">
        <f t="shared" ref="K8:L8" si="7">AVERAGE(C8,E8,G8,I8)</f>
        <v>0.5377833669</v>
      </c>
      <c r="L8" s="80">
        <f t="shared" si="7"/>
        <v>0.5131886962</v>
      </c>
      <c r="M8" s="68">
        <f>IFERROR(__xludf.DUMMYFUNCTION("FILTER(RawData_Ensembles!$C$1:$C$98, 
  REGEXMATCH(RawData_Ensembles!$A$1:$A$98, ""(?i)"" &amp; $M$2), 
  REGEXMATCH(RawData_Ensembles!$A$1:$A$98, ""(?i)"" &amp; $A$6), REGEXMATCH(RawData_Ensembles!$B$1:$B$98, ""(?i)"" &amp; $M$1), REGEXMATCH(RawData_Ensembles!$A$1:$"&amp;"A$98, ""(?i)dipro""), REGEXMATCH(RawData_Ensembles!$A$1:$A$98, ""(?i)"" &amp; $B$5)
)"),0.404810754696845)</f>
        <v>0.4048107547</v>
      </c>
      <c r="N8" s="68">
        <f>IFERROR(__xludf.DUMMYFUNCTION("FILTER(RawData_Ensembles!$C$1:$C$98, 
  REGEXMATCH(RawData_Ensembles!$A$1:$A$98, ""(?i)"" &amp; $M$2), 
  REGEXMATCH(RawData_Ensembles!$A$1:$A$98, ""(?i)"" &amp; $A$6), REGEXMATCH(RawData_Ensembles!$B$1:$B$98, ""(?i)"" &amp; $N$1), REGEXMATCH(RawData_Ensembles!$A$1:$"&amp;"A$98, ""(?i)dipro""), REGEXMATCH(RawData_Ensembles!$A$1:$A$98, ""(?i)"" &amp; $B$5)
)"),0.397469270497135)</f>
        <v>0.3974692705</v>
      </c>
      <c r="O8" s="81">
        <f t="shared" ref="O8:P8" si="8">AVERAGE(C8,E8,G8)</f>
        <v>0.5984712709</v>
      </c>
      <c r="P8" s="81">
        <f t="shared" si="8"/>
        <v>0.561488092</v>
      </c>
      <c r="Q8" s="8">
        <f>IFERROR(__xludf.DUMMYFUNCTION("FILTER(RawData_Ensembles!$C$1:$C$98, 
  REGEXMATCH(RawData_Ensembles!$A$1:$A$98, ""(?i)"" &amp; $Q$2), 
  REGEXMATCH(RawData_Ensembles!$A$1:$A$98, ""(?i)"" &amp; $A$6), REGEXMATCH(RawData_Ensembles!$B$1:$B$98, ""(?i)"" &amp; $M$1), REGEXMATCH(RawData_Ensembles!$A$1:$"&amp;"A$98, ""(?i)dipro""), REGEXMATCH(RawData_Ensembles!$A$1:$A$98, ""(?i)"" &amp; $B$5)
)"),0.537523492086359)</f>
        <v>0.5375234921</v>
      </c>
      <c r="R8" s="8">
        <f>IFERROR(__xludf.DUMMYFUNCTION("FILTER(RawData_Ensembles!$C$1:$C$98, 
  REGEXMATCH(RawData_Ensembles!$A$1:$A$98, ""(?i)"" &amp; $Q$2), 
  REGEXMATCH(RawData_Ensembles!$A$1:$A$98, ""(?i)"" &amp; $A$6), REGEXMATCH(RawData_Ensembles!$B$1:$B$98, ""(?i)"" &amp; $N$1), REGEXMATCH(RawData_Ensembles!$A$1:$"&amp;"A$98, ""(?i)dipro""), REGEXMATCH(RawData_Ensembles!$A$1:$A$98, ""(?i)"" &amp; $B$5)
)"),0.496005447230576)</f>
        <v>0.4960054472</v>
      </c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</row>
    <row r="9">
      <c r="A9" s="7" t="s">
        <v>20</v>
      </c>
      <c r="C9" s="44">
        <f>IFERROR(__xludf.DUMMYFUNCTION("FILTER(RawData_Dipro!$C$2:$C$389, 
  REGEXMATCH(RawData_Dipro!$A$2:$A$389, ""(?i)"" &amp; $C$2 &amp; ""_only_title""), 
  REGEXMATCH(RawData_Dipro!$A$2:$A$389, ""(?i)"" &amp; $C$2), REGEXMATCH(RawData_Dipro!$B$2:$B$389, ""(?i)"" &amp; $C$1), 
  NOT(REGEXMATCH(RawData_Dip"&amp;"ro!$A$2:$A$389,  ""(?i)ensemble"")) 
)"),0.621040280030557)</f>
        <v>0.62104028</v>
      </c>
      <c r="D9" s="5">
        <f>IFERROR(__xludf.DUMMYFUNCTION("FILTER(RawData_Dipro!$C$2:$C$389, 
  REGEXMATCH(RawData_Dipro!$A$2:$A$389, ""(?i)"" &amp; $C$2 &amp; ""_only_title""), 
  REGEXMATCH(RawData_Dipro!$A$2:$A$389, ""(?i)"" &amp; $C$2), REGEXMATCH(RawData_Dipro!$B$2:$B$389, ""(?i)"" &amp; $D$1), 
  NOT(REGEXMATCH(RawData_Dip"&amp;"ro!$A$2:$A$389,  ""(?i)ensemble"")) 
)"),0.571358654012934)</f>
        <v>0.571358654</v>
      </c>
      <c r="E9" s="44">
        <f>IFERROR(__xludf.DUMMYFUNCTION("FILTER(RawData_Dipro!$C$2:$C$389, 
  REGEXMATCH(RawData_Dipro!$A$2:$A$389, ""(?i)"" &amp; $E$2 &amp; ""_only_title""), 
  REGEXMATCH(RawData_Dipro!$A$2:$A$389, ""(?i)"" &amp; $E$2), REGEXMATCH(RawData_Dipro!$B$2:$B$389, ""(?i)"" &amp; $C$1), 
  NOT(REGEXMATCH(RawData_Dip"&amp;"ro!$A$2:$A$389,  ""(?i)ensemble"")) 
)"),0.57620875615112)</f>
        <v>0.5762087562</v>
      </c>
      <c r="F9" s="5">
        <f>IFERROR(__xludf.DUMMYFUNCTION("FILTER(RawData_Dipro!$C$2:$C$389, 
  REGEXMATCH(RawData_Dipro!$A$2:$A$389, ""(?i)"" &amp; $E$2 &amp; ""_only_title""), 
  REGEXMATCH(RawData_Dipro!$A$2:$A$389, ""(?i)"" &amp; $E$2), REGEXMATCH(RawData_Dipro!$B$2:$B$389, ""(?i)"" &amp; $D$1), 
  NOT(REGEXMATCH(RawData_Dip"&amp;"ro!$A$2:$A$389,  ""(?i)ensemble"")) 
)"),0.531274741257453)</f>
        <v>0.5312747413</v>
      </c>
      <c r="G9" s="44">
        <f>IFERROR(__xludf.DUMMYFUNCTION("FILTER(RawData_Dipro!$C$2:$C$389, 
  REGEXMATCH(RawData_Dipro!$A$2:$A$389, ""(?i)"" &amp; $G$2 &amp; ""_only_title""), 
  REGEXMATCH(RawData_Dipro!$A$2:$A$389, ""(?i)"" &amp; $G$2), REGEXMATCH(RawData_Dipro!$B$2:$B$389, ""(?i)"" &amp; $C$1), 
  NOT(REGEXMATCH(RawData_Dip"&amp;"ro!$A$2:$A$389,  ""(?i)ensemble"")) 
)"),0.506150051999198)</f>
        <v>0.506150052</v>
      </c>
      <c r="H9" s="5">
        <f>IFERROR(__xludf.DUMMYFUNCTION("FILTER(RawData_Dipro!$C$2:$C$389, 
  REGEXMATCH(RawData_Dipro!$A$2:$A$389, ""(?i)"" &amp; $G$2 &amp; ""_only_title""), 
  REGEXMATCH(RawData_Dipro!$A$2:$A$389, ""(?i)"" &amp; $G$2), REGEXMATCH(RawData_Dipro!$B$2:$B$389, ""(?i)"" &amp; $D$1), 
  NOT(REGEXMATCH(RawData_Dip"&amp;"ro!$A$2:$A$389,  ""(?i)ensemble"")) 
)"),0.483697863941618)</f>
        <v>0.4836978639</v>
      </c>
      <c r="I9" s="44">
        <f>IFERROR(__xludf.DUMMYFUNCTION("FILTER(RawData_Dipro!$C$2:$C$389, 
  REGEXMATCH(RawData_Dipro!$A$2:$A$389, ""(?i)"" &amp; $I$2 &amp; ""_only_title""), 
  REGEXMATCH(RawData_Dipro!$A$2:$A$389, ""(?i)"" &amp; $I$2), REGEXMATCH(RawData_Dipro!$B$2:$B$389, ""(?i)"" &amp; $C$1), 
  NOT(REGEXMATCH(RawData_Dip"&amp;"ro!$A$2:$A$389,  ""(?i)ensemble"")) 
)"),0.286129356930116)</f>
        <v>0.2861293569</v>
      </c>
      <c r="J9" s="5">
        <f>IFERROR(__xludf.DUMMYFUNCTION("FILTER(RawData_Dipro!$C$2:$C$389, 
  REGEXMATCH(RawData_Dipro!$A$2:$A$389, ""(?i)"" &amp; $I$2 &amp; ""_only_title""), 
  REGEXMATCH(RawData_Dipro!$A$2:$A$389, ""(?i)"" &amp; $I$2), REGEXMATCH(RawData_Dipro!$B$2:$B$389, ""(?i)"" &amp; $D$1), 
  NOT(REGEXMATCH(RawData_Dip"&amp;"ro!$A$2:$A$389,  ""(?i)ensemble"")) 
)"),0.29837198245895)</f>
        <v>0.2983719825</v>
      </c>
      <c r="K9" s="82"/>
    </row>
    <row r="10">
      <c r="A10" s="7"/>
      <c r="B10" s="7" t="s">
        <v>74</v>
      </c>
      <c r="C10" s="44">
        <f>IFERROR(__xludf.DUMMYFUNCTION("FILTER(RawData_Dipro!$C$2:$C$389, 
  REGEXMATCH(RawData_Dipro!$A$2:$A$389, ""(?i)"" &amp; $C$2 &amp; ""_only_title""), 
  REGEXMATCH(RawData_Dipro!$A$2:$A$389, ""(?i)"" &amp; $C$2), REGEXMATCH(RawData_Dipro!$B$2:$B$389, ""(?i)"" &amp; $C$1), REGEXMATCH(RawData_Dipro!$A$2"&amp;":$A$389, ""(?i)majority"")
)"),0.624855407556112)</f>
        <v>0.6248554076</v>
      </c>
      <c r="D10" s="5">
        <f>IFERROR(__xludf.DUMMYFUNCTION("FILTER(RawData_Dipro!$C$2:$C$389, 
  REGEXMATCH(RawData_Dipro!$A$2:$A$389, ""(?i)"" &amp; $C$2 &amp; ""_only_title""), 
  REGEXMATCH(RawData_Dipro!$A$2:$A$389, ""(?i)"" &amp; $C$2), REGEXMATCH(RawData_Dipro!$B$2:$B$389, ""(?i)"" &amp; $D$1), REGEXMATCH(RawData_Dipro!$A$2"&amp;":$A$389, ""(?i)majority"")
)"),0.575399237958114)</f>
        <v>0.575399238</v>
      </c>
      <c r="E10" s="44">
        <f>IFERROR(__xludf.DUMMYFUNCTION("FILTER(RawData_Dipro!$C$2:$C$389, 
  REGEXMATCH(RawData_Dipro!$A$2:$A$389, ""(?i)"" &amp; $E$2 &amp; ""_only_title""), 
  REGEXMATCH(RawData_Dipro!$A$2:$A$389, ""(?i)"" &amp; $E$2), REGEXMATCH(RawData_Dipro!$B$2:$B$389, ""(?i)"" &amp; $C$1), REGEXMATCH(RawData_Dipro!$A$2"&amp;":$A$389, ""(?i)majority"")
)"),0.577055105263409)</f>
        <v>0.5770551053</v>
      </c>
      <c r="F10" s="5">
        <f>IFERROR(__xludf.DUMMYFUNCTION("FILTER(RawData_Dipro!$C$2:$C$389, 
  REGEXMATCH(RawData_Dipro!$A$2:$A$389, ""(?i)"" &amp; $E$2 &amp; ""_only_title""), 
  REGEXMATCH(RawData_Dipro!$A$2:$A$389, ""(?i)"" &amp; $E$2), REGEXMATCH(RawData_Dipro!$B$2:$B$389, ""(?i)"" &amp; $D$1), REGEXMATCH(RawData_Dipro!$A$2"&amp;":$A$389, ""(?i)majority"")
)"),0.533034058413912)</f>
        <v>0.5330340584</v>
      </c>
      <c r="G10" s="44">
        <f>IFERROR(__xludf.DUMMYFUNCTION("FILTER(RawData_Dipro!$C$2:$C$389, 
  REGEXMATCH(RawData_Dipro!$A$2:$A$389, ""(?i)"" &amp; $G$2 &amp; ""_only_title""), 
  REGEXMATCH(RawData_Dipro!$A$2:$A$389, ""(?i)"" &amp; $G$2), REGEXMATCH(RawData_Dipro!$B$2:$B$389, ""(?i)"" &amp; $C$1), REGEXMATCH(RawData_Dipro!$A$2"&amp;":$A$389, ""(?i)majority"")
)"),0.537368496679701)</f>
        <v>0.5373684967</v>
      </c>
      <c r="H10" s="5">
        <f>IFERROR(__xludf.DUMMYFUNCTION("FILTER(RawData_Dipro!$C$2:$C$389, 
  REGEXMATCH(RawData_Dipro!$A$2:$A$389, ""(?i)"" &amp; $G$2 &amp; ""_only_title""), 
  REGEXMATCH(RawData_Dipro!$A$2:$A$389, ""(?i)"" &amp; $G$2), REGEXMATCH(RawData_Dipro!$B$2:$B$389, ""(?i)"" &amp; $D$1), REGEXMATCH(RawData_Dipro!$A$2"&amp;":$A$389, ""(?i)majority"")
)"),0.501922622275995)</f>
        <v>0.5019226223</v>
      </c>
      <c r="I10" s="44">
        <f>IFERROR(__xludf.DUMMYFUNCTION("FILTER(RawData_Dipro!$C$2:$C$389, 
  REGEXMATCH(RawData_Dipro!$A$2:$A$389, ""(?i)"" &amp; $I$2 &amp; ""_only_title""), 
  REGEXMATCH(RawData_Dipro!$A$2:$A$389, ""(?i)"" &amp; $I$2), REGEXMATCH(RawData_Dipro!$B$2:$B$389, ""(?i)"" &amp; $C$1), REGEXMATCH(RawData_Dipro!$A$2"&amp;":$A$389, ""(?i)majority"")
)"),0.276068224253389)</f>
        <v>0.2760682243</v>
      </c>
      <c r="J10" s="5">
        <f>IFERROR(__xludf.DUMMYFUNCTION("FILTER(RawData_Dipro!$C$2:$C$389, 
  REGEXMATCH(RawData_Dipro!$A$2:$A$389, ""(?i)"" &amp; $I$2 &amp; ""_only_title""), 
  REGEXMATCH(RawData_Dipro!$A$2:$A$389, ""(?i)"" &amp; $I$2), REGEXMATCH(RawData_Dipro!$B$2:$B$389, ""(?i)"" &amp; $D$1), REGEXMATCH(RawData_Dipro!$A$2"&amp;":$A$389, ""(?i)majority"")
)"),0.292476913292134)</f>
        <v>0.2924769133</v>
      </c>
      <c r="K10" s="82"/>
    </row>
    <row r="11">
      <c r="A11" s="74"/>
      <c r="B11" s="74" t="s">
        <v>75</v>
      </c>
      <c r="C11" s="52">
        <f>IFERROR(__xludf.DUMMYFUNCTION("FILTER(RawData_Dipro!$C$2:$C$389, 
  REGEXMATCH(RawData_Dipro!$A$2:$A$389, ""(?i)"" &amp; $C$2 &amp; ""_only_title""), 
  REGEXMATCH(RawData_Dipro!$A$2:$A$389, ""(?i)"" &amp; $C$2), REGEXMATCH(RawData_Dipro!$B$2:$B$389, ""(?i)"" &amp; $C$1), REGEXMATCH(RawData_Dipro!$A$2"&amp;":$A$389, ""(?i)inclusion"")
)"),0.599118413697072)</f>
        <v>0.5991184137</v>
      </c>
      <c r="D11" s="53">
        <f>IFERROR(__xludf.DUMMYFUNCTION("FILTER(RawData_Dipro!$C$2:$C$389, 
  REGEXMATCH(RawData_Dipro!$A$2:$A$389, ""(?i)"" &amp; $C$2 &amp; ""_only_title""), 
  REGEXMATCH(RawData_Dipro!$A$2:$A$389, ""(?i)"" &amp; $C$2), REGEXMATCH(RawData_Dipro!$B$2:$B$389, ""(?i)"" &amp; $D$1), REGEXMATCH(RawData_Dipro!$A$2"&amp;":$A$389, ""(?i)inclusion"")
)"),0.556089368232305)</f>
        <v>0.5560893682</v>
      </c>
      <c r="E11" s="52">
        <f>IFERROR(__xludf.DUMMYFUNCTION("FILTER(RawData_Dipro!$C$2:$C$389, 
  REGEXMATCH(RawData_Dipro!$A$2:$A$389, ""(?i)"" &amp; $E$2 &amp; ""_only_title""), 
  REGEXMATCH(RawData_Dipro!$A$2:$A$389, ""(?i)"" &amp; $E$2), REGEXMATCH(RawData_Dipro!$B$2:$B$389, ""(?i)"" &amp; $C$1), REGEXMATCH(RawData_Dipro!$A$2"&amp;":$A$389, ""(?i)inclusion"")
)"),0.565967515491866)</f>
        <v>0.5659675155</v>
      </c>
      <c r="F11" s="53">
        <f>IFERROR(__xludf.DUMMYFUNCTION("FILTER(RawData_Dipro!$C$2:$C$389, 
  REGEXMATCH(RawData_Dipro!$A$2:$A$389, ""(?i)"" &amp; $E$2 &amp; ""_only_title""), 
  REGEXMATCH(RawData_Dipro!$A$2:$A$389, ""(?i)"" &amp; $E$2), REGEXMATCH(RawData_Dipro!$B$2:$B$389, ""(?i)"" &amp; $D$1), REGEXMATCH(RawData_Dipro!$A$2"&amp;":$A$389, ""(?i)inclusion"")
)"),0.52126123955447)</f>
        <v>0.5212612396</v>
      </c>
      <c r="G11" s="52">
        <f>IFERROR(__xludf.DUMMYFUNCTION("FILTER(RawData_Dipro!$C$2:$C$389, 
  REGEXMATCH(RawData_Dipro!$A$2:$A$389, ""(?i)"" &amp; $G$2 &amp; ""_only_title""), 
  REGEXMATCH(RawData_Dipro!$A$2:$A$389, ""(?i)"" &amp; $G$2), REGEXMATCH(RawData_Dipro!$B$2:$B$389, ""(?i)"" &amp; $C$1), REGEXMATCH(RawData_Dipro!$A$2"&amp;":$A$389, ""(?i)inclusion"")
)"),0.475889580830867)</f>
        <v>0.4758895808</v>
      </c>
      <c r="H11" s="53">
        <f>IFERROR(__xludf.DUMMYFUNCTION("FILTER(RawData_Dipro!$C$2:$C$389, 
  REGEXMATCH(RawData_Dipro!$A$2:$A$389, ""(?i)"" &amp; $G$2 &amp; ""_only_title""), 
  REGEXMATCH(RawData_Dipro!$A$2:$A$389, ""(?i)"" &amp; $G$2), REGEXMATCH(RawData_Dipro!$B$2:$B$389, ""(?i)"" &amp; $D$1), REGEXMATCH(RawData_Dipro!$A$2"&amp;":$A$389, ""(?i)inclusion"")
)"),0.458674843698748)</f>
        <v>0.4586748437</v>
      </c>
      <c r="I11" s="52">
        <f>IFERROR(__xludf.DUMMYFUNCTION("FILTER(RawData_Dipro!$C$2:$C$389, 
  REGEXMATCH(RawData_Dipro!$A$2:$A$389, ""(?i)"" &amp; $I$2 &amp; ""_only_title""), 
  REGEXMATCH(RawData_Dipro!$A$2:$A$389, ""(?i)"" &amp; $I$2), REGEXMATCH(RawData_Dipro!$B$2:$B$389, ""(?i)"" &amp; $C$1), REGEXMATCH(RawData_Dipro!$A$2"&amp;":$A$389, ""(?i)inclusion"")
)"),0.319578444985835)</f>
        <v>0.319578445</v>
      </c>
      <c r="J11" s="53">
        <f>IFERROR(__xludf.DUMMYFUNCTION("FILTER(RawData_Dipro!$C$2:$C$389, 
  REGEXMATCH(RawData_Dipro!$A$2:$A$389, ""(?i)"" &amp; $I$2 &amp; ""_only_title""), 
  REGEXMATCH(RawData_Dipro!$A$2:$A$389, ""(?i)"" &amp; $I$2), REGEXMATCH(RawData_Dipro!$B$2:$B$389, ""(?i)"" &amp; $D$1), REGEXMATCH(RawData_Dipro!$A$2"&amp;":$A$389, ""(?i)inclusion"")
)"),0.335193350072418)</f>
        <v>0.3351933501</v>
      </c>
      <c r="K11" s="92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</row>
    <row r="12">
      <c r="A12" s="7" t="s">
        <v>24</v>
      </c>
      <c r="C12" s="44">
        <f>IFERROR(__xludf.DUMMYFUNCTION("FILTER(RawData_Dipro!$C$2:$C$389, 
  REGEXMATCH(RawData_Dipro!$A$2:$A$389, ""(?i)"" &amp; $C$2 &amp; ""_description""), NOT(REGEXMATCH(RawData_Dipro!$A$2:$A$389, ""(?i)complete"")), 
  REGEXMATCH(RawData_Dipro!$A$2:$A$389, ""(?i)"" &amp; $C$2), REGEXMATCH(RawData_Dip"&amp;"ro!$B$2:$B$389, ""(?i)"" &amp; $C$1), 
  NOT(REGEXMATCH(RawData_Dipro!$A$2:$A$389,  ""(?i)ensemble"")) 
)"),0.631787462260468)</f>
        <v>0.6317874623</v>
      </c>
      <c r="D12" s="5">
        <f>IFERROR(__xludf.DUMMYFUNCTION("FILTER(RawData_Dipro!$C$2:$C$389, 
  REGEXMATCH(RawData_Dipro!$A$2:$A$389, ""(?i)"" &amp; $C$2 &amp; ""_description""), NOT(REGEXMATCH(RawData_Dipro!$A$2:$A$389, ""(?i)complete"")), 
  REGEXMATCH(RawData_Dipro!$A$2:$A$389, ""(?i)"" &amp; $C$2), REGEXMATCH(RawData_Dip"&amp;"ro!$B$2:$B$389, ""(?i)"" &amp; $D$1), 
  NOT(REGEXMATCH(RawData_Dipro!$A$2:$A$389,  ""(?i)ensemble"")) 
)"),0.618216042484733)</f>
        <v>0.6182160425</v>
      </c>
      <c r="E12" s="44">
        <f>IFERROR(__xludf.DUMMYFUNCTION("FILTER(RawData_Dipro!$C$2:$C$389, NOT(REGEXMATCH(RawData_Dipro!$A$2:$A$389, ""(?i)complete"")),
  REGEXMATCH(RawData_Dipro!$A$2:$A$389, ""(?i)"" &amp; $E$2 &amp; ""_description""), 
  REGEXMATCH(RawData_Dipro!$A$2:$A$389, ""(?i)"" &amp; $E$2), REGEXMATCH(RawData_Dipr"&amp;"o!$B$2:$B$389, ""(?i)"" &amp; $C$1), 
  NOT(REGEXMATCH(RawData_Dipro!$A$2:$A$389,  ""(?i)ensemble"")) 
)"),0.586439666342686)</f>
        <v>0.5864396663</v>
      </c>
      <c r="F12" s="5">
        <f>IFERROR(__xludf.DUMMYFUNCTION("FILTER(RawData_Dipro!$C$2:$C$389, NOT(REGEXMATCH(RawData_Dipro!$A$2:$A$389, ""(?i)complete"")),
  REGEXMATCH(RawData_Dipro!$A$2:$A$389, ""(?i)"" &amp; $E$2 &amp; ""_description""), 
  REGEXMATCH(RawData_Dipro!$A$2:$A$389, ""(?i)"" &amp; $E$2), REGEXMATCH(RawData_Dipr"&amp;"o!$B$2:$B$389, ""(?i)"" &amp; $D$1), 
  NOT(REGEXMATCH(RawData_Dipro!$A$2:$A$389,  ""(?i)ensemble"")) 
)"),0.569895182181278)</f>
        <v>0.5698951822</v>
      </c>
      <c r="G12" s="44">
        <f>IFERROR(__xludf.DUMMYFUNCTION("FILTER(RawData_Dipro!$C$2:$C$389, NOT(REGEXMATCH(RawData_Dipro!$A$2:$A$389, ""(?i)complete"")),
  REGEXMATCH(RawData_Dipro!$A$2:$A$389, ""(?i)"" &amp; $G$2 &amp; ""_description""), 
  REGEXMATCH(RawData_Dipro!$A$2:$A$389, ""(?i)"" &amp; $G$2), REGEXMATCH(RawData_Dipr"&amp;"o!$B$2:$B$389, ""(?i)"" &amp; $C$1), 
  NOT(REGEXMATCH(RawData_Dipro!$A$2:$A$389,  ""(?i)ensemble"")) 
)"),0.546258468663482)</f>
        <v>0.5462584687</v>
      </c>
      <c r="H12" s="5">
        <f>IFERROR(__xludf.DUMMYFUNCTION("FILTER(RawData_Dipro!$C$2:$C$389, NOT(REGEXMATCH(RawData_Dipro!$A$2:$A$389, ""(?i)complete"")),
  REGEXMATCH(RawData_Dipro!$A$2:$A$389, ""(?i)"" &amp; $G$2 &amp; ""_description""), 
  REGEXMATCH(RawData_Dipro!$A$2:$A$389, ""(?i)"" &amp; $G$2), REGEXMATCH(RawData_Dipr"&amp;"o!$B$2:$B$389, ""(?i)"" &amp; $D$1), 
  NOT(REGEXMATCH(RawData_Dipro!$A$2:$A$389,  ""(?i)ensemble"")) 
)"),0.512012998082786)</f>
        <v>0.5120129981</v>
      </c>
      <c r="I12" s="44">
        <f>IFERROR(__xludf.DUMMYFUNCTION("FILTER(RawData_Dipro!$C$2:$C$389, NOT(REGEXMATCH(RawData_Dipro!$A$2:$A$389, ""(?i)complete"")),
  REGEXMATCH(RawData_Dipro!$A$2:$A$389, ""(?i)"" &amp; $I$2 &amp; ""_description""), 
  REGEXMATCH(RawData_Dipro!$A$2:$A$389, ""(?i)"" &amp; $I$2), REGEXMATCH(RawData_Dipr"&amp;"o!$B$2:$B$389, ""(?i)"" &amp; $C$1), 
  NOT(REGEXMATCH(RawData_Dipro!$A$2:$A$389,  ""(?i)ensemble"")) 
)"),0.288938661231155)</f>
        <v>0.2889386612</v>
      </c>
      <c r="J12" s="5">
        <f>IFERROR(__xludf.DUMMYFUNCTION("FILTER(RawData_Dipro!$C$2:$C$389, NOT(REGEXMATCH(RawData_Dipro!$A$2:$A$389, ""(?i)complete"")),
  REGEXMATCH(RawData_Dipro!$A$2:$A$389, ""(?i)"" &amp; $I$2 &amp; ""_description""), 
  REGEXMATCH(RawData_Dipro!$A$2:$A$389, ""(?i)"" &amp; $I$2), REGEXMATCH(RawData_Dipr"&amp;"o!$B$2:$B$389, ""(?i)"" &amp; $D$1), 
  NOT(REGEXMATCH(RawData_Dipro!$A$2:$A$389,  ""(?i)ensemble"")) 
)"),0.329512617172151)</f>
        <v>0.3295126172</v>
      </c>
      <c r="K12" s="82"/>
    </row>
    <row r="13">
      <c r="A13" s="7"/>
      <c r="B13" s="7" t="s">
        <v>74</v>
      </c>
      <c r="C13" s="44">
        <f>IFERROR(__xludf.DUMMYFUNCTION("FILTER(RawData_Dipro!$C$2:$C$389, 
  REGEXMATCH(RawData_Dipro!$A$2:$A$389, ""(?i)"" &amp; $C$2 &amp; ""_description""), NOT(REGEXMATCH(RawData_Dipro!$A$2:$A$389, ""(?i)complete"")), 
  REGEXMATCH(RawData_Dipro!$A$2:$A$389, ""(?i)"" &amp; $C$2), REGEXMATCH(RawData_Dip"&amp;"ro!$B$2:$B$389, ""(?i)"" &amp; $C$1), REGEXMATCH(RawData_Dipro!$A$2:$A$389, ""(?i)majority"")
)"),0.633863956317775)</f>
        <v>0.6338639563</v>
      </c>
      <c r="D13" s="5">
        <f>IFERROR(__xludf.DUMMYFUNCTION("FILTER(RawData_Dipro!$C$2:$C$389, 
  REGEXMATCH(RawData_Dipro!$A$2:$A$389, ""(?i)"" &amp; $C$2 &amp; ""_description""), NOT(REGEXMATCH(RawData_Dipro!$A$2:$A$389, ""(?i)complete"")), 
  REGEXMATCH(RawData_Dipro!$A$2:$A$389, ""(?i)"" &amp; $C$2), REGEXMATCH(RawData_Dip"&amp;"ro!$B$2:$B$389, ""(?i)"" &amp; $D$1), REGEXMATCH(RawData_Dipro!$A$2:$A$389, ""(?i)majority"")
)"),0.620327525532822)</f>
        <v>0.6203275255</v>
      </c>
      <c r="E13" s="44">
        <f>IFERROR(__xludf.DUMMYFUNCTION("FILTER(RawData_Dipro!$C$2:$C$389, NOT(REGEXMATCH(RawData_Dipro!$A$2:$A$389, ""(?i)complete"")),
  REGEXMATCH(RawData_Dipro!$A$2:$A$389, ""(?i)"" &amp; $E$2 &amp; ""_description""), 
  REGEXMATCH(RawData_Dipro!$A$2:$A$389, ""(?i)"" &amp; $E$2), REGEXMATCH(RawData_Dipr"&amp;"o!$B$2:$B$389, ""(?i)"" &amp; $C$1), REGEXMATCH(RawData_Dipro!$A$2:$A$389, ""(?i)majority"")
)"),0.587539094270107)</f>
        <v>0.5875390943</v>
      </c>
      <c r="F13" s="5">
        <f>IFERROR(__xludf.DUMMYFUNCTION("FILTER(RawData_Dipro!$C$2:$C$389, NOT(REGEXMATCH(RawData_Dipro!$A$2:$A$389, ""(?i)complete"")),
  REGEXMATCH(RawData_Dipro!$A$2:$A$389, ""(?i)"" &amp; $E$2 &amp; ""_description""), 
  REGEXMATCH(RawData_Dipro!$A$2:$A$389, ""(?i)"" &amp; $E$2), REGEXMATCH(RawData_Dipr"&amp;"o!$B$2:$B$389, ""(?i)"" &amp; $D$1), REGEXMATCH(RawData_Dipro!$A$2:$A$389, ""(?i)majority"")
)"),0.57206098369349)</f>
        <v>0.5720609837</v>
      </c>
      <c r="G13" s="44">
        <f>IFERROR(__xludf.DUMMYFUNCTION("FILTER(RawData_Dipro!$C$2:$C$389, NOT(REGEXMATCH(RawData_Dipro!$A$2:$A$389, ""(?i)complete"")),
  REGEXMATCH(RawData_Dipro!$A$2:$A$389, ""(?i)"" &amp; $G$2 &amp; ""_description""), 
  REGEXMATCH(RawData_Dipro!$A$2:$A$389, ""(?i)"" &amp; $G$2), REGEXMATCH(RawData_Dipr"&amp;"o!$B$2:$B$389, ""(?i)"" &amp; $C$1), REGEXMATCH(RawData_Dipro!$A$2:$A$389, ""(?i)majority"")
)"),0.574595032322791)</f>
        <v>0.5745950323</v>
      </c>
      <c r="H13" s="5">
        <f>IFERROR(__xludf.DUMMYFUNCTION("FILTER(RawData_Dipro!$C$2:$C$389, NOT(REGEXMATCH(RawData_Dipro!$A$2:$A$389, ""(?i)complete"")),
  REGEXMATCH(RawData_Dipro!$A$2:$A$389, ""(?i)"" &amp; $G$2 &amp; ""_description""), 
  REGEXMATCH(RawData_Dipro!$A$2:$A$389, ""(?i)"" &amp; $G$2), REGEXMATCH(RawData_Dipr"&amp;"o!$B$2:$B$389, ""(?i)"" &amp; $D$1), REGEXMATCH(RawData_Dipro!$A$2:$A$389, ""(?i)majority"")
)"),0.536730815284441)</f>
        <v>0.5367308153</v>
      </c>
      <c r="I13" s="44">
        <f>IFERROR(__xludf.DUMMYFUNCTION("FILTER(RawData_Dipro!$C$2:$C$389, NOT(REGEXMATCH(RawData_Dipro!$A$2:$A$389, ""(?i)complete"")),
  REGEXMATCH(RawData_Dipro!$A$2:$A$389, ""(?i)"" &amp; $I$2 &amp; ""_description""), 
  REGEXMATCH(RawData_Dipro!$A$2:$A$389, ""(?i)"" &amp; $I$2), REGEXMATCH(RawData_Dipr"&amp;"o!$B$2:$B$389, ""(?i)"" &amp; $C$1), REGEXMATCH(RawData_Dipro!$A$2:$A$389, ""(?i)majority"")
)"),0.279935338785395)</f>
        <v>0.2799353388</v>
      </c>
      <c r="J13" s="5">
        <f>IFERROR(__xludf.DUMMYFUNCTION("FILTER(RawData_Dipro!$C$2:$C$389, NOT(REGEXMATCH(RawData_Dipro!$A$2:$A$389, ""(?i)complete"")),
  REGEXMATCH(RawData_Dipro!$A$2:$A$389, ""(?i)"" &amp; $I$2 &amp; ""_description""), 
  REGEXMATCH(RawData_Dipro!$A$2:$A$389, ""(?i)"" &amp; $I$2), REGEXMATCH(RawData_Dipr"&amp;"o!$B$2:$B$389, ""(?i)"" &amp; $D$1), REGEXMATCH(RawData_Dipro!$A$2:$A$389, ""(?i)majority"")
)"),0.338554835651074)</f>
        <v>0.3385548357</v>
      </c>
      <c r="K13" s="82"/>
    </row>
    <row r="14">
      <c r="A14" s="74"/>
      <c r="B14" s="74" t="s">
        <v>75</v>
      </c>
      <c r="C14" s="52">
        <f>IFERROR(__xludf.DUMMYFUNCTION("FILTER(RawData_Dipro!$C$2:$C$389, 
  REGEXMATCH(RawData_Dipro!$A$2:$A$389, ""(?i)"" &amp; $C$2 &amp; ""_description""), NOT(REGEXMATCH(RawData_Dipro!$A$2:$A$389, ""(?i)complete"")), 
  REGEXMATCH(RawData_Dipro!$A$2:$A$389, ""(?i)"" &amp; $C$2), REGEXMATCH(RawData_Dip"&amp;"ro!$B$2:$B$389, ""(?i)"" &amp; $C$1), REGEXMATCH(RawData_Dipro!$A$2:$A$389, ""(?i)inclusion"")
)"),0.619132771075762)</f>
        <v>0.6191327711</v>
      </c>
      <c r="D14" s="53">
        <f>IFERROR(__xludf.DUMMYFUNCTION("FILTER(RawData_Dipro!$C$2:$C$389, 
  REGEXMATCH(RawData_Dipro!$A$2:$A$389, ""(?i)"" &amp; $C$2 &amp; ""_description""), NOT(REGEXMATCH(RawData_Dipro!$A$2:$A$389, ""(?i)complete"")), 
  REGEXMATCH(RawData_Dipro!$A$2:$A$389, ""(?i)"" &amp; $C$2), REGEXMATCH(RawData_Dip"&amp;"ro!$B$2:$B$389, ""(?i)"" &amp; $D$1), REGEXMATCH(RawData_Dipro!$A$2:$A$389, ""(?i)inclusion"")
)"),0.609825794098951)</f>
        <v>0.6098257941</v>
      </c>
      <c r="E14" s="52">
        <f>IFERROR(__xludf.DUMMYFUNCTION("FILTER(RawData_Dipro!$C$2:$C$389, NOT(REGEXMATCH(RawData_Dipro!$A$2:$A$389, ""(?i)complete"")),
  REGEXMATCH(RawData_Dipro!$A$2:$A$389, ""(?i)"" &amp; $E$2 &amp; ""_description""), 
  REGEXMATCH(RawData_Dipro!$A$2:$A$389, ""(?i)"" &amp; $E$2), REGEXMATCH(RawData_Dipr"&amp;"o!$B$2:$B$389, ""(?i)"" &amp; $C$1), REGEXMATCH(RawData_Dipro!$A$2:$A$389, ""(?i)inclusion"")
)"),0.575989677858439)</f>
        <v>0.5759896779</v>
      </c>
      <c r="F14" s="53">
        <f>IFERROR(__xludf.DUMMYFUNCTION("FILTER(RawData_Dipro!$C$2:$C$389, NOT(REGEXMATCH(RawData_Dipro!$A$2:$A$389, ""(?i)complete"")),
  REGEXMATCH(RawData_Dipro!$A$2:$A$389, ""(?i)"" &amp; $E$2 &amp; ""_description""), 
  REGEXMATCH(RawData_Dipro!$A$2:$A$389, ""(?i)"" &amp; $E$2), REGEXMATCH(RawData_Dipr"&amp;"o!$B$2:$B$389, ""(?i)"" &amp; $D$1), REGEXMATCH(RawData_Dipro!$A$2:$A$389, ""(?i)inclusion"")
)"),0.559368804437415)</f>
        <v>0.5593688044</v>
      </c>
      <c r="G14" s="52">
        <f>IFERROR(__xludf.DUMMYFUNCTION("FILTER(RawData_Dipro!$C$2:$C$389, NOT(REGEXMATCH(RawData_Dipro!$A$2:$A$389, ""(?i)complete"")),
  REGEXMATCH(RawData_Dipro!$A$2:$A$389, ""(?i)"" &amp; $G$2 &amp; ""_description""), 
  REGEXMATCH(RawData_Dipro!$A$2:$A$389, ""(?i)"" &amp; $G$2), REGEXMATCH(RawData_Dipr"&amp;"o!$B$2:$B$389, ""(?i)"" &amp; $C$1), REGEXMATCH(RawData_Dipro!$A$2:$A$389, ""(?i)inclusion"")
)"),0.505656304289516)</f>
        <v>0.5056563043</v>
      </c>
      <c r="H14" s="53">
        <f>IFERROR(__xludf.DUMMYFUNCTION("FILTER(RawData_Dipro!$C$2:$C$389, NOT(REGEXMATCH(RawData_Dipro!$A$2:$A$389, ""(?i)complete"")),
  REGEXMATCH(RawData_Dipro!$A$2:$A$389, ""(?i)"" &amp; $G$2 &amp; ""_description""), 
  REGEXMATCH(RawData_Dipro!$A$2:$A$389, ""(?i)"" &amp; $G$2), REGEXMATCH(RawData_Dipr"&amp;"o!$B$2:$B$389, ""(?i)"" &amp; $D$1), REGEXMATCH(RawData_Dipro!$A$2:$A$389, ""(?i)inclusion"")
)"),0.477122368956368)</f>
        <v>0.477122369</v>
      </c>
      <c r="I14" s="52">
        <f>IFERROR(__xludf.DUMMYFUNCTION("FILTER(RawData_Dipro!$C$2:$C$389, NOT(REGEXMATCH(RawData_Dipro!$A$2:$A$389, ""(?i)complete"")),
  REGEXMATCH(RawData_Dipro!$A$2:$A$389, ""(?i)"" &amp; $I$2 &amp; ""_description""), 
  REGEXMATCH(RawData_Dipro!$A$2:$A$389, ""(?i)"" &amp; $I$2), REGEXMATCH(RawData_Dipr"&amp;"o!$B$2:$B$389, ""(?i)"" &amp; $C$1), REGEXMATCH(RawData_Dipro!$A$2:$A$389, ""(?i)inclusion"")
)"),0.32708042578216)</f>
        <v>0.3270804258</v>
      </c>
      <c r="J14" s="53">
        <f>IFERROR(__xludf.DUMMYFUNCTION("FILTER(RawData_Dipro!$C$2:$C$389, NOT(REGEXMATCH(RawData_Dipro!$A$2:$A$389, ""(?i)complete"")),
  REGEXMATCH(RawData_Dipro!$A$2:$A$389, ""(?i)"" &amp; $I$2 &amp; ""_description""), 
  REGEXMATCH(RawData_Dipro!$A$2:$A$389, ""(?i)"" &amp; $I$2), REGEXMATCH(RawData_Dipr"&amp;"o!$B$2:$B$389, ""(?i)"" &amp; $D$1), REGEXMATCH(RawData_Dipro!$A$2:$A$389, ""(?i)inclusion"")
)"),0.34934492666203)</f>
        <v>0.3493449267</v>
      </c>
      <c r="K14" s="92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</row>
    <row r="15">
      <c r="A15" s="7" t="s">
        <v>28</v>
      </c>
      <c r="C15" s="44">
        <f>IFERROR(__xludf.DUMMYFUNCTION("FILTER(RawData_Dipro!$C$2:$C$389, 
  REGEXMATCH(RawData_Dipro!$A$2:$A$389, ""(?i)"" &amp; $C$2 &amp; ""_description_complete""), 
  REGEXMATCH(RawData_Dipro!$A$2:$A$389, ""(?i)"" &amp; $C$2), REGEXMATCH(RawData_Dipro!$B$2:$B$389, ""(?i)"" &amp; $C$1), 
  NOT(REGEXMATCH(R"&amp;"awData_Dipro!$A$2:$A$389,  ""(?i)ensemble"")) 
)"),0.632355163340107)</f>
        <v>0.6323551633</v>
      </c>
      <c r="D15" s="5">
        <f>IFERROR(__xludf.DUMMYFUNCTION("FILTER(RawData_Dipro!$C$2:$C$389, 
  REGEXMATCH(RawData_Dipro!$A$2:$A$389, ""(?i)"" &amp; $C$2 &amp; ""_description_complete""), 
  REGEXMATCH(RawData_Dipro!$A$2:$A$389, ""(?i)"" &amp; $C$2), REGEXMATCH(RawData_Dipro!$B$2:$B$389, ""(?i)"" &amp; $D$1), 
  NOT(REGEXMATCH(R"&amp;"awData_Dipro!$A$2:$A$389,  ""(?i)ensemble"")) 
)"),0.606225827187698)</f>
        <v>0.6062258272</v>
      </c>
      <c r="E15" s="44">
        <f>IFERROR(__xludf.DUMMYFUNCTION("FILTER(RawData_Dipro!$C$2:$C$389, 
  REGEXMATCH(RawData_Dipro!$A$2:$A$389, ""(?i)"" &amp; $E$2 &amp; ""_description_complete""), 
  REGEXMATCH(RawData_Dipro!$A$2:$A$389, ""(?i)"" &amp; $E$2), REGEXMATCH(RawData_Dipro!$B$2:$B$389, ""(?i)"" &amp; $C$1), 
  NOT(REGEXMATCH(R"&amp;"awData_Dipro!$A$2:$A$389,  ""(?i)ensemble"")) 
)"),0.535090217689681)</f>
        <v>0.5350902177</v>
      </c>
      <c r="F15" s="5">
        <f>IFERROR(__xludf.DUMMYFUNCTION("FILTER(RawData_Dipro!$C$2:$C$389, 
  REGEXMATCH(RawData_Dipro!$A$2:$A$389, ""(?i)"" &amp; $E$2 &amp; ""_description_complete""), 
  REGEXMATCH(RawData_Dipro!$A$2:$A$389, ""(?i)"" &amp; $E$2), REGEXMATCH(RawData_Dipro!$B$2:$B$389, ""(?i)"" &amp; $D$1), 
  NOT(REGEXMATCH(R"&amp;"awData_Dipro!$A$2:$A$389,  ""(?i)ensemble"")) 
)"),0.477750371254548)</f>
        <v>0.4777503713</v>
      </c>
      <c r="G15" s="44">
        <f>IFERROR(__xludf.DUMMYFUNCTION("FILTER(RawData_Dipro!$C$2:$C$389, 
  REGEXMATCH(RawData_Dipro!$A$2:$A$389, ""(?i)"" &amp; $G$2 &amp; ""_description_complete""), 
  REGEXMATCH(RawData_Dipro!$A$2:$A$389, ""(?i)"" &amp; $G$2), REGEXMATCH(RawData_Dipro!$B$2:$B$389, ""(?i)"" &amp; $C$1), 
  NOT(REGEXMATCH(R"&amp;"awData_Dipro!$A$2:$A$389,  ""(?i)ensemble"")) 
)"),0.457442229094388)</f>
        <v>0.4574422291</v>
      </c>
      <c r="H15" s="5">
        <f>IFERROR(__xludf.DUMMYFUNCTION("FILTER(RawData_Dipro!$C$2:$C$389, 
  REGEXMATCH(RawData_Dipro!$A$2:$A$389, ""(?i)"" &amp; $G$2 &amp; ""_description_complete""), 
  REGEXMATCH(RawData_Dipro!$A$2:$A$389, ""(?i)"" &amp; $G$2), REGEXMATCH(RawData_Dipro!$B$2:$B$389, ""(?i)"" &amp; $D$1), 
  NOT(REGEXMATCH(R"&amp;"awData_Dipro!$A$2:$A$389,  ""(?i)ensemble"")) 
)"),0.427462251024684)</f>
        <v>0.427462251</v>
      </c>
      <c r="I15" s="44">
        <f>IFERROR(__xludf.DUMMYFUNCTION("FILTER(RawData_Dipro!$C$2:$C$389, 
  REGEXMATCH(RawData_Dipro!$A$2:$A$389, ""(?i)"" &amp; $I$2 &amp; ""_description_complete""), 
  REGEXMATCH(RawData_Dipro!$A$2:$A$389, ""(?i)"" &amp; $I$2), REGEXMATCH(RawData_Dipro!$B$2:$B$389, ""(?i)"" &amp; $C$1), 
  NOT(REGEXMATCH(R"&amp;"awData_Dipro!$A$2:$A$389,  ""(?i)ensemble"")) 
)"),0.245367655632764)</f>
        <v>0.2453676556</v>
      </c>
      <c r="J15" s="5">
        <f>IFERROR(__xludf.DUMMYFUNCTION("FILTER(RawData_Dipro!$C$2:$C$389, 
  REGEXMATCH(RawData_Dipro!$A$2:$A$389, ""(?i)"" &amp; $I$2 &amp; ""_description_complete""), 
  REGEXMATCH(RawData_Dipro!$A$2:$A$389, ""(?i)"" &amp; $I$2), REGEXMATCH(RawData_Dipro!$B$2:$B$389, ""(?i)"" &amp; $D$1), 
  NOT(REGEXMATCH(R"&amp;"awData_Dipro!$A$2:$A$389,  ""(?i)ensemble"")) 
)"),0.282654794342775)</f>
        <v>0.2826547943</v>
      </c>
      <c r="K15" s="82"/>
    </row>
    <row r="16">
      <c r="A16" s="7"/>
      <c r="B16" s="7" t="s">
        <v>74</v>
      </c>
      <c r="C16" s="44">
        <f>IFERROR(__xludf.DUMMYFUNCTION("FILTER(RawData_Dipro!$C$2:$C$389, 
  REGEXMATCH(RawData_Dipro!$A$2:$A$389, ""(?i)"" &amp; $C$2 &amp; ""_description_complete""), 
  REGEXMATCH(RawData_Dipro!$A$2:$A$389, ""(?i)"" &amp; $C$2), REGEXMATCH(RawData_Dipro!$B$2:$B$389, ""(?i)"" &amp; $C$1), REGEXMATCH(RawData_"&amp;"Dipro!$A$2:$A$389, ""(?i)majority"")
)"),0.632205916810062)</f>
        <v>0.6322059168</v>
      </c>
      <c r="D16" s="5">
        <f>IFERROR(__xludf.DUMMYFUNCTION("FILTER(RawData_Dipro!$C$2:$C$389, 
  REGEXMATCH(RawData_Dipro!$A$2:$A$389, ""(?i)"" &amp; $C$2 &amp; ""_description_complete""), 
  REGEXMATCH(RawData_Dipro!$A$2:$A$389, ""(?i)"" &amp; $C$2), REGEXMATCH(RawData_Dipro!$B$2:$B$389, ""(?i)"" &amp; $D$1), REGEXMATCH(RawData_"&amp;"Dipro!$A$2:$A$389, ""(?i)majority"")
)"),0.608399101396975)</f>
        <v>0.6083991014</v>
      </c>
      <c r="E16" s="44">
        <f>IFERROR(__xludf.DUMMYFUNCTION("FILTER(RawData_Dipro!$C$2:$C$389, 
  REGEXMATCH(RawData_Dipro!$A$2:$A$389, ""(?i)"" &amp; $E$2 &amp; ""_description_complete""), 
  REGEXMATCH(RawData_Dipro!$A$2:$A$389, ""(?i)"" &amp; $E$2), REGEXMATCH(RawData_Dipro!$B$2:$B$389, ""(?i)"" &amp; $C$1), REGEXMATCH(RawData_"&amp;"Dipro!$A$2:$A$389, ""(?i)majority"")
)"),0.53406959490258)</f>
        <v>0.5340695949</v>
      </c>
      <c r="F16" s="5">
        <f>IFERROR(__xludf.DUMMYFUNCTION("FILTER(RawData_Dipro!$C$2:$C$389, 
  REGEXMATCH(RawData_Dipro!$A$2:$A$389, ""(?i)"" &amp; $E$2 &amp; ""_description_complete""), 
  REGEXMATCH(RawData_Dipro!$A$2:$A$389, ""(?i)"" &amp; $E$2), REGEXMATCH(RawData_Dipro!$B$2:$B$389, ""(?i)"" &amp; $D$1), REGEXMATCH(RawData_"&amp;"Dipro!$A$2:$A$389, ""(?i)majority"")
)"),0.475719536119595)</f>
        <v>0.4757195361</v>
      </c>
      <c r="G16" s="44">
        <f>IFERROR(__xludf.DUMMYFUNCTION("FILTER(RawData_Dipro!$C$2:$C$389, 
  REGEXMATCH(RawData_Dipro!$A$2:$A$389, ""(?i)"" &amp; $G$2 &amp; ""_description_complete""), 
  REGEXMATCH(RawData_Dipro!$A$2:$A$389, ""(?i)"" &amp; $G$2), REGEXMATCH(RawData_Dipro!$B$2:$B$389, ""(?i)"" &amp; $C$1), REGEXMATCH(RawData_"&amp;"Dipro!$A$2:$A$389, ""(?i)majority"")
)"),0.50020370939895)</f>
        <v>0.5002037094</v>
      </c>
      <c r="H16" s="5">
        <f>IFERROR(__xludf.DUMMYFUNCTION("FILTER(RawData_Dipro!$C$2:$C$389, 
  REGEXMATCH(RawData_Dipro!$A$2:$A$389, ""(?i)"" &amp; $G$2 &amp; ""_description_complete""), 
  REGEXMATCH(RawData_Dipro!$A$2:$A$389, ""(?i)"" &amp; $G$2), REGEXMATCH(RawData_Dipro!$B$2:$B$389, ""(?i)"" &amp; $D$1), REGEXMATCH(RawData_"&amp;"Dipro!$A$2:$A$389, ""(?i)majority"")
)"),0.455431772223906)</f>
        <v>0.4554317722</v>
      </c>
      <c r="I16" s="44">
        <f>IFERROR(__xludf.DUMMYFUNCTION("FILTER(RawData_Dipro!$C$2:$C$389, 
  REGEXMATCH(RawData_Dipro!$A$2:$A$389, ""(?i)"" &amp; $I$2 &amp; ""_description_complete""), 
  REGEXMATCH(RawData_Dipro!$A$2:$A$389, ""(?i)"" &amp; $I$2), REGEXMATCH(RawData_Dipro!$B$2:$B$389, ""(?i)"" &amp; $C$1), REGEXMATCH(RawData_"&amp;"Dipro!$A$2:$A$389, ""(?i)majority"")
)"),0.217503977970605)</f>
        <v>0.217503978</v>
      </c>
      <c r="J16" s="5">
        <f>IFERROR(__xludf.DUMMYFUNCTION("FILTER(RawData_Dipro!$C$2:$C$389, 
  REGEXMATCH(RawData_Dipro!$A$2:$A$389, ""(?i)"" &amp; $I$2 &amp; ""_description_complete""), 
  REGEXMATCH(RawData_Dipro!$A$2:$A$389, ""(?i)"" &amp; $I$2), REGEXMATCH(RawData_Dipro!$B$2:$B$389, ""(?i)"" &amp; $D$1), REGEXMATCH(RawData_"&amp;"Dipro!$A$2:$A$389, ""(?i)majority"")
)"),0.276049449100619)</f>
        <v>0.2760494491</v>
      </c>
      <c r="K16" s="82"/>
    </row>
    <row r="17">
      <c r="A17" s="74"/>
      <c r="B17" s="74" t="s">
        <v>75</v>
      </c>
      <c r="C17" s="52">
        <f>IFERROR(__xludf.DUMMYFUNCTION("FILTER(RawData_Dipro!$C$2:$C$389, 
  REGEXMATCH(RawData_Dipro!$A$2:$A$389, ""(?i)"" &amp; $C$2 &amp; ""_description_complete""), 
  REGEXMATCH(RawData_Dipro!$A$2:$A$389, ""(?i)"" &amp; $C$2), REGEXMATCH(RawData_Dipro!$B$2:$B$389, ""(?i)"" &amp; $C$1), REGEXMATCH(RawData_"&amp;"Dipro!$A$2:$A$389, ""(?i)inclusion"")
)"),0.623665130624197)</f>
        <v>0.6236651306</v>
      </c>
      <c r="D17" s="53">
        <f>IFERROR(__xludf.DUMMYFUNCTION("FILTER(RawData_Dipro!$C$2:$C$389, 
  REGEXMATCH(RawData_Dipro!$A$2:$A$389, ""(?i)"" &amp; $C$2 &amp; ""_description_complete""), 
  REGEXMATCH(RawData_Dipro!$A$2:$A$389, ""(?i)"" &amp; $C$2), REGEXMATCH(RawData_Dipro!$B$2:$B$389, ""(?i)"" &amp; $D$1), REGEXMATCH(RawData_"&amp;"Dipro!$A$2:$A$389, ""(?i)inclusion"")
)"),0.593928228651202)</f>
        <v>0.5939282287</v>
      </c>
      <c r="E17" s="52">
        <f>IFERROR(__xludf.DUMMYFUNCTION("FILTER(RawData_Dipro!$C$2:$C$389, 
  REGEXMATCH(RawData_Dipro!$A$2:$A$389, ""(?i)"" &amp; $E$2 &amp; ""_description_complete""), 
  REGEXMATCH(RawData_Dipro!$A$2:$A$389, ""(?i)"" &amp; $E$2), REGEXMATCH(RawData_Dipro!$B$2:$B$389, ""(?i)"" &amp; $C$1), REGEXMATCH(RawData_"&amp;"Dipro!$A$2:$A$389, ""(?i)inclusion"")
)"),0.529201648845143)</f>
        <v>0.5292016488</v>
      </c>
      <c r="F17" s="53">
        <f>IFERROR(__xludf.DUMMYFUNCTION("FILTER(RawData_Dipro!$C$2:$C$389, 
  REGEXMATCH(RawData_Dipro!$A$2:$A$389, ""(?i)"" &amp; $E$2 &amp; ""_description_complete""), 
  REGEXMATCH(RawData_Dipro!$A$2:$A$389, ""(?i)"" &amp; $E$2), REGEXMATCH(RawData_Dipro!$B$2:$B$389, ""(?i)"" &amp; $D$1), REGEXMATCH(RawData_"&amp;"Dipro!$A$2:$A$389, ""(?i)inclusion"")
)"),0.483904295812941)</f>
        <v>0.4839042958</v>
      </c>
      <c r="G17" s="52">
        <f>IFERROR(__xludf.DUMMYFUNCTION("FILTER(RawData_Dipro!$C$2:$C$389, 
  REGEXMATCH(RawData_Dipro!$A$2:$A$389, ""(?i)"" &amp; $G$2 &amp; ""_description_complete""), 
  REGEXMATCH(RawData_Dipro!$A$2:$A$389, ""(?i)"" &amp; $G$2), REGEXMATCH(RawData_Dipro!$B$2:$B$389, ""(?i)"" &amp; $C$1), REGEXMATCH(RawData_"&amp;"Dipro!$A$2:$A$389, ""(?i)inclusion"")
)"),0.420755678424062)</f>
        <v>0.4207556784</v>
      </c>
      <c r="H17" s="53">
        <f>IFERROR(__xludf.DUMMYFUNCTION("FILTER(RawData_Dipro!$C$2:$C$389, 
  REGEXMATCH(RawData_Dipro!$A$2:$A$389, ""(?i)"" &amp; $G$2 &amp; ""_description_complete""), 
  REGEXMATCH(RawData_Dipro!$A$2:$A$389, ""(?i)"" &amp; $G$2), REGEXMATCH(RawData_Dipro!$B$2:$B$389, ""(?i)"" &amp; $D$1), REGEXMATCH(RawData_"&amp;"Dipro!$A$2:$A$389, ""(?i)inclusion"")
)"),0.406669665894335)</f>
        <v>0.4066696659</v>
      </c>
      <c r="I17" s="52">
        <f>IFERROR(__xludf.DUMMYFUNCTION("FILTER(RawData_Dipro!$C$2:$C$389, 
  REGEXMATCH(RawData_Dipro!$A$2:$A$389, ""(?i)"" &amp; $I$2 &amp; ""_description_complete""), 
  REGEXMATCH(RawData_Dipro!$A$2:$A$389, ""(?i)"" &amp; $I$2), REGEXMATCH(RawData_Dipro!$B$2:$B$389, ""(?i)"" &amp; $C$1), REGEXMATCH(RawData_"&amp;"Dipro!$A$2:$A$389, ""(?i)inclusion"")
)"),0.304614647958481)</f>
        <v>0.304614648</v>
      </c>
      <c r="J17" s="53">
        <f>IFERROR(__xludf.DUMMYFUNCTION("FILTER(RawData_Dipro!$C$2:$C$389, 
  REGEXMATCH(RawData_Dipro!$A$2:$A$389, ""(?i)"" &amp; $I$2 &amp; ""_description_complete""), 
  REGEXMATCH(RawData_Dipro!$A$2:$A$389, ""(?i)"" &amp; $I$2), REGEXMATCH(RawData_Dipro!$B$2:$B$389, ""(?i)"" &amp; $D$1), REGEXMATCH(RawData_"&amp;"Dipro!$A$2:$A$389, ""(?i)inclusion"")
)"),0.322799422799422)</f>
        <v>0.3227994228</v>
      </c>
      <c r="K17" s="92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</row>
    <row r="18">
      <c r="A18" s="7" t="s">
        <v>22</v>
      </c>
      <c r="C18" s="44">
        <f>IFERROR(__xludf.DUMMYFUNCTION("FILTER(RawData_Dipro!$C$2:$C$389, 
  REGEXMATCH(RawData_Dipro!$A$2:$A$389, ""(?i)"" &amp; $C$2 &amp; ""_zero_shot_gpt_only_title""), 
  REGEXMATCH(RawData_Dipro!$A$2:$A$389, ""(?i)"" &amp; $C$2), REGEXMATCH(RawData_Dipro!$B$2:$B$389, ""(?i)"" &amp; $C$1), 
  NOT(REGEXMAT"&amp;"CH(RawData_Dipro!$A$2:$A$389,  ""(?i)ensemble"")) 
)"),0.608500522443986)</f>
        <v>0.6085005224</v>
      </c>
      <c r="D18" s="5">
        <f>IFERROR(__xludf.DUMMYFUNCTION("FILTER(RawData_Dipro!$C$2:$C$389, 
  REGEXMATCH(RawData_Dipro!$A$2:$A$389, ""(?i)"" &amp; $C$2 &amp; ""_zero_shot_gpt_only_title""), 
  REGEXMATCH(RawData_Dipro!$A$2:$A$389, ""(?i)"" &amp; $C$2), REGEXMATCH(RawData_Dipro!$B$2:$B$389, ""(?i)"" &amp; $D$1), 
  NOT(REGEXMAT"&amp;"CH(RawData_Dipro!$A$2:$A$389,  ""(?i)ensemble"")) 
)"),0.565727300132339)</f>
        <v>0.5657273001</v>
      </c>
      <c r="E18" s="44">
        <f>IFERROR(__xludf.DUMMYFUNCTION("FILTER(RawData_Dipro!$C$2:$C$389, 
  REGEXMATCH(RawData_Dipro!$A$2:$A$389, ""(?i)"" &amp; $E$2 &amp; ""_zero_shot_gpt_only_title""), 
  REGEXMATCH(RawData_Dipro!$A$2:$A$389, ""(?i)"" &amp; $E$2), REGEXMATCH(RawData_Dipro!$B$2:$B$389, ""(?i)"" &amp; $C$1), 
  NOT(REGEXMAT"&amp;"CH(RawData_Dipro!$A$2:$A$389,  ""(?i)ensemble"")) 
)"),0.583927636565709)</f>
        <v>0.5839276366</v>
      </c>
      <c r="F18" s="5">
        <f>IFERROR(__xludf.DUMMYFUNCTION("FILTER(RawData_Dipro!$C$2:$C$389, 
  REGEXMATCH(RawData_Dipro!$A$2:$A$389, ""(?i)"" &amp; $E$2 &amp; ""_zero_shot_gpt_only_title""), 
  REGEXMATCH(RawData_Dipro!$A$2:$A$389, ""(?i)"" &amp; $E$2), REGEXMATCH(RawData_Dipro!$B$2:$B$389, ""(?i)"" &amp; $D$1), 
  NOT(REGEXMAT"&amp;"CH(RawData_Dipro!$A$2:$A$389,  ""(?i)ensemble"")) 
)"),0.523712547832867)</f>
        <v>0.5237125478</v>
      </c>
      <c r="G18" s="44">
        <f>IFERROR(__xludf.DUMMYFUNCTION("FILTER(RawData_Dipro!$C$2:$C$389, 
  REGEXMATCH(RawData_Dipro!$A$2:$A$389, ""(?i)"" &amp; $G$2 &amp; ""_zero_shot_gpt_only_title""), 
  REGEXMATCH(RawData_Dipro!$A$2:$A$389, ""(?i)"" &amp; $G$2), REGEXMATCH(RawData_Dipro!$B$2:$B$389, ""(?i)"" &amp; $C$1), 
  NOT(REGEXMAT"&amp;"CH(RawData_Dipro!$A$2:$A$389,  ""(?i)ensemble"")) 
)"),0.524902705155418)</f>
        <v>0.5249027052</v>
      </c>
      <c r="H18" s="5">
        <f>IFERROR(__xludf.DUMMYFUNCTION("FILTER(RawData_Dipro!$C$2:$C$389, 
  REGEXMATCH(RawData_Dipro!$A$2:$A$389, ""(?i)"" &amp; $G$2 &amp; ""_zero_shot_gpt_only_title""), 
  REGEXMATCH(RawData_Dipro!$A$2:$A$389, ""(?i)"" &amp; $G$2), REGEXMATCH(RawData_Dipro!$B$2:$B$389, ""(?i)"" &amp; $D$1), 
  NOT(REGEXMAT"&amp;"CH(RawData_Dipro!$A$2:$A$389,  ""(?i)ensemble"")) 
)"),0.490732657736496)</f>
        <v>0.4907326577</v>
      </c>
      <c r="I18" s="44">
        <f>IFERROR(__xludf.DUMMYFUNCTION("FILTER(RawData_Dipro!$C$2:$C$389, 
  REGEXMATCH(RawData_Dipro!$A$2:$A$389, ""(?i)"" &amp; $I$2 &amp; ""_zero_shot_gpt_only_title""), 
  REGEXMATCH(RawData_Dipro!$A$2:$A$389, ""(?i)"" &amp; $I$2), REGEXMATCH(RawData_Dipro!$B$2:$B$389, ""(?i)"" &amp; $C$1), 
  NOT(REGEXMAT"&amp;"CH(RawData_Dipro!$A$2:$A$389,  ""(?i)ensemble"")) 
)"),0.267289569310955)</f>
        <v>0.2672895693</v>
      </c>
      <c r="J18" s="5">
        <f>IFERROR(__xludf.DUMMYFUNCTION("FILTER(RawData_Dipro!$C$2:$C$389, 
  REGEXMATCH(RawData_Dipro!$A$2:$A$389, ""(?i)"" &amp; $I$2 &amp; ""_zero_shot_gpt_only_title""), 
  REGEXMATCH(RawData_Dipro!$A$2:$A$389, ""(?i)"" &amp; $I$2), REGEXMATCH(RawData_Dipro!$B$2:$B$389, ""(?i)"" &amp; $D$1), 
  NOT(REGEXMAT"&amp;"CH(RawData_Dipro!$A$2:$A$389,  ""(?i)ensemble"")) 
)"),0.297865824391553)</f>
        <v>0.2978658244</v>
      </c>
      <c r="K18" s="82"/>
    </row>
    <row r="19">
      <c r="A19" s="7"/>
      <c r="B19" s="7" t="s">
        <v>74</v>
      </c>
      <c r="C19" s="44">
        <f>IFERROR(__xludf.DUMMYFUNCTION("FILTER(RawData_Dipro!$C$2:$C$389, 
  REGEXMATCH(RawData_Dipro!$A$2:$A$389, ""(?i)"" &amp; $C$2 &amp; ""_zero_shot_gpt_only_title""), 
  REGEXMATCH(RawData_Dipro!$A$2:$A$389, ""(?i)"" &amp; $C$2), REGEXMATCH(RawData_Dipro!$B$2:$B$389, ""(?i)"" &amp; $C$1), REGEXMATCH(RawD"&amp;"ata_Dipro!$A$2:$A$389, ""(?i)majority"")
)"),0.611137434520519)</f>
        <v>0.6111374345</v>
      </c>
      <c r="D19" s="5">
        <f>IFERROR(__xludf.DUMMYFUNCTION("FILTER(RawData_Dipro!$C$2:$C$389, 
  REGEXMATCH(RawData_Dipro!$A$2:$A$389, ""(?i)"" &amp; $C$2 &amp; ""_zero_shot_gpt_only_title""), 
  REGEXMATCH(RawData_Dipro!$A$2:$A$389, ""(?i)"" &amp; $C$2), REGEXMATCH(RawData_Dipro!$B$2:$B$389, ""(?i)"" &amp; $D$1), REGEXMATCH(RawD"&amp;"ata_Dipro!$A$2:$A$389, ""(?i)majority"")
)"),0.572886646676726)</f>
        <v>0.5728866467</v>
      </c>
      <c r="E19" s="44">
        <f>IFERROR(__xludf.DUMMYFUNCTION("FILTER(RawData_Dipro!$C$2:$C$389, 
  REGEXMATCH(RawData_Dipro!$A$2:$A$389, ""(?i)"" &amp; $E$2 &amp; ""_zero_shot_gpt_only_title""), 
  REGEXMATCH(RawData_Dipro!$A$2:$A$389, ""(?i)"" &amp; $E$2), REGEXMATCH(RawData_Dipro!$B$2:$B$389, ""(?i)"" &amp; $C$1), REGEXMATCH(RawD"&amp;"ata_Dipro!$A$2:$A$389, ""(?i)majority"")
)"),0.582732347904307)</f>
        <v>0.5827323479</v>
      </c>
      <c r="F19" s="5">
        <f>IFERROR(__xludf.DUMMYFUNCTION("FILTER(RawData_Dipro!$C$2:$C$389, 
  REGEXMATCH(RawData_Dipro!$A$2:$A$389, ""(?i)"" &amp; $E$2 &amp; ""_zero_shot_gpt_only_title""), 
  REGEXMATCH(RawData_Dipro!$A$2:$A$389, ""(?i)"" &amp; $E$2), REGEXMATCH(RawData_Dipro!$B$2:$B$389, ""(?i)"" &amp; $D$1), REGEXMATCH(RawD"&amp;"ata_Dipro!$A$2:$A$389, ""(?i)majority"")
)"),0.52420000773874)</f>
        <v>0.5242000077</v>
      </c>
      <c r="G19" s="44">
        <f>IFERROR(__xludf.DUMMYFUNCTION("FILTER(RawData_Dipro!$C$2:$C$389, 
  REGEXMATCH(RawData_Dipro!$A$2:$A$389, ""(?i)"" &amp; $G$2 &amp; ""_zero_shot_gpt_only_title""), 
  REGEXMATCH(RawData_Dipro!$A$2:$A$389, ""(?i)"" &amp; $G$2), REGEXMATCH(RawData_Dipro!$B$2:$B$389, ""(?i)"" &amp; $C$1), REGEXMATCH(RawD"&amp;"ata_Dipro!$A$2:$A$389, ""(?i)majority"")
)"),0.558510124726803)</f>
        <v>0.5585101247</v>
      </c>
      <c r="H19" s="5">
        <f>IFERROR(__xludf.DUMMYFUNCTION("FILTER(RawData_Dipro!$C$2:$C$389, 
  REGEXMATCH(RawData_Dipro!$A$2:$A$389, ""(?i)"" &amp; $G$2 &amp; ""_zero_shot_gpt_only_title""), 
  REGEXMATCH(RawData_Dipro!$A$2:$A$389, ""(?i)"" &amp; $G$2), REGEXMATCH(RawData_Dipro!$B$2:$B$389, ""(?i)"" &amp; $D$1), REGEXMATCH(RawD"&amp;"ata_Dipro!$A$2:$A$389, ""(?i)majority"")
)"),0.517676976323592)</f>
        <v>0.5176769763</v>
      </c>
      <c r="I19" s="44">
        <f>IFERROR(__xludf.DUMMYFUNCTION("FILTER(RawData_Dipro!$C$2:$C$389, 
  REGEXMATCH(RawData_Dipro!$A$2:$A$389, ""(?i)"" &amp; $I$2 &amp; ""_zero_shot_gpt_only_title""), 
  REGEXMATCH(RawData_Dipro!$A$2:$A$389, ""(?i)"" &amp; $I$2), REGEXMATCH(RawData_Dipro!$B$2:$B$389, ""(?i)"" &amp; $C$1), REGEXMATCH(RawD"&amp;"ata_Dipro!$A$2:$A$389, ""(?i)majority"")
)"),0.256873382313824)</f>
        <v>0.2568733823</v>
      </c>
      <c r="J19" s="5">
        <f>IFERROR(__xludf.DUMMYFUNCTION("FILTER(RawData_Dipro!$C$2:$C$389, 
  REGEXMATCH(RawData_Dipro!$A$2:$A$389, ""(?i)"" &amp; $I$2 &amp; ""_zero_shot_gpt_only_title""), 
  REGEXMATCH(RawData_Dipro!$A$2:$A$389, ""(?i)"" &amp; $I$2), REGEXMATCH(RawData_Dipro!$B$2:$B$389, ""(?i)"" &amp; $D$1), REGEXMATCH(RawD"&amp;"ata_Dipro!$A$2:$A$389, ""(?i)majority"")
)"),0.287239204804064)</f>
        <v>0.2872392048</v>
      </c>
      <c r="K19" s="82"/>
    </row>
    <row r="20">
      <c r="A20" s="74"/>
      <c r="B20" s="74" t="s">
        <v>75</v>
      </c>
      <c r="C20" s="52">
        <f>IFERROR(__xludf.DUMMYFUNCTION("FILTER(RawData_Dipro!$C$2:$C$389, 
  REGEXMATCH(RawData_Dipro!$A$2:$A$389, ""(?i)"" &amp; $C$2 &amp; ""_zero_shot_gpt_only_title""), 
  REGEXMATCH(RawData_Dipro!$A$2:$A$389, ""(?i)"" &amp; $C$2), REGEXMATCH(RawData_Dipro!$B$2:$B$389, ""(?i)"" &amp; $C$1), REGEXMATCH(RawD"&amp;"ata_Dipro!$A$2:$A$389, ""(?i)inclusion"")
)"),0.592810008534732)</f>
        <v>0.5928100085</v>
      </c>
      <c r="D20" s="53">
        <f>IFERROR(__xludf.DUMMYFUNCTION("FILTER(RawData_Dipro!$C$2:$C$389, 
  REGEXMATCH(RawData_Dipro!$A$2:$A$389, ""(?i)"" &amp; $C$2 &amp; ""_zero_shot_gpt_only_title""), 
  REGEXMATCH(RawData_Dipro!$A$2:$A$389, ""(?i)"" &amp; $C$2), REGEXMATCH(RawData_Dipro!$B$2:$B$389, ""(?i)"" &amp; $D$1), REGEXMATCH(RawD"&amp;"ata_Dipro!$A$2:$A$389, ""(?i)inclusion"")
)"),0.546164199804987)</f>
        <v>0.5461641998</v>
      </c>
      <c r="E20" s="52">
        <f>IFERROR(__xludf.DUMMYFUNCTION("FILTER(RawData_Dipro!$C$2:$C$389, 
  REGEXMATCH(RawData_Dipro!$A$2:$A$389, ""(?i)"" &amp; $E$2 &amp; ""_zero_shot_gpt_only_title""), 
  REGEXMATCH(RawData_Dipro!$A$2:$A$389, ""(?i)"" &amp; $E$2), REGEXMATCH(RawData_Dipro!$B$2:$B$389, ""(?i)"" &amp; $C$1), REGEXMATCH(RawD"&amp;"ata_Dipro!$A$2:$A$389, ""(?i)inclusion"")
)"),0.575833883301639)</f>
        <v>0.5758338833</v>
      </c>
      <c r="F20" s="53">
        <f>IFERROR(__xludf.DUMMYFUNCTION("FILTER(RawData_Dipro!$C$2:$C$389, 
  REGEXMATCH(RawData_Dipro!$A$2:$A$389, ""(?i)"" &amp; $E$2 &amp; ""_zero_shot_gpt_only_title""), 
  REGEXMATCH(RawData_Dipro!$A$2:$A$389, ""(?i)"" &amp; $E$2), REGEXMATCH(RawData_Dipro!$B$2:$B$389, ""(?i)"" &amp; $D$1), REGEXMATCH(RawD"&amp;"ata_Dipro!$A$2:$A$389, ""(?i)inclusion"")
)"),0.516232610256394)</f>
        <v>0.5162326103</v>
      </c>
      <c r="G20" s="52">
        <f>IFERROR(__xludf.DUMMYFUNCTION("FILTER(RawData_Dipro!$C$2:$C$389, 
  REGEXMATCH(RawData_Dipro!$A$2:$A$389, ""(?i)"" &amp; $G$2 &amp; ""_zero_shot_gpt_only_title""), 
  REGEXMATCH(RawData_Dipro!$A$2:$A$389, ""(?i)"" &amp; $G$2), REGEXMATCH(RawData_Dipro!$B$2:$B$389, ""(?i)"" &amp; $C$1), REGEXMATCH(RawD"&amp;"ata_Dipro!$A$2:$A$389, ""(?i)inclusion"")
)"),0.484365260002208)</f>
        <v>0.48436526</v>
      </c>
      <c r="H20" s="53">
        <f>IFERROR(__xludf.DUMMYFUNCTION("FILTER(RawData_Dipro!$C$2:$C$389, 
  REGEXMATCH(RawData_Dipro!$A$2:$A$389, ""(?i)"" &amp; $G$2 &amp; ""_zero_shot_gpt_only_title""), 
  REGEXMATCH(RawData_Dipro!$A$2:$A$389, ""(?i)"" &amp; $G$2), REGEXMATCH(RawData_Dipro!$B$2:$B$389, ""(?i)"" &amp; $D$1), REGEXMATCH(RawD"&amp;"ata_Dipro!$A$2:$A$389, ""(?i)inclusion"")
)"),0.462912409254871)</f>
        <v>0.4629124093</v>
      </c>
      <c r="I20" s="52">
        <f>IFERROR(__xludf.DUMMYFUNCTION("FILTER(RawData_Dipro!$C$2:$C$389, 
  REGEXMATCH(RawData_Dipro!$A$2:$A$389, ""(?i)"" &amp; $I$2 &amp; ""_zero_shot_gpt_only_title""), 
  REGEXMATCH(RawData_Dipro!$A$2:$A$389, ""(?i)"" &amp; $I$2), REGEXMATCH(RawData_Dipro!$B$2:$B$389, ""(?i)"" &amp; $C$1), REGEXMATCH(RawD"&amp;"ata_Dipro!$A$2:$A$389, ""(?i)inclusion"")
)"),0.321813202069703)</f>
        <v>0.3218132021</v>
      </c>
      <c r="J20" s="53">
        <f>IFERROR(__xludf.DUMMYFUNCTION("FILTER(RawData_Dipro!$C$2:$C$389, 
  REGEXMATCH(RawData_Dipro!$A$2:$A$389, ""(?i)"" &amp; $I$2 &amp; ""_zero_shot_gpt_only_title""), 
  REGEXMATCH(RawData_Dipro!$A$2:$A$389, ""(?i)"" &amp; $I$2), REGEXMATCH(RawData_Dipro!$B$2:$B$389, ""(?i)"" &amp; $D$1), REGEXMATCH(RawD"&amp;"ata_Dipro!$A$2:$A$389, ""(?i)inclusion"")
)"),0.332658030355304)</f>
        <v>0.3326580304</v>
      </c>
      <c r="K20" s="92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</row>
    <row r="21">
      <c r="A21" s="7" t="s">
        <v>25</v>
      </c>
      <c r="C21" s="44">
        <f>IFERROR(__xludf.DUMMYFUNCTION("FILTER(RawData_Dipro!$C$2:$C$389, 
  REGEXMATCH(RawData_Dipro!$A$2:$A$389, ""(?i)"" &amp; $C$2 &amp; ""_zero_shot_gpt_description""), NOT(REGEXMATCH(RawData_Dipro!$A$2:$A$389, ""(?i)complete"")), 
  REGEXMATCH(RawData_Dipro!$A$2:$A$389, ""(?i)"" &amp; $C$2), REGEXMAT"&amp;"CH(RawData_Dipro!$B$2:$B$389, ""(?i)"" &amp; $C$1), 
  NOT(REGEXMATCH(RawData_Dipro!$A$2:$A$389,  ""(?i)ensemble"")) 
)"),0.640317661477475)</f>
        <v>0.6403176615</v>
      </c>
      <c r="D21" s="5">
        <f>IFERROR(__xludf.DUMMYFUNCTION("FILTER(RawData_Dipro!$C$2:$C$389, 
  REGEXMATCH(RawData_Dipro!$A$2:$A$389, ""(?i)"" &amp; $C$2 &amp; ""_zero_shot_gpt_description""), NOT(REGEXMATCH(RawData_Dipro!$A$2:$A$389, ""(?i)complete"")), 
  REGEXMATCH(RawData_Dipro!$A$2:$A$389, ""(?i)"" &amp; $C$2), REGEXMAT"&amp;"CH(RawData_Dipro!$B$2:$B$389, ""(?i)"" &amp; $D$1), 
  NOT(REGEXMATCH(RawData_Dipro!$A$2:$A$389,  ""(?i)ensemble"")) 
)"),0.61354665612827)</f>
        <v>0.6135466561</v>
      </c>
      <c r="E21" s="44">
        <f>IFERROR(__xludf.DUMMYFUNCTION("FILTER(RawData_Dipro!$C$2:$C$389, NOT(REGEXMATCH(RawData_Dipro!$A$2:$A$389, ""(?i)complete"")),
  REGEXMATCH(RawData_Dipro!$A$2:$A$389, ""(?i)"" &amp; $E$2 &amp; ""_zero_shot_gpt_description""), 
  REGEXMATCH(RawData_Dipro!$A$2:$A$389, ""(?i)"" &amp; $E$2), REGEXMATC"&amp;"H(RawData_Dipro!$B$2:$B$389, ""(?i)"" &amp; $C$1), 
  NOT(REGEXMATCH(RawData_Dipro!$A$2:$A$389,  ""(?i)ensemble"")) 
)"),0.613750839783722)</f>
        <v>0.6137508398</v>
      </c>
      <c r="F21" s="5">
        <f>IFERROR(__xludf.DUMMYFUNCTION("FILTER(RawData_Dipro!$C$2:$C$389, NOT(REGEXMATCH(RawData_Dipro!$A$2:$A$389, ""(?i)complete"")),
  REGEXMATCH(RawData_Dipro!$A$2:$A$389, ""(?i)"" &amp; $E$2 &amp; ""_zero_shot_gpt_description""), 
  REGEXMATCH(RawData_Dipro!$A$2:$A$389, ""(?i)"" &amp; $E$2), REGEXMATC"&amp;"H(RawData_Dipro!$B$2:$B$389, ""(?i)"" &amp; $D$1), 
  NOT(REGEXMATCH(RawData_Dipro!$A$2:$A$389,  ""(?i)ensemble"")) 
)"),0.578681917130575)</f>
        <v>0.5786819171</v>
      </c>
      <c r="G21" s="44">
        <f>IFERROR(__xludf.DUMMYFUNCTION("FILTER(RawData_Dipro!$C$2:$C$389, NOT(REGEXMATCH(RawData_Dipro!$A$2:$A$389, ""(?i)complete"")),
  REGEXMATCH(RawData_Dipro!$A$2:$A$389, ""(?i)"" &amp; $G$2 &amp; ""_zero_shot_gpt_description""), 
  REGEXMATCH(RawData_Dipro!$A$2:$A$389, ""(?i)"" &amp; $G$2), REGEXMATC"&amp;"H(RawData_Dipro!$B$2:$B$389, ""(?i)"" &amp; $C$1), 
  NOT(REGEXMATCH(RawData_Dipro!$A$2:$A$389,  ""(?i)ensemble"")) 
)"),0.545763744390765)</f>
        <v>0.5457637444</v>
      </c>
      <c r="H21" s="5">
        <f>IFERROR(__xludf.DUMMYFUNCTION("FILTER(RawData_Dipro!$C$2:$C$389, NOT(REGEXMATCH(RawData_Dipro!$A$2:$A$389, ""(?i)complete"")),
  REGEXMATCH(RawData_Dipro!$A$2:$A$389, ""(?i)"" &amp; $G$2 &amp; ""_zero_shot_gpt_description""), 
  REGEXMATCH(RawData_Dipro!$A$2:$A$389, ""(?i)"" &amp; $G$2), REGEXMATC"&amp;"H(RawData_Dipro!$B$2:$B$389, ""(?i)"" &amp; $D$1), 
  NOT(REGEXMATCH(RawData_Dipro!$A$2:$A$389,  ""(?i)ensemble"")) 
)"),0.524262991587101)</f>
        <v>0.5242629916</v>
      </c>
      <c r="I21" s="44">
        <f>IFERROR(__xludf.DUMMYFUNCTION("FILTER(RawData_Dipro!$C$2:$C$389, NOT(REGEXMATCH(RawData_Dipro!$A$2:$A$389, ""(?i)complete"")),
  REGEXMATCH(RawData_Dipro!$A$2:$A$389, ""(?i)"" &amp; $I$2 &amp; ""_zero_shot_gpt_description""), 
  REGEXMATCH(RawData_Dipro!$A$2:$A$389, ""(?i)"" &amp; $I$2), REGEXMATC"&amp;"H(RawData_Dipro!$B$2:$B$389, ""(?i)"" &amp; $C$1), 
  NOT(REGEXMATCH(RawData_Dipro!$A$2:$A$389,  ""(?i)ensemble"")) 
)"),0.284838731621514)</f>
        <v>0.2848387316</v>
      </c>
      <c r="J21" s="5">
        <f>IFERROR(__xludf.DUMMYFUNCTION("FILTER(RawData_Dipro!$C$2:$C$389, NOT(REGEXMATCH(RawData_Dipro!$A$2:$A$389, ""(?i)complete"")),
  REGEXMATCH(RawData_Dipro!$A$2:$A$389, ""(?i)"" &amp; $I$2 &amp; ""_zero_shot_gpt_description""), 
  REGEXMATCH(RawData_Dipro!$A$2:$A$389, ""(?i)"" &amp; $I$2), REGEXMATC"&amp;"H(RawData_Dipro!$B$2:$B$389, ""(?i)"" &amp; $D$1), 
  NOT(REGEXMATCH(RawData_Dipro!$A$2:$A$389,  ""(?i)ensemble"")) 
)"),0.300772443809359)</f>
        <v>0.3007724438</v>
      </c>
      <c r="K21" s="82"/>
    </row>
    <row r="22">
      <c r="A22" s="7"/>
      <c r="B22" s="7" t="s">
        <v>74</v>
      </c>
      <c r="C22" s="44">
        <f>IFERROR(__xludf.DUMMYFUNCTION("FILTER(RawData_Dipro!$C$2:$C$389, 
  REGEXMATCH(RawData_Dipro!$A$2:$A$389, ""(?i)"" &amp; $C$2 &amp; ""_zero_shot_gpt_description""), NOT(REGEXMATCH(RawData_Dipro!$A$2:$A$389, ""(?i)complete"")), 
  REGEXMATCH(RawData_Dipro!$A$2:$A$389, ""(?i)"" &amp; $C$2), REGEXMAT"&amp;"CH(RawData_Dipro!$B$2:$B$389, ""(?i)"" &amp; $C$1), REGEXMATCH(RawData_Dipro!$A$2:$A$389, ""(?i)majority"")
)"),0.64151186537621)</f>
        <v>0.6415118654</v>
      </c>
      <c r="D22" s="5">
        <f>IFERROR(__xludf.DUMMYFUNCTION("FILTER(RawData_Dipro!$C$2:$C$389, 
  REGEXMATCH(RawData_Dipro!$A$2:$A$389, ""(?i)"" &amp; $C$2 &amp; ""_zero_shot_gpt_description""), NOT(REGEXMATCH(RawData_Dipro!$A$2:$A$389, ""(?i)complete"")), 
  REGEXMATCH(RawData_Dipro!$A$2:$A$389, ""(?i)"" &amp; $C$2), REGEXMAT"&amp;"CH(RawData_Dipro!$B$2:$B$389, ""(?i)"" &amp; $D$1), REGEXMATCH(RawData_Dipro!$A$2:$A$389, ""(?i)majority"")
)"),0.616926537922996)</f>
        <v>0.6169265379</v>
      </c>
      <c r="E22" s="44">
        <f>IFERROR(__xludf.DUMMYFUNCTION("FILTER(RawData_Dipro!$C$2:$C$389, NOT(REGEXMATCH(RawData_Dipro!$A$2:$A$389, ""(?i)complete"")),
  REGEXMATCH(RawData_Dipro!$A$2:$A$389, ""(?i)"" &amp; $E$2 &amp; ""_zero_shot_gpt_description""), 
  REGEXMATCH(RawData_Dipro!$A$2:$A$389, ""(?i)"" &amp; $E$2), REGEXMATC"&amp;"H(RawData_Dipro!$B$2:$B$389, ""(?i)"" &amp; $C$1), REGEXMATCH(RawData_Dipro!$A$2:$A$389, ""(?i)majority"")
)"),0.613783712375261)</f>
        <v>0.6137837124</v>
      </c>
      <c r="F22" s="5">
        <f>IFERROR(__xludf.DUMMYFUNCTION("FILTER(RawData_Dipro!$C$2:$C$389, NOT(REGEXMATCH(RawData_Dipro!$A$2:$A$389, ""(?i)complete"")),
  REGEXMATCH(RawData_Dipro!$A$2:$A$389, ""(?i)"" &amp; $E$2 &amp; ""_zero_shot_gpt_description""), 
  REGEXMATCH(RawData_Dipro!$A$2:$A$389, ""(?i)"" &amp; $E$2), REGEXMATC"&amp;"H(RawData_Dipro!$B$2:$B$389, ""(?i)"" &amp; $D$1), REGEXMATCH(RawData_Dipro!$A$2:$A$389, ""(?i)majority"")
)"),0.578299727991019)</f>
        <v>0.578299728</v>
      </c>
      <c r="G22" s="44">
        <f>IFERROR(__xludf.DUMMYFUNCTION("FILTER(RawData_Dipro!$C$2:$C$389, NOT(REGEXMATCH(RawData_Dipro!$A$2:$A$389, ""(?i)complete"")),
  REGEXMATCH(RawData_Dipro!$A$2:$A$389, ""(?i)"" &amp; $G$2 &amp; ""_zero_shot_gpt_description""), 
  REGEXMATCH(RawData_Dipro!$A$2:$A$389, ""(?i)"" &amp; $G$2), REGEXMATC"&amp;"H(RawData_Dipro!$B$2:$B$389, ""(?i)"" &amp; $C$1), REGEXMATCH(RawData_Dipro!$A$2:$A$389, ""(?i)majority"")
)"),0.566473395147322)</f>
        <v>0.5664733951</v>
      </c>
      <c r="H22" s="5">
        <f>IFERROR(__xludf.DUMMYFUNCTION("FILTER(RawData_Dipro!$C$2:$C$389, NOT(REGEXMATCH(RawData_Dipro!$A$2:$A$389, ""(?i)complete"")),
  REGEXMATCH(RawData_Dipro!$A$2:$A$389, ""(?i)"" &amp; $G$2 &amp; ""_zero_shot_gpt_description""), 
  REGEXMATCH(RawData_Dipro!$A$2:$A$389, ""(?i)"" &amp; $G$2), REGEXMATC"&amp;"H(RawData_Dipro!$B$2:$B$389, ""(?i)"" &amp; $D$1), REGEXMATCH(RawData_Dipro!$A$2:$A$389, ""(?i)majority"")
)"),0.553100031612457)</f>
        <v>0.5531000316</v>
      </c>
      <c r="I22" s="44">
        <f>IFERROR(__xludf.DUMMYFUNCTION("FILTER(RawData_Dipro!$C$2:$C$389, NOT(REGEXMATCH(RawData_Dipro!$A$2:$A$389, ""(?i)complete"")),
  REGEXMATCH(RawData_Dipro!$A$2:$A$389, ""(?i)"" &amp; $I$2 &amp; ""_zero_shot_gpt_description""), 
  REGEXMATCH(RawData_Dipro!$A$2:$A$389, ""(?i)"" &amp; $I$2), REGEXMATC"&amp;"H(RawData_Dipro!$B$2:$B$389, ""(?i)"" &amp; $C$1), REGEXMATCH(RawData_Dipro!$A$2:$A$389, ""(?i)majority"")
)"),0.289452980117563)</f>
        <v>0.2894529801</v>
      </c>
      <c r="J22" s="5">
        <f>IFERROR(__xludf.DUMMYFUNCTION("FILTER(RawData_Dipro!$C$2:$C$389, NOT(REGEXMATCH(RawData_Dipro!$A$2:$A$389, ""(?i)complete"")),
  REGEXMATCH(RawData_Dipro!$A$2:$A$389, ""(?i)"" &amp; $I$2 &amp; ""_zero_shot_gpt_description""), 
  REGEXMATCH(RawData_Dipro!$A$2:$A$389, ""(?i)"" &amp; $I$2), REGEXMATC"&amp;"H(RawData_Dipro!$B$2:$B$389, ""(?i)"" &amp; $D$1), REGEXMATCH(RawData_Dipro!$A$2:$A$389, ""(?i)majority"")
)"),0.297157219809452)</f>
        <v>0.2971572198</v>
      </c>
      <c r="K22" s="82"/>
    </row>
    <row r="23">
      <c r="A23" s="74"/>
      <c r="B23" s="74" t="s">
        <v>75</v>
      </c>
      <c r="C23" s="52">
        <f>IFERROR(__xludf.DUMMYFUNCTION("FILTER(RawData_Dipro!$C$2:$C$389, 
  REGEXMATCH(RawData_Dipro!$A$2:$A$389, ""(?i)"" &amp; $C$2 &amp; ""_zero_shot_gpt_description""), NOT(REGEXMATCH(RawData_Dipro!$A$2:$A$389, ""(?i)complete"")), 
  REGEXMATCH(RawData_Dipro!$A$2:$A$389, ""(?i)"" &amp; $C$2), REGEXMAT"&amp;"CH(RawData_Dipro!$B$2:$B$389, ""(?i)"" &amp; $C$1), REGEXMATCH(RawData_Dipro!$A$2:$A$389, ""(?i)inclusion"")
)"),0.63096464489449)</f>
        <v>0.6309646449</v>
      </c>
      <c r="D23" s="53">
        <f>IFERROR(__xludf.DUMMYFUNCTION("FILTER(RawData_Dipro!$C$2:$C$389, 
  REGEXMATCH(RawData_Dipro!$A$2:$A$389, ""(?i)"" &amp; $C$2 &amp; ""_zero_shot_gpt_description""), NOT(REGEXMATCH(RawData_Dipro!$A$2:$A$389, ""(?i)complete"")), 
  REGEXMATCH(RawData_Dipro!$A$2:$A$389, ""(?i)"" &amp; $C$2), REGEXMAT"&amp;"CH(RawData_Dipro!$B$2:$B$389, ""(?i)"" &amp; $D$1), REGEXMATCH(RawData_Dipro!$A$2:$A$389, ""(?i)inclusion"")
)"),0.600610954953905)</f>
        <v>0.600610955</v>
      </c>
      <c r="E23" s="52">
        <f>IFERROR(__xludf.DUMMYFUNCTION("FILTER(RawData_Dipro!$C$2:$C$389, NOT(REGEXMATCH(RawData_Dipro!$A$2:$A$389, ""(?i)complete"")),
  REGEXMATCH(RawData_Dipro!$A$2:$A$389, ""(?i)"" &amp; $E$2 &amp; ""_zero_shot_gpt_description""), 
  REGEXMATCH(RawData_Dipro!$A$2:$A$389, ""(?i)"" &amp; $E$2), REGEXMATC"&amp;"H(RawData_Dipro!$B$2:$B$389, ""(?i)"" &amp; $C$1), REGEXMATCH(RawData_Dipro!$A$2:$A$389, ""(?i)inclusion"")
)"),0.603423837159287)</f>
        <v>0.6034238372</v>
      </c>
      <c r="F23" s="53">
        <f>IFERROR(__xludf.DUMMYFUNCTION("FILTER(RawData_Dipro!$C$2:$C$389, NOT(REGEXMATCH(RawData_Dipro!$A$2:$A$389, ""(?i)complete"")),
  REGEXMATCH(RawData_Dipro!$A$2:$A$389, ""(?i)"" &amp; $E$2 &amp; ""_zero_shot_gpt_description""), 
  REGEXMATCH(RawData_Dipro!$A$2:$A$389, ""(?i)"" &amp; $E$2), REGEXMATC"&amp;"H(RawData_Dipro!$B$2:$B$389, ""(?i)"" &amp; $D$1), REGEXMATCH(RawData_Dipro!$A$2:$A$389, ""(?i)inclusion"")
)"),0.569305363972466)</f>
        <v>0.569305364</v>
      </c>
      <c r="G23" s="52">
        <f>IFERROR(__xludf.DUMMYFUNCTION("FILTER(RawData_Dipro!$C$2:$C$389, NOT(REGEXMATCH(RawData_Dipro!$A$2:$A$389, ""(?i)complete"")),
  REGEXMATCH(RawData_Dipro!$A$2:$A$389, ""(?i)"" &amp; $G$2 &amp; ""_zero_shot_gpt_description""), 
  REGEXMATCH(RawData_Dipro!$A$2:$A$389, ""(?i)"" &amp; $G$2), REGEXMATC"&amp;"H(RawData_Dipro!$B$2:$B$389, ""(?i)"" &amp; $C$1), REGEXMATCH(RawData_Dipro!$A$2:$A$389, ""(?i)inclusion"")
)"),0.504744781778472)</f>
        <v>0.5047447818</v>
      </c>
      <c r="H23" s="53">
        <f>IFERROR(__xludf.DUMMYFUNCTION("FILTER(RawData_Dipro!$C$2:$C$389, NOT(REGEXMATCH(RawData_Dipro!$A$2:$A$389, ""(?i)complete"")),
  REGEXMATCH(RawData_Dipro!$A$2:$A$389, ""(?i)"" &amp; $G$2 &amp; ""_zero_shot_gpt_description""), 
  REGEXMATCH(RawData_Dipro!$A$2:$A$389, ""(?i)"" &amp; $G$2), REGEXMATC"&amp;"H(RawData_Dipro!$B$2:$B$389, ""(?i)"" &amp; $D$1), REGEXMATCH(RawData_Dipro!$A$2:$A$389, ""(?i)inclusion"")
)"),0.473406233934218)</f>
        <v>0.4734062339</v>
      </c>
      <c r="I23" s="52">
        <f>IFERROR(__xludf.DUMMYFUNCTION("FILTER(RawData_Dipro!$C$2:$C$389, NOT(REGEXMATCH(RawData_Dipro!$A$2:$A$389, ""(?i)complete"")),
  REGEXMATCH(RawData_Dipro!$A$2:$A$389, ""(?i)"" &amp; $I$2 &amp; ""_zero_shot_gpt_description""), 
  REGEXMATCH(RawData_Dipro!$A$2:$A$389, ""(?i)"" &amp; $I$2), REGEXMATC"&amp;"H(RawData_Dipro!$B$2:$B$389, ""(?i)"" &amp; $C$1), REGEXMATCH(RawData_Dipro!$A$2:$A$389, ""(?i)inclusion"")
)"),0.321366270176905)</f>
        <v>0.3213662702</v>
      </c>
      <c r="J23" s="53">
        <f>IFERROR(__xludf.DUMMYFUNCTION("FILTER(RawData_Dipro!$C$2:$C$389, NOT(REGEXMATCH(RawData_Dipro!$A$2:$A$389, ""(?i)complete"")),
  REGEXMATCH(RawData_Dipro!$A$2:$A$389, ""(?i)"" &amp; $I$2 &amp; ""_zero_shot_gpt_description""), 
  REGEXMATCH(RawData_Dipro!$A$2:$A$389, ""(?i)"" &amp; $I$2), REGEXMATC"&amp;"H(RawData_Dipro!$B$2:$B$389, ""(?i)"" &amp; $D$1), REGEXMATCH(RawData_Dipro!$A$2:$A$389, ""(?i)inclusion"")
)"),0.337895196907243)</f>
        <v>0.3378951969</v>
      </c>
      <c r="K23" s="92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</row>
    <row r="24">
      <c r="A24" s="7" t="s">
        <v>29</v>
      </c>
      <c r="C24" s="44">
        <f>IFERROR(__xludf.DUMMYFUNCTION("FILTER(RawData_Dipro!$C$2:$C$389, 
  REGEXMATCH(RawData_Dipro!$A$2:$A$389, ""(?i)"" &amp; $C$2 &amp; ""_zero_shot_gpt_description_complete""), 
  REGEXMATCH(RawData_Dipro!$A$2:$A$389, ""(?i)"" &amp; $C$2), REGEXMATCH(RawData_Dipro!$B$2:$B$389, ""(?i)"" &amp; $C$1), 
  NO"&amp;"T(REGEXMATCH(RawData_Dipro!$A$2:$A$389,  ""(?i)ensemble"")) 
)"),0.626620634285161)</f>
        <v>0.6266206343</v>
      </c>
      <c r="D24" s="5">
        <f>IFERROR(__xludf.DUMMYFUNCTION("FILTER(RawData_Dipro!$C$2:$C$389, 
  REGEXMATCH(RawData_Dipro!$A$2:$A$389, ""(?i)"" &amp; $C$2 &amp; ""_zero_shot_gpt_description_complete""), 
  REGEXMATCH(RawData_Dipro!$A$2:$A$389, ""(?i)"" &amp; $C$2), REGEXMATCH(RawData_Dipro!$B$2:$B$389, ""(?i)"" &amp; $D$1), 
  NO"&amp;"T(REGEXMATCH(RawData_Dipro!$A$2:$A$389,  ""(?i)ensemble"")) 
)"),0.604801060798369)</f>
        <v>0.6048010608</v>
      </c>
      <c r="E24" s="44">
        <f>IFERROR(__xludf.DUMMYFUNCTION("FILTER(RawData_Dipro!$C$2:$C$389, 
  REGEXMATCH(RawData_Dipro!$A$2:$A$389, ""(?i)"" &amp; $E$2 &amp; ""_zero_shot_gpt_description_complete""), 
  REGEXMATCH(RawData_Dipro!$A$2:$A$389, ""(?i)"" &amp; $E$2), REGEXMATCH(RawData_Dipro!$B$2:$B$389, ""(?i)"" &amp; $C$1), 
  NO"&amp;"T(REGEXMATCH(RawData_Dipro!$A$2:$A$389,  ""(?i)ensemble"")) 
)"),0.274748595417237)</f>
        <v>0.2747485954</v>
      </c>
      <c r="F24" s="5">
        <f>IFERROR(__xludf.DUMMYFUNCTION("FILTER(RawData_Dipro!$C$2:$C$389, 
  REGEXMATCH(RawData_Dipro!$A$2:$A$389, ""(?i)"" &amp; $E$2 &amp; ""_zero_shot_gpt_description_complete""), 
  REGEXMATCH(RawData_Dipro!$A$2:$A$389, ""(?i)"" &amp; $E$2), REGEXMATCH(RawData_Dipro!$B$2:$B$389, ""(?i)"" &amp; $D$1), 
  NO"&amp;"T(REGEXMATCH(RawData_Dipro!$A$2:$A$389,  ""(?i)ensemble"")) 
)"),0.380177808740426)</f>
        <v>0.3801778087</v>
      </c>
      <c r="G24" s="44">
        <f>IFERROR(__xludf.DUMMYFUNCTION("FILTER(RawData_Dipro!$C$2:$C$389, 
  REGEXMATCH(RawData_Dipro!$A$2:$A$389, ""(?i)"" &amp; $G$2 &amp; ""_zero_shot_gpt_description_complete""), 
  REGEXMATCH(RawData_Dipro!$A$2:$A$389, ""(?i)"" &amp; $G$2), REGEXMATCH(RawData_Dipro!$B$2:$B$389, ""(?i)"" &amp; $C$1), 
  NO"&amp;"T(REGEXMATCH(RawData_Dipro!$A$2:$A$389,  ""(?i)ensemble"")) 
)"),0.484593915089339)</f>
        <v>0.4845939151</v>
      </c>
      <c r="H24" s="5">
        <f>IFERROR(__xludf.DUMMYFUNCTION("FILTER(RawData_Dipro!$C$2:$C$389, 
  REGEXMATCH(RawData_Dipro!$A$2:$A$389, ""(?i)"" &amp; $G$2 &amp; ""_zero_shot_gpt_description_complete""), 
  REGEXMATCH(RawData_Dipro!$A$2:$A$389, ""(?i)"" &amp; $G$2), REGEXMATCH(RawData_Dipro!$B$2:$B$389, ""(?i)"" &amp; $D$1), 
  NO"&amp;"T(REGEXMATCH(RawData_Dipro!$A$2:$A$389,  ""(?i)ensemble"")) 
)"),0.437797137788191)</f>
        <v>0.4377971378</v>
      </c>
      <c r="I24" s="44">
        <f>IFERROR(__xludf.DUMMYFUNCTION("FILTER(RawData_Dipro!$C$2:$C$389, 
  REGEXMATCH(RawData_Dipro!$A$2:$A$389, ""(?i)"" &amp; $I$2 &amp; ""_zero_shot_gpt_description_complete""), 
  REGEXMATCH(RawData_Dipro!$A$2:$A$389, ""(?i)"" &amp; $I$2), REGEXMATCH(RawData_Dipro!$B$2:$B$389, ""(?i)"" &amp; $C$1), 
  NO"&amp;"T(REGEXMATCH(RawData_Dipro!$A$2:$A$389,  ""(?i)ensemble"")) 
)"),0.220620940157727)</f>
        <v>0.2206209402</v>
      </c>
      <c r="J24" s="5">
        <f>IFERROR(__xludf.DUMMYFUNCTION("FILTER(RawData_Dipro!$C$2:$C$389, 
  REGEXMATCH(RawData_Dipro!$A$2:$A$389, ""(?i)"" &amp; $I$2 &amp; ""_zero_shot_gpt_description_complete""), 
  REGEXMATCH(RawData_Dipro!$A$2:$A$389, ""(?i)"" &amp; $I$2), REGEXMATCH(RawData_Dipro!$B$2:$B$389, ""(?i)"" &amp; $D$1), 
  NO"&amp;"T(REGEXMATCH(RawData_Dipro!$A$2:$A$389,  ""(?i)ensemble"")) 
)"),0.271705614091627)</f>
        <v>0.2717056141</v>
      </c>
      <c r="K24" s="82"/>
    </row>
    <row r="25">
      <c r="B25" s="7" t="s">
        <v>74</v>
      </c>
      <c r="C25" s="44">
        <f>IFERROR(__xludf.DUMMYFUNCTION("FILTER(RawData_Dipro!$C$2:$C$389, 
  REGEXMATCH(RawData_Dipro!$A$2:$A$389, ""(?i)"" &amp; $C$2 &amp; ""_zero_shot_gpt_description_complete""), 
  REGEXMATCH(RawData_Dipro!$A$2:$A$389, ""(?i)"" &amp; $C$2), REGEXMATCH(RawData_Dipro!$B$2:$B$389, ""(?i)"" &amp; $C$1), REGEX"&amp;"MATCH(RawData_Dipro!$A$2:$A$389, ""(?i)majority"")
)"),0.637043794593181)</f>
        <v>0.6370437946</v>
      </c>
      <c r="D25" s="5">
        <f>IFERROR(__xludf.DUMMYFUNCTION("FILTER(RawData_Dipro!$C$2:$C$389, 
  REGEXMATCH(RawData_Dipro!$A$2:$A$389, ""(?i)"" &amp; $C$2 &amp; ""_zero_shot_gpt_description_complete""), 
  REGEXMATCH(RawData_Dipro!$A$2:$A$389, ""(?i)"" &amp; $C$2), REGEXMATCH(RawData_Dipro!$B$2:$B$389, ""(?i)"" &amp; $D$1), REGEX"&amp;"MATCH(RawData_Dipro!$A$2:$A$389, ""(?i)majority"")
)"),0.613377070073474)</f>
        <v>0.6133770701</v>
      </c>
      <c r="E25" s="44">
        <f>IFERROR(__xludf.DUMMYFUNCTION("FILTER(RawData_Dipro!$C$2:$C$389, 
  REGEXMATCH(RawData_Dipro!$A$2:$A$389, ""(?i)"" &amp; $E$2 &amp; ""_zero_shot_gpt_description_complete""), 
  REGEXMATCH(RawData_Dipro!$A$2:$A$389, ""(?i)"" &amp; $E$2), REGEXMATCH(RawData_Dipro!$B$2:$B$389, ""(?i)"" &amp; $C$1), REGEX"&amp;"MATCH(RawData_Dipro!$A$2:$A$389, ""(?i)majority"")
)"),0.275567673878061)</f>
        <v>0.2755676739</v>
      </c>
      <c r="F25" s="5">
        <f>IFERROR(__xludf.DUMMYFUNCTION("FILTER(RawData_Dipro!$C$2:$C$389, 
  REGEXMATCH(RawData_Dipro!$A$2:$A$389, ""(?i)"" &amp; $E$2 &amp; ""_zero_shot_gpt_description_complete""), 
  REGEXMATCH(RawData_Dipro!$A$2:$A$389, ""(?i)"" &amp; $E$2), REGEXMATCH(RawData_Dipro!$B$2:$B$389, ""(?i)"" &amp; $D$1), REGEX"&amp;"MATCH(RawData_Dipro!$A$2:$A$389, ""(?i)majority"")
)"),0.385180794814941)</f>
        <v>0.3851807948</v>
      </c>
      <c r="G25" s="44">
        <f>IFERROR(__xludf.DUMMYFUNCTION("FILTER(RawData_Dipro!$C$2:$C$389, 
  REGEXMATCH(RawData_Dipro!$A$2:$A$389, ""(?i)"" &amp; $G$2 &amp; ""_zero_shot_gpt_description_complete""), 
  REGEXMATCH(RawData_Dipro!$A$2:$A$389, ""(?i)"" &amp; $G$2), REGEXMATCH(RawData_Dipro!$B$2:$B$389, ""(?i)"" &amp; $C$1), REGEX"&amp;"MATCH(RawData_Dipro!$A$2:$A$389, ""(?i)majority"")
)"),0.525659575124815)</f>
        <v>0.5256595751</v>
      </c>
      <c r="H25" s="5">
        <f>IFERROR(__xludf.DUMMYFUNCTION("FILTER(RawData_Dipro!$C$2:$C$389, 
  REGEXMATCH(RawData_Dipro!$A$2:$A$389, ""(?i)"" &amp; $G$2 &amp; ""_zero_shot_gpt_description_complete""), 
  REGEXMATCH(RawData_Dipro!$A$2:$A$389, ""(?i)"" &amp; $G$2), REGEXMATCH(RawData_Dipro!$B$2:$B$389, ""(?i)"" &amp; $D$1), REGEX"&amp;"MATCH(RawData_Dipro!$A$2:$A$389, ""(?i)majority"")
)"),0.461380199716629)</f>
        <v>0.4613801997</v>
      </c>
      <c r="I25" s="44">
        <f>IFERROR(__xludf.DUMMYFUNCTION("FILTER(RawData_Dipro!$C$2:$C$389, 
  REGEXMATCH(RawData_Dipro!$A$2:$A$389, ""(?i)"" &amp; $I$2 &amp; ""_zero_shot_gpt_description_complete""), 
  REGEXMATCH(RawData_Dipro!$A$2:$A$389, ""(?i)"" &amp; $I$2), REGEXMATCH(RawData_Dipro!$B$2:$B$389, ""(?i)"" &amp; $C$1), REGEX"&amp;"MATCH(RawData_Dipro!$A$2:$A$389, ""(?i)majority"")
)"),0.205454448370073)</f>
        <v>0.2054544484</v>
      </c>
      <c r="J25" s="5">
        <f>IFERROR(__xludf.DUMMYFUNCTION("FILTER(RawData_Dipro!$C$2:$C$389, 
  REGEXMATCH(RawData_Dipro!$A$2:$A$389, ""(?i)"" &amp; $I$2 &amp; ""_zero_shot_gpt_description_complete""), 
  REGEXMATCH(RawData_Dipro!$A$2:$A$389, ""(?i)"" &amp; $I$2), REGEXMATCH(RawData_Dipro!$B$2:$B$389, ""(?i)"" &amp; $D$1), REGEX"&amp;"MATCH(RawData_Dipro!$A$2:$A$389, ""(?i)majority"")
)"),0.262286754789654)</f>
        <v>0.2622867548</v>
      </c>
      <c r="K25" s="82"/>
    </row>
    <row r="26">
      <c r="B26" s="7" t="s">
        <v>75</v>
      </c>
      <c r="C26" s="52">
        <f>IFERROR(__xludf.DUMMYFUNCTION("FILTER(RawData_Dipro!$C$2:$C$389, 
  REGEXMATCH(RawData_Dipro!$A$2:$A$389, ""(?i)"" &amp; $C$2 &amp; ""_zero_shot_gpt_description_complete""), 
  REGEXMATCH(RawData_Dipro!$A$2:$A$389, ""(?i)"" &amp; $C$2), REGEXMATCH(RawData_Dipro!$B$2:$B$389, ""(?i)"" &amp; $C$1), REGEX"&amp;"MATCH(RawData_Dipro!$A$2:$A$389, ""(?i)inclusion"")
)"),0.611749663625608)</f>
        <v>0.6117496636</v>
      </c>
      <c r="D26" s="53">
        <f>IFERROR(__xludf.DUMMYFUNCTION("FILTER(RawData_Dipro!$C$2:$C$389, 
  REGEXMATCH(RawData_Dipro!$A$2:$A$389, ""(?i)"" &amp; $C$2 &amp; ""_zero_shot_gpt_description_complete""), 
  REGEXMATCH(RawData_Dipro!$A$2:$A$389, ""(?i)"" &amp; $C$2), REGEXMATCH(RawData_Dipro!$B$2:$B$389, ""(?i)"" &amp; $D$1), REGEX"&amp;"MATCH(RawData_Dipro!$A$2:$A$389, ""(?i)inclusion"")
)"),0.593068381381541)</f>
        <v>0.5930683814</v>
      </c>
      <c r="E26" s="52">
        <f>IFERROR(__xludf.DUMMYFUNCTION("FILTER(RawData_Dipro!$C$2:$C$389, 
  REGEXMATCH(RawData_Dipro!$A$2:$A$389, ""(?i)"" &amp; $E$2 &amp; ""_zero_shot_gpt_description_complete""), 
  REGEXMATCH(RawData_Dipro!$A$2:$A$389, ""(?i)"" &amp; $E$2), REGEXMATCH(RawData_Dipro!$B$2:$B$389, ""(?i)"" &amp; $C$1), REGEX"&amp;"MATCH(RawData_Dipro!$A$2:$A$389, ""(?i)inclusion"")
)"),0.308453277816885)</f>
        <v>0.3084532778</v>
      </c>
      <c r="F26" s="53">
        <f>IFERROR(__xludf.DUMMYFUNCTION("FILTER(RawData_Dipro!$C$2:$C$389, 
  REGEXMATCH(RawData_Dipro!$A$2:$A$389, ""(?i)"" &amp; $E$2 &amp; ""_zero_shot_gpt_description_complete""), 
  REGEXMATCH(RawData_Dipro!$A$2:$A$389, ""(?i)"" &amp; $E$2), REGEXMATCH(RawData_Dipro!$B$2:$B$389, ""(?i)"" &amp; $D$1), REGEX"&amp;"MATCH(RawData_Dipro!$A$2:$A$389, ""(?i)inclusion"")
)"),0.392648747715705)</f>
        <v>0.3926487477</v>
      </c>
      <c r="G26" s="52">
        <f>IFERROR(__xludf.DUMMYFUNCTION("FILTER(RawData_Dipro!$C$2:$C$389, 
  REGEXMATCH(RawData_Dipro!$A$2:$A$389, ""(?i)"" &amp; $G$2 &amp; ""_zero_shot_gpt_description_complete""), 
  REGEXMATCH(RawData_Dipro!$A$2:$A$389, ""(?i)"" &amp; $G$2), REGEXMATCH(RawData_Dipro!$B$2:$B$389, ""(?i)"" &amp; $C$1), REGEX"&amp;"MATCH(RawData_Dipro!$A$2:$A$389, ""(?i)inclusion"")
)"),0.448670629551751)</f>
        <v>0.4486706296</v>
      </c>
      <c r="H26" s="53">
        <f>IFERROR(__xludf.DUMMYFUNCTION("FILTER(RawData_Dipro!$C$2:$C$389, 
  REGEXMATCH(RawData_Dipro!$A$2:$A$389, ""(?i)"" &amp; $G$2 &amp; ""_zero_shot_gpt_description_complete""), 
  REGEXMATCH(RawData_Dipro!$A$2:$A$389, ""(?i)"" &amp; $G$2), REGEXMATCH(RawData_Dipro!$B$2:$B$389, ""(?i)"" &amp; $D$1), REGEX"&amp;"MATCH(RawData_Dipro!$A$2:$A$389, ""(?i)inclusion"")
)"),0.425797961990857)</f>
        <v>0.425797962</v>
      </c>
      <c r="I26" s="52">
        <f>IFERROR(__xludf.DUMMYFUNCTION("FILTER(RawData_Dipro!$C$2:$C$389, 
  REGEXMATCH(RawData_Dipro!$A$2:$A$389, ""(?i)"" &amp; $I$2 &amp; ""_zero_shot_gpt_description_complete""), 
  REGEXMATCH(RawData_Dipro!$A$2:$A$389, ""(?i)"" &amp; $I$2), REGEXMATCH(RawData_Dipro!$B$2:$B$389, ""(?i)"" &amp; $C$1), REGEX"&amp;"MATCH(RawData_Dipro!$A$2:$A$389, ""(?i)inclusion"")
)"),0.276071165635297)</f>
        <v>0.2760711656</v>
      </c>
      <c r="J26" s="53">
        <f>IFERROR(__xludf.DUMMYFUNCTION("FILTER(RawData_Dipro!$C$2:$C$389, 
  REGEXMATCH(RawData_Dipro!$A$2:$A$389, ""(?i)"" &amp; $I$2 &amp; ""_zero_shot_gpt_description_complete""), 
  REGEXMATCH(RawData_Dipro!$A$2:$A$389, ""(?i)"" &amp; $I$2), REGEXMATCH(RawData_Dipro!$B$2:$B$389, ""(?i)"" &amp; $D$1), REGEX"&amp;"MATCH(RawData_Dipro!$A$2:$A$389, ""(?i)inclusion"")
)"),0.323864119495523)</f>
        <v>0.3238641195</v>
      </c>
      <c r="K26" s="82"/>
    </row>
    <row r="27">
      <c r="C27" s="82"/>
      <c r="E27" s="82"/>
      <c r="G27" s="82"/>
      <c r="I27" s="82"/>
      <c r="K27" s="82"/>
    </row>
    <row r="28">
      <c r="B28" s="94" t="s">
        <v>793</v>
      </c>
      <c r="C28" s="95">
        <f t="shared" ref="C28:J28" si="9">AVERAGE(C3-C4,C6-C7,C9-C10,C12-C13,C15-C16,C18-C19,C21-C22,C24-C25)</f>
        <v>-0.003243926142</v>
      </c>
      <c r="D28" s="95">
        <f t="shared" si="9"/>
        <v>-0.004055829199</v>
      </c>
      <c r="E28" s="95">
        <f t="shared" si="9"/>
        <v>-0.0005776684635</v>
      </c>
      <c r="F28" s="95">
        <f t="shared" si="9"/>
        <v>-0.001282269145</v>
      </c>
      <c r="G28" s="95">
        <f t="shared" si="9"/>
        <v>-0.02815095978</v>
      </c>
      <c r="H28" s="95">
        <f t="shared" si="9"/>
        <v>-0.02266188844</v>
      </c>
      <c r="I28" s="95">
        <f t="shared" si="9"/>
        <v>0.006237109288</v>
      </c>
      <c r="J28" s="95">
        <f t="shared" si="9"/>
        <v>0.001366246764</v>
      </c>
      <c r="K28" s="82"/>
    </row>
    <row r="29">
      <c r="B29" s="96"/>
      <c r="C29" s="95">
        <f>AVERAGE(C28:D28)</f>
        <v>-0.00364987767</v>
      </c>
      <c r="D29" s="97"/>
      <c r="E29" s="95">
        <f>AVERAGE(E28:F28)</f>
        <v>-0.0009299688042</v>
      </c>
      <c r="F29" s="97"/>
      <c r="G29" s="95">
        <f>AVERAGE(G28:H28)</f>
        <v>-0.02540642411</v>
      </c>
      <c r="H29" s="97"/>
      <c r="I29" s="95">
        <f>AVERAGE(I28:J28)</f>
        <v>0.003801678026</v>
      </c>
      <c r="J29" s="97"/>
      <c r="K29" s="82"/>
    </row>
    <row r="30">
      <c r="B30" s="94" t="s">
        <v>967</v>
      </c>
      <c r="C30" s="95">
        <f t="shared" ref="C30:J30" si="10">AVERAGE(C3-C5,C6-C8,C9-C11,C12-C14,C15-C17,C18-C20,C21-C23,C24-C26)</f>
        <v>0.01492606031</v>
      </c>
      <c r="D30" s="95">
        <f t="shared" si="10"/>
        <v>0.0145092847</v>
      </c>
      <c r="E30" s="95">
        <f t="shared" si="10"/>
        <v>0.001846070957</v>
      </c>
      <c r="F30" s="95">
        <f t="shared" si="10"/>
        <v>0.004140382487</v>
      </c>
      <c r="G30" s="95">
        <f t="shared" si="10"/>
        <v>0.03456192144</v>
      </c>
      <c r="H30" s="95">
        <f t="shared" si="10"/>
        <v>0.02861680732</v>
      </c>
      <c r="I30" s="95">
        <f t="shared" si="10"/>
        <v>-0.03886839221</v>
      </c>
      <c r="J30" s="95">
        <f t="shared" si="10"/>
        <v>-0.03126998249</v>
      </c>
      <c r="K30" s="82"/>
    </row>
    <row r="31">
      <c r="B31" s="97"/>
      <c r="C31" s="95">
        <f>AVERAGE(C30,D30)</f>
        <v>0.0147176725</v>
      </c>
      <c r="D31" s="97"/>
      <c r="E31" s="95">
        <f>AVERAGE(E30,F30)</f>
        <v>0.002993226722</v>
      </c>
      <c r="F31" s="97"/>
      <c r="G31" s="95">
        <f>AVERAGE(G30,H30)</f>
        <v>0.03158936438</v>
      </c>
      <c r="H31" s="97"/>
      <c r="I31" s="95">
        <f>AVERAGE(I30,J30)</f>
        <v>-0.03506918735</v>
      </c>
      <c r="J31" s="97"/>
      <c r="K31" s="82"/>
    </row>
    <row r="32">
      <c r="C32" s="82"/>
      <c r="E32" s="82"/>
      <c r="G32" s="82"/>
      <c r="I32" s="82"/>
      <c r="K32" s="82"/>
    </row>
    <row r="33">
      <c r="C33" s="82"/>
      <c r="E33" s="82"/>
      <c r="G33" s="82"/>
      <c r="I33" s="82"/>
      <c r="K33" s="82"/>
    </row>
    <row r="34">
      <c r="C34" s="82"/>
      <c r="E34" s="82"/>
      <c r="G34" s="82"/>
      <c r="I34" s="82"/>
      <c r="K34" s="82"/>
    </row>
    <row r="35">
      <c r="C35" s="82"/>
      <c r="E35" s="82"/>
      <c r="G35" s="82"/>
      <c r="I35" s="82"/>
      <c r="K35" s="82"/>
    </row>
    <row r="36">
      <c r="C36" s="82"/>
      <c r="E36" s="82"/>
      <c r="G36" s="82"/>
      <c r="I36" s="82"/>
      <c r="K36" s="82"/>
    </row>
    <row r="37">
      <c r="C37" s="82"/>
      <c r="E37" s="82"/>
      <c r="G37" s="82"/>
      <c r="I37" s="82"/>
      <c r="K37" s="82"/>
    </row>
    <row r="38">
      <c r="C38" s="82"/>
      <c r="E38" s="82"/>
      <c r="G38" s="82"/>
      <c r="I38" s="82"/>
      <c r="K38" s="82"/>
    </row>
    <row r="39">
      <c r="C39" s="82"/>
      <c r="E39" s="82"/>
      <c r="G39" s="82"/>
      <c r="I39" s="82"/>
      <c r="K39" s="82"/>
    </row>
    <row r="40">
      <c r="C40" s="82"/>
      <c r="E40" s="82"/>
      <c r="G40" s="82"/>
      <c r="I40" s="82"/>
      <c r="K40" s="82"/>
    </row>
    <row r="41">
      <c r="C41" s="82"/>
      <c r="E41" s="82"/>
      <c r="G41" s="82"/>
      <c r="I41" s="82"/>
      <c r="K41" s="82"/>
    </row>
    <row r="42">
      <c r="C42" s="82"/>
      <c r="E42" s="82"/>
      <c r="G42" s="82"/>
      <c r="I42" s="82"/>
      <c r="K42" s="82"/>
    </row>
    <row r="43">
      <c r="C43" s="82"/>
      <c r="E43" s="82"/>
      <c r="G43" s="82"/>
      <c r="I43" s="82"/>
      <c r="K43" s="82"/>
    </row>
    <row r="44">
      <c r="C44" s="82"/>
      <c r="E44" s="82"/>
      <c r="G44" s="82"/>
      <c r="I44" s="82"/>
      <c r="K44" s="82"/>
    </row>
    <row r="45">
      <c r="C45" s="82"/>
      <c r="E45" s="82"/>
      <c r="G45" s="82"/>
      <c r="I45" s="82"/>
      <c r="K45" s="82"/>
    </row>
    <row r="46">
      <c r="C46" s="82"/>
      <c r="E46" s="82"/>
      <c r="G46" s="82"/>
      <c r="I46" s="82"/>
      <c r="K46" s="82"/>
    </row>
    <row r="47">
      <c r="C47" s="82"/>
      <c r="E47" s="82"/>
      <c r="G47" s="82"/>
      <c r="I47" s="82"/>
      <c r="K47" s="82"/>
    </row>
    <row r="48">
      <c r="C48" s="82"/>
      <c r="E48" s="82"/>
      <c r="G48" s="82"/>
      <c r="I48" s="82"/>
      <c r="K48" s="82"/>
    </row>
    <row r="49">
      <c r="C49" s="82"/>
      <c r="E49" s="82"/>
      <c r="G49" s="82"/>
      <c r="I49" s="82"/>
      <c r="K49" s="82"/>
    </row>
    <row r="50">
      <c r="C50" s="82"/>
      <c r="E50" s="82"/>
      <c r="G50" s="82"/>
      <c r="I50" s="82"/>
      <c r="K50" s="82"/>
    </row>
    <row r="51">
      <c r="C51" s="82"/>
      <c r="E51" s="82"/>
      <c r="G51" s="82"/>
      <c r="I51" s="82"/>
      <c r="K51" s="82"/>
    </row>
    <row r="52">
      <c r="C52" s="82"/>
      <c r="E52" s="82"/>
      <c r="G52" s="82"/>
      <c r="I52" s="82"/>
      <c r="K52" s="82"/>
    </row>
    <row r="53">
      <c r="C53" s="82"/>
      <c r="E53" s="82"/>
      <c r="G53" s="82"/>
      <c r="I53" s="82"/>
      <c r="K53" s="82"/>
    </row>
    <row r="54">
      <c r="C54" s="82"/>
      <c r="E54" s="82"/>
      <c r="G54" s="82"/>
      <c r="I54" s="82"/>
      <c r="K54" s="82"/>
    </row>
    <row r="55">
      <c r="C55" s="82"/>
      <c r="E55" s="82"/>
      <c r="G55" s="82"/>
      <c r="I55" s="82"/>
      <c r="K55" s="82"/>
    </row>
    <row r="56">
      <c r="C56" s="82"/>
      <c r="E56" s="82"/>
      <c r="G56" s="82"/>
      <c r="I56" s="82"/>
      <c r="K56" s="82"/>
    </row>
    <row r="57">
      <c r="C57" s="82"/>
      <c r="E57" s="82"/>
      <c r="G57" s="82"/>
      <c r="I57" s="82"/>
      <c r="K57" s="82"/>
    </row>
    <row r="58">
      <c r="C58" s="82"/>
      <c r="E58" s="82"/>
      <c r="G58" s="82"/>
      <c r="I58" s="82"/>
      <c r="K58" s="82"/>
    </row>
    <row r="59">
      <c r="C59" s="82"/>
      <c r="E59" s="82"/>
      <c r="G59" s="82"/>
      <c r="I59" s="82"/>
      <c r="K59" s="82"/>
    </row>
    <row r="60">
      <c r="C60" s="82"/>
      <c r="E60" s="82"/>
      <c r="G60" s="82"/>
      <c r="I60" s="82"/>
      <c r="K60" s="82"/>
    </row>
    <row r="61">
      <c r="C61" s="82"/>
      <c r="E61" s="82"/>
      <c r="G61" s="82"/>
      <c r="I61" s="82"/>
      <c r="K61" s="82"/>
    </row>
    <row r="62">
      <c r="C62" s="82"/>
      <c r="E62" s="82"/>
      <c r="G62" s="82"/>
      <c r="I62" s="82"/>
      <c r="K62" s="82"/>
    </row>
    <row r="63">
      <c r="C63" s="82"/>
      <c r="E63" s="82"/>
      <c r="G63" s="82"/>
      <c r="I63" s="82"/>
      <c r="K63" s="82"/>
    </row>
    <row r="64">
      <c r="C64" s="82"/>
      <c r="E64" s="82"/>
      <c r="G64" s="82"/>
      <c r="I64" s="82"/>
      <c r="K64" s="82"/>
    </row>
    <row r="65">
      <c r="C65" s="82"/>
      <c r="E65" s="82"/>
      <c r="G65" s="82"/>
      <c r="I65" s="82"/>
      <c r="K65" s="82"/>
    </row>
    <row r="66">
      <c r="C66" s="82"/>
      <c r="E66" s="82"/>
      <c r="G66" s="82"/>
      <c r="I66" s="82"/>
      <c r="K66" s="82"/>
    </row>
    <row r="67">
      <c r="C67" s="82"/>
      <c r="E67" s="82"/>
      <c r="G67" s="82"/>
      <c r="I67" s="82"/>
      <c r="K67" s="82"/>
    </row>
    <row r="68">
      <c r="C68" s="82"/>
      <c r="E68" s="82"/>
      <c r="G68" s="82"/>
      <c r="I68" s="82"/>
      <c r="K68" s="82"/>
    </row>
    <row r="69">
      <c r="C69" s="82"/>
      <c r="E69" s="82"/>
      <c r="G69" s="82"/>
      <c r="I69" s="82"/>
      <c r="K69" s="82"/>
    </row>
    <row r="70">
      <c r="C70" s="82"/>
      <c r="E70" s="82"/>
      <c r="G70" s="82"/>
      <c r="I70" s="82"/>
      <c r="K70" s="82"/>
    </row>
    <row r="71">
      <c r="C71" s="82"/>
      <c r="E71" s="82"/>
      <c r="G71" s="82"/>
      <c r="I71" s="82"/>
      <c r="K71" s="82"/>
    </row>
    <row r="72">
      <c r="C72" s="82"/>
      <c r="E72" s="82"/>
      <c r="G72" s="82"/>
      <c r="I72" s="82"/>
      <c r="K72" s="82"/>
    </row>
    <row r="73">
      <c r="C73" s="82"/>
      <c r="E73" s="82"/>
      <c r="G73" s="82"/>
      <c r="I73" s="82"/>
      <c r="K73" s="82"/>
    </row>
    <row r="74">
      <c r="C74" s="82"/>
      <c r="E74" s="82"/>
      <c r="G74" s="82"/>
      <c r="I74" s="82"/>
      <c r="K74" s="82"/>
    </row>
    <row r="75">
      <c r="C75" s="82"/>
      <c r="E75" s="82"/>
      <c r="G75" s="82"/>
      <c r="I75" s="82"/>
      <c r="K75" s="82"/>
    </row>
    <row r="76">
      <c r="C76" s="82"/>
      <c r="E76" s="82"/>
      <c r="G76" s="82"/>
      <c r="I76" s="82"/>
      <c r="K76" s="82"/>
    </row>
    <row r="77">
      <c r="C77" s="82"/>
      <c r="E77" s="82"/>
      <c r="G77" s="82"/>
      <c r="I77" s="82"/>
      <c r="K77" s="82"/>
    </row>
    <row r="78">
      <c r="C78" s="82"/>
      <c r="E78" s="82"/>
      <c r="G78" s="82"/>
      <c r="I78" s="82"/>
      <c r="K78" s="82"/>
    </row>
    <row r="79">
      <c r="C79" s="82"/>
      <c r="E79" s="82"/>
      <c r="G79" s="82"/>
      <c r="I79" s="82"/>
      <c r="K79" s="82"/>
    </row>
    <row r="80">
      <c r="C80" s="82"/>
      <c r="E80" s="82"/>
      <c r="G80" s="82"/>
      <c r="I80" s="82"/>
      <c r="K80" s="82"/>
    </row>
    <row r="81">
      <c r="C81" s="82"/>
      <c r="E81" s="82"/>
      <c r="G81" s="82"/>
      <c r="I81" s="82"/>
      <c r="K81" s="82"/>
    </row>
    <row r="82">
      <c r="C82" s="82"/>
      <c r="E82" s="82"/>
      <c r="G82" s="82"/>
      <c r="I82" s="82"/>
      <c r="K82" s="82"/>
    </row>
    <row r="83">
      <c r="C83" s="82"/>
      <c r="E83" s="82"/>
      <c r="G83" s="82"/>
      <c r="I83" s="82"/>
      <c r="K83" s="82"/>
    </row>
    <row r="84">
      <c r="C84" s="82"/>
      <c r="E84" s="82"/>
      <c r="G84" s="82"/>
      <c r="I84" s="82"/>
      <c r="K84" s="82"/>
    </row>
    <row r="85">
      <c r="C85" s="82"/>
      <c r="E85" s="82"/>
      <c r="G85" s="82"/>
      <c r="I85" s="82"/>
      <c r="K85" s="82"/>
    </row>
    <row r="86">
      <c r="C86" s="82"/>
      <c r="E86" s="82"/>
      <c r="G86" s="82"/>
      <c r="I86" s="82"/>
      <c r="K86" s="82"/>
    </row>
    <row r="87">
      <c r="C87" s="82"/>
      <c r="E87" s="82"/>
      <c r="G87" s="82"/>
      <c r="I87" s="82"/>
      <c r="K87" s="82"/>
    </row>
    <row r="88">
      <c r="C88" s="82"/>
      <c r="E88" s="82"/>
      <c r="G88" s="82"/>
      <c r="I88" s="82"/>
      <c r="K88" s="82"/>
    </row>
    <row r="89">
      <c r="C89" s="82"/>
      <c r="E89" s="82"/>
      <c r="G89" s="82"/>
      <c r="I89" s="82"/>
      <c r="K89" s="82"/>
    </row>
    <row r="90">
      <c r="C90" s="82"/>
      <c r="E90" s="82"/>
      <c r="G90" s="82"/>
      <c r="I90" s="82"/>
      <c r="K90" s="82"/>
    </row>
    <row r="91">
      <c r="C91" s="82"/>
      <c r="E91" s="82"/>
      <c r="G91" s="82"/>
      <c r="I91" s="82"/>
      <c r="K91" s="82"/>
    </row>
    <row r="92">
      <c r="C92" s="82"/>
      <c r="E92" s="82"/>
      <c r="G92" s="82"/>
      <c r="I92" s="82"/>
      <c r="K92" s="82"/>
    </row>
    <row r="93">
      <c r="C93" s="82"/>
      <c r="E93" s="82"/>
      <c r="G93" s="82"/>
      <c r="I93" s="82"/>
      <c r="K93" s="82"/>
    </row>
    <row r="94">
      <c r="C94" s="82"/>
      <c r="E94" s="82"/>
      <c r="G94" s="82"/>
      <c r="I94" s="82"/>
      <c r="K94" s="82"/>
    </row>
    <row r="95">
      <c r="C95" s="82"/>
      <c r="E95" s="82"/>
      <c r="G95" s="82"/>
      <c r="I95" s="82"/>
      <c r="K95" s="82"/>
    </row>
    <row r="96">
      <c r="C96" s="82"/>
      <c r="E96" s="82"/>
      <c r="G96" s="82"/>
      <c r="I96" s="82"/>
      <c r="K96" s="82"/>
    </row>
    <row r="97">
      <c r="C97" s="82"/>
      <c r="E97" s="82"/>
      <c r="G97" s="82"/>
      <c r="I97" s="82"/>
      <c r="K97" s="82"/>
    </row>
    <row r="98">
      <c r="C98" s="82"/>
      <c r="E98" s="82"/>
      <c r="G98" s="82"/>
      <c r="I98" s="82"/>
      <c r="K98" s="82"/>
    </row>
    <row r="99">
      <c r="C99" s="82"/>
      <c r="E99" s="82"/>
      <c r="G99" s="82"/>
      <c r="I99" s="82"/>
      <c r="K99" s="82"/>
    </row>
    <row r="100">
      <c r="C100" s="82"/>
      <c r="E100" s="82"/>
      <c r="G100" s="82"/>
      <c r="I100" s="82"/>
      <c r="K100" s="82"/>
    </row>
    <row r="101">
      <c r="C101" s="82"/>
      <c r="E101" s="82"/>
      <c r="G101" s="82"/>
      <c r="I101" s="82"/>
      <c r="K101" s="82"/>
    </row>
    <row r="102">
      <c r="C102" s="82"/>
      <c r="E102" s="82"/>
      <c r="G102" s="82"/>
      <c r="I102" s="82"/>
      <c r="K102" s="82"/>
    </row>
    <row r="103">
      <c r="C103" s="82"/>
      <c r="E103" s="82"/>
      <c r="G103" s="82"/>
      <c r="I103" s="82"/>
      <c r="K103" s="82"/>
    </row>
    <row r="104">
      <c r="C104" s="82"/>
      <c r="E104" s="82"/>
      <c r="G104" s="82"/>
      <c r="I104" s="82"/>
      <c r="K104" s="82"/>
    </row>
    <row r="105">
      <c r="C105" s="82"/>
      <c r="E105" s="82"/>
      <c r="G105" s="82"/>
      <c r="I105" s="82"/>
      <c r="K105" s="82"/>
    </row>
    <row r="106">
      <c r="C106" s="82"/>
      <c r="E106" s="82"/>
      <c r="G106" s="82"/>
      <c r="I106" s="82"/>
      <c r="K106" s="82"/>
    </row>
    <row r="107">
      <c r="C107" s="82"/>
      <c r="E107" s="82"/>
      <c r="G107" s="82"/>
      <c r="I107" s="82"/>
      <c r="K107" s="82"/>
    </row>
    <row r="108">
      <c r="C108" s="82"/>
      <c r="E108" s="82"/>
      <c r="G108" s="82"/>
      <c r="I108" s="82"/>
      <c r="K108" s="82"/>
    </row>
    <row r="109">
      <c r="C109" s="82"/>
      <c r="E109" s="82"/>
      <c r="G109" s="82"/>
      <c r="I109" s="82"/>
      <c r="K109" s="82"/>
    </row>
    <row r="110">
      <c r="C110" s="82"/>
      <c r="E110" s="82"/>
      <c r="G110" s="82"/>
      <c r="I110" s="82"/>
      <c r="K110" s="82"/>
    </row>
    <row r="111">
      <c r="C111" s="82"/>
      <c r="E111" s="82"/>
      <c r="G111" s="82"/>
      <c r="I111" s="82"/>
      <c r="K111" s="82"/>
    </row>
    <row r="112">
      <c r="C112" s="82"/>
      <c r="E112" s="82"/>
      <c r="G112" s="82"/>
      <c r="I112" s="82"/>
      <c r="K112" s="82"/>
    </row>
    <row r="113">
      <c r="C113" s="82"/>
      <c r="E113" s="82"/>
      <c r="G113" s="82"/>
      <c r="I113" s="82"/>
      <c r="K113" s="82"/>
    </row>
    <row r="114">
      <c r="C114" s="82"/>
      <c r="E114" s="82"/>
      <c r="G114" s="82"/>
      <c r="I114" s="82"/>
      <c r="K114" s="82"/>
    </row>
    <row r="115">
      <c r="C115" s="82"/>
      <c r="E115" s="82"/>
      <c r="G115" s="82"/>
      <c r="I115" s="82"/>
      <c r="K115" s="82"/>
    </row>
    <row r="116">
      <c r="C116" s="82"/>
      <c r="E116" s="82"/>
      <c r="G116" s="82"/>
      <c r="I116" s="82"/>
      <c r="K116" s="82"/>
    </row>
    <row r="117">
      <c r="C117" s="82"/>
      <c r="E117" s="82"/>
      <c r="G117" s="82"/>
      <c r="I117" s="82"/>
      <c r="K117" s="82"/>
    </row>
    <row r="118">
      <c r="C118" s="82"/>
      <c r="E118" s="82"/>
      <c r="G118" s="82"/>
      <c r="I118" s="82"/>
      <c r="K118" s="82"/>
    </row>
    <row r="119">
      <c r="C119" s="82"/>
      <c r="E119" s="82"/>
      <c r="G119" s="82"/>
      <c r="I119" s="82"/>
      <c r="K119" s="82"/>
    </row>
    <row r="120">
      <c r="C120" s="82"/>
      <c r="E120" s="82"/>
      <c r="G120" s="82"/>
      <c r="I120" s="82"/>
      <c r="K120" s="82"/>
    </row>
    <row r="121">
      <c r="C121" s="82"/>
      <c r="E121" s="82"/>
      <c r="G121" s="82"/>
      <c r="I121" s="82"/>
      <c r="K121" s="82"/>
    </row>
    <row r="122">
      <c r="C122" s="82"/>
      <c r="E122" s="82"/>
      <c r="G122" s="82"/>
      <c r="I122" s="82"/>
      <c r="K122" s="82"/>
    </row>
    <row r="123">
      <c r="C123" s="82"/>
      <c r="E123" s="82"/>
      <c r="G123" s="82"/>
      <c r="I123" s="82"/>
      <c r="K123" s="82"/>
    </row>
    <row r="124">
      <c r="C124" s="82"/>
      <c r="E124" s="82"/>
      <c r="G124" s="82"/>
      <c r="I124" s="82"/>
      <c r="K124" s="82"/>
    </row>
    <row r="125">
      <c r="C125" s="82"/>
      <c r="E125" s="82"/>
      <c r="G125" s="82"/>
      <c r="I125" s="82"/>
      <c r="K125" s="82"/>
    </row>
    <row r="126">
      <c r="C126" s="82"/>
      <c r="E126" s="82"/>
      <c r="G126" s="82"/>
      <c r="I126" s="82"/>
      <c r="K126" s="82"/>
    </row>
    <row r="127">
      <c r="C127" s="82"/>
      <c r="E127" s="82"/>
      <c r="G127" s="82"/>
      <c r="I127" s="82"/>
      <c r="K127" s="82"/>
    </row>
    <row r="128">
      <c r="C128" s="82"/>
      <c r="E128" s="82"/>
      <c r="G128" s="82"/>
      <c r="I128" s="82"/>
      <c r="K128" s="82"/>
    </row>
    <row r="129">
      <c r="C129" s="82"/>
      <c r="E129" s="82"/>
      <c r="G129" s="82"/>
      <c r="I129" s="82"/>
      <c r="K129" s="82"/>
    </row>
    <row r="130">
      <c r="C130" s="82"/>
      <c r="E130" s="82"/>
      <c r="G130" s="82"/>
      <c r="I130" s="82"/>
      <c r="K130" s="82"/>
    </row>
    <row r="131">
      <c r="C131" s="82"/>
      <c r="E131" s="82"/>
      <c r="G131" s="82"/>
      <c r="I131" s="82"/>
      <c r="K131" s="82"/>
    </row>
    <row r="132">
      <c r="C132" s="82"/>
      <c r="E132" s="82"/>
      <c r="G132" s="82"/>
      <c r="I132" s="82"/>
      <c r="K132" s="82"/>
    </row>
    <row r="133">
      <c r="C133" s="82"/>
      <c r="E133" s="82"/>
      <c r="G133" s="82"/>
      <c r="I133" s="82"/>
      <c r="K133" s="82"/>
    </row>
    <row r="134">
      <c r="C134" s="82"/>
      <c r="E134" s="82"/>
      <c r="G134" s="82"/>
      <c r="I134" s="82"/>
      <c r="K134" s="82"/>
    </row>
    <row r="135">
      <c r="C135" s="82"/>
      <c r="E135" s="82"/>
      <c r="G135" s="82"/>
      <c r="I135" s="82"/>
      <c r="K135" s="82"/>
    </row>
    <row r="136">
      <c r="C136" s="82"/>
      <c r="E136" s="82"/>
      <c r="G136" s="82"/>
      <c r="I136" s="82"/>
      <c r="K136" s="82"/>
    </row>
    <row r="137">
      <c r="C137" s="82"/>
      <c r="E137" s="82"/>
      <c r="G137" s="82"/>
      <c r="I137" s="82"/>
      <c r="K137" s="82"/>
    </row>
    <row r="138">
      <c r="C138" s="82"/>
      <c r="E138" s="82"/>
      <c r="G138" s="82"/>
      <c r="I138" s="82"/>
      <c r="K138" s="82"/>
    </row>
    <row r="139">
      <c r="C139" s="82"/>
      <c r="E139" s="82"/>
      <c r="G139" s="82"/>
      <c r="I139" s="82"/>
      <c r="K139" s="82"/>
    </row>
    <row r="140">
      <c r="C140" s="82"/>
      <c r="E140" s="82"/>
      <c r="G140" s="82"/>
      <c r="I140" s="82"/>
      <c r="K140" s="82"/>
    </row>
    <row r="141">
      <c r="C141" s="82"/>
      <c r="E141" s="82"/>
      <c r="G141" s="82"/>
      <c r="I141" s="82"/>
      <c r="K141" s="82"/>
    </row>
    <row r="142">
      <c r="C142" s="82"/>
      <c r="E142" s="82"/>
      <c r="G142" s="82"/>
      <c r="I142" s="82"/>
      <c r="K142" s="82"/>
    </row>
    <row r="143">
      <c r="C143" s="82"/>
      <c r="E143" s="82"/>
      <c r="G143" s="82"/>
      <c r="I143" s="82"/>
      <c r="K143" s="82"/>
    </row>
    <row r="144">
      <c r="C144" s="82"/>
      <c r="E144" s="82"/>
      <c r="G144" s="82"/>
      <c r="I144" s="82"/>
      <c r="K144" s="82"/>
    </row>
    <row r="145">
      <c r="C145" s="82"/>
      <c r="E145" s="82"/>
      <c r="G145" s="82"/>
      <c r="I145" s="82"/>
      <c r="K145" s="82"/>
    </row>
    <row r="146">
      <c r="C146" s="82"/>
      <c r="E146" s="82"/>
      <c r="G146" s="82"/>
      <c r="I146" s="82"/>
      <c r="K146" s="82"/>
    </row>
    <row r="147">
      <c r="C147" s="82"/>
      <c r="E147" s="82"/>
      <c r="G147" s="82"/>
      <c r="I147" s="82"/>
      <c r="K147" s="82"/>
    </row>
    <row r="148">
      <c r="C148" s="82"/>
      <c r="E148" s="82"/>
      <c r="G148" s="82"/>
      <c r="I148" s="82"/>
      <c r="K148" s="82"/>
    </row>
    <row r="149">
      <c r="C149" s="82"/>
      <c r="E149" s="82"/>
      <c r="G149" s="82"/>
      <c r="I149" s="82"/>
      <c r="K149" s="82"/>
    </row>
    <row r="150">
      <c r="C150" s="82"/>
      <c r="E150" s="82"/>
      <c r="G150" s="82"/>
      <c r="I150" s="82"/>
      <c r="K150" s="82"/>
    </row>
    <row r="151">
      <c r="C151" s="82"/>
      <c r="E151" s="82"/>
      <c r="G151" s="82"/>
      <c r="I151" s="82"/>
      <c r="K151" s="82"/>
    </row>
    <row r="152">
      <c r="C152" s="82"/>
      <c r="E152" s="82"/>
      <c r="G152" s="82"/>
      <c r="I152" s="82"/>
      <c r="K152" s="82"/>
    </row>
    <row r="153">
      <c r="C153" s="82"/>
      <c r="E153" s="82"/>
      <c r="G153" s="82"/>
      <c r="I153" s="82"/>
      <c r="K153" s="82"/>
    </row>
    <row r="154">
      <c r="C154" s="82"/>
      <c r="E154" s="82"/>
      <c r="G154" s="82"/>
      <c r="I154" s="82"/>
      <c r="K154" s="82"/>
    </row>
    <row r="155">
      <c r="C155" s="82"/>
      <c r="E155" s="82"/>
      <c r="G155" s="82"/>
      <c r="I155" s="82"/>
      <c r="K155" s="82"/>
    </row>
    <row r="156">
      <c r="C156" s="82"/>
      <c r="E156" s="82"/>
      <c r="G156" s="82"/>
      <c r="I156" s="82"/>
      <c r="K156" s="82"/>
    </row>
    <row r="157">
      <c r="C157" s="82"/>
      <c r="E157" s="82"/>
      <c r="G157" s="82"/>
      <c r="I157" s="82"/>
      <c r="K157" s="82"/>
    </row>
    <row r="158">
      <c r="C158" s="82"/>
      <c r="E158" s="82"/>
      <c r="G158" s="82"/>
      <c r="I158" s="82"/>
      <c r="K158" s="82"/>
    </row>
    <row r="159">
      <c r="C159" s="82"/>
      <c r="E159" s="82"/>
      <c r="G159" s="82"/>
      <c r="I159" s="82"/>
      <c r="K159" s="82"/>
    </row>
    <row r="160">
      <c r="C160" s="82"/>
      <c r="E160" s="82"/>
      <c r="G160" s="82"/>
      <c r="I160" s="82"/>
      <c r="K160" s="82"/>
    </row>
    <row r="161">
      <c r="C161" s="82"/>
      <c r="E161" s="82"/>
      <c r="G161" s="82"/>
      <c r="I161" s="82"/>
      <c r="K161" s="82"/>
    </row>
    <row r="162">
      <c r="C162" s="82"/>
      <c r="E162" s="82"/>
      <c r="G162" s="82"/>
      <c r="I162" s="82"/>
      <c r="K162" s="82"/>
    </row>
    <row r="163">
      <c r="C163" s="82"/>
      <c r="E163" s="82"/>
      <c r="G163" s="82"/>
      <c r="I163" s="82"/>
      <c r="K163" s="82"/>
    </row>
    <row r="164">
      <c r="C164" s="82"/>
      <c r="E164" s="82"/>
      <c r="G164" s="82"/>
      <c r="I164" s="82"/>
      <c r="K164" s="82"/>
    </row>
    <row r="165">
      <c r="C165" s="82"/>
      <c r="E165" s="82"/>
      <c r="G165" s="82"/>
      <c r="I165" s="82"/>
      <c r="K165" s="82"/>
    </row>
    <row r="166">
      <c r="C166" s="82"/>
      <c r="E166" s="82"/>
      <c r="G166" s="82"/>
      <c r="I166" s="82"/>
      <c r="K166" s="82"/>
    </row>
    <row r="167">
      <c r="C167" s="82"/>
      <c r="E167" s="82"/>
      <c r="G167" s="82"/>
      <c r="I167" s="82"/>
      <c r="K167" s="82"/>
    </row>
    <row r="168">
      <c r="C168" s="82"/>
      <c r="E168" s="82"/>
      <c r="G168" s="82"/>
      <c r="I168" s="82"/>
      <c r="K168" s="82"/>
    </row>
    <row r="169">
      <c r="C169" s="82"/>
      <c r="E169" s="82"/>
      <c r="G169" s="82"/>
      <c r="I169" s="82"/>
      <c r="K169" s="82"/>
    </row>
    <row r="170">
      <c r="C170" s="82"/>
      <c r="E170" s="82"/>
      <c r="G170" s="82"/>
      <c r="I170" s="82"/>
      <c r="K170" s="82"/>
    </row>
    <row r="171">
      <c r="C171" s="82"/>
      <c r="E171" s="82"/>
      <c r="G171" s="82"/>
      <c r="I171" s="82"/>
      <c r="K171" s="82"/>
    </row>
    <row r="172">
      <c r="C172" s="82"/>
      <c r="E172" s="82"/>
      <c r="G172" s="82"/>
      <c r="I172" s="82"/>
      <c r="K172" s="82"/>
    </row>
    <row r="173">
      <c r="C173" s="82"/>
      <c r="E173" s="82"/>
      <c r="G173" s="82"/>
      <c r="I173" s="82"/>
      <c r="K173" s="82"/>
    </row>
    <row r="174">
      <c r="C174" s="82"/>
      <c r="E174" s="82"/>
      <c r="G174" s="82"/>
      <c r="I174" s="82"/>
      <c r="K174" s="82"/>
    </row>
    <row r="175">
      <c r="C175" s="82"/>
      <c r="E175" s="82"/>
      <c r="G175" s="82"/>
      <c r="I175" s="82"/>
      <c r="K175" s="82"/>
    </row>
    <row r="176">
      <c r="C176" s="82"/>
      <c r="E176" s="82"/>
      <c r="G176" s="82"/>
      <c r="I176" s="82"/>
      <c r="K176" s="82"/>
    </row>
    <row r="177">
      <c r="C177" s="82"/>
      <c r="E177" s="82"/>
      <c r="G177" s="82"/>
      <c r="I177" s="82"/>
      <c r="K177" s="82"/>
    </row>
    <row r="178">
      <c r="C178" s="82"/>
      <c r="E178" s="82"/>
      <c r="G178" s="82"/>
      <c r="I178" s="82"/>
      <c r="K178" s="82"/>
    </row>
    <row r="179">
      <c r="C179" s="82"/>
      <c r="E179" s="82"/>
      <c r="G179" s="82"/>
      <c r="I179" s="82"/>
      <c r="K179" s="82"/>
    </row>
    <row r="180">
      <c r="C180" s="82"/>
      <c r="E180" s="82"/>
      <c r="G180" s="82"/>
      <c r="I180" s="82"/>
      <c r="K180" s="82"/>
    </row>
    <row r="181">
      <c r="C181" s="82"/>
      <c r="E181" s="82"/>
      <c r="G181" s="82"/>
      <c r="I181" s="82"/>
      <c r="K181" s="82"/>
    </row>
    <row r="182">
      <c r="C182" s="82"/>
      <c r="E182" s="82"/>
      <c r="G182" s="82"/>
      <c r="I182" s="82"/>
      <c r="K182" s="82"/>
    </row>
    <row r="183">
      <c r="C183" s="82"/>
      <c r="E183" s="82"/>
      <c r="G183" s="82"/>
      <c r="I183" s="82"/>
      <c r="K183" s="82"/>
    </row>
    <row r="184">
      <c r="C184" s="82"/>
      <c r="E184" s="82"/>
      <c r="G184" s="82"/>
      <c r="I184" s="82"/>
      <c r="K184" s="82"/>
    </row>
    <row r="185">
      <c r="C185" s="82"/>
      <c r="E185" s="82"/>
      <c r="G185" s="82"/>
      <c r="I185" s="82"/>
      <c r="K185" s="82"/>
    </row>
    <row r="186">
      <c r="C186" s="82"/>
      <c r="E186" s="82"/>
      <c r="G186" s="82"/>
      <c r="I186" s="82"/>
      <c r="K186" s="82"/>
    </row>
    <row r="187">
      <c r="C187" s="82"/>
      <c r="E187" s="82"/>
      <c r="G187" s="82"/>
      <c r="I187" s="82"/>
      <c r="K187" s="82"/>
    </row>
    <row r="188">
      <c r="C188" s="82"/>
      <c r="E188" s="82"/>
      <c r="G188" s="82"/>
      <c r="I188" s="82"/>
      <c r="K188" s="82"/>
    </row>
    <row r="189">
      <c r="C189" s="82"/>
      <c r="E189" s="82"/>
      <c r="G189" s="82"/>
      <c r="I189" s="82"/>
      <c r="K189" s="82"/>
    </row>
    <row r="190">
      <c r="C190" s="82"/>
      <c r="E190" s="82"/>
      <c r="G190" s="82"/>
      <c r="I190" s="82"/>
      <c r="K190" s="82"/>
    </row>
    <row r="191">
      <c r="C191" s="82"/>
      <c r="E191" s="82"/>
      <c r="G191" s="82"/>
      <c r="I191" s="82"/>
      <c r="K191" s="82"/>
    </row>
    <row r="192">
      <c r="C192" s="82"/>
      <c r="E192" s="82"/>
      <c r="G192" s="82"/>
      <c r="I192" s="82"/>
      <c r="K192" s="82"/>
    </row>
    <row r="193">
      <c r="C193" s="82"/>
      <c r="E193" s="82"/>
      <c r="G193" s="82"/>
      <c r="I193" s="82"/>
      <c r="K193" s="82"/>
    </row>
    <row r="194">
      <c r="C194" s="82"/>
      <c r="E194" s="82"/>
      <c r="G194" s="82"/>
      <c r="I194" s="82"/>
      <c r="K194" s="82"/>
    </row>
    <row r="195">
      <c r="C195" s="82"/>
      <c r="E195" s="82"/>
      <c r="G195" s="82"/>
      <c r="I195" s="82"/>
      <c r="K195" s="82"/>
    </row>
    <row r="196">
      <c r="C196" s="82"/>
      <c r="E196" s="82"/>
      <c r="G196" s="82"/>
      <c r="I196" s="82"/>
      <c r="K196" s="82"/>
    </row>
    <row r="197">
      <c r="C197" s="82"/>
      <c r="E197" s="82"/>
      <c r="G197" s="82"/>
      <c r="I197" s="82"/>
      <c r="K197" s="82"/>
    </row>
    <row r="198">
      <c r="C198" s="82"/>
      <c r="E198" s="82"/>
      <c r="G198" s="82"/>
      <c r="I198" s="82"/>
      <c r="K198" s="82"/>
    </row>
    <row r="199">
      <c r="C199" s="82"/>
      <c r="E199" s="82"/>
      <c r="G199" s="82"/>
      <c r="I199" s="82"/>
      <c r="K199" s="82"/>
    </row>
    <row r="200">
      <c r="C200" s="82"/>
      <c r="E200" s="82"/>
      <c r="G200" s="82"/>
      <c r="I200" s="82"/>
      <c r="K200" s="82"/>
    </row>
    <row r="201">
      <c r="C201" s="82"/>
      <c r="E201" s="82"/>
      <c r="G201" s="82"/>
      <c r="I201" s="82"/>
      <c r="K201" s="82"/>
    </row>
    <row r="202">
      <c r="C202" s="82"/>
      <c r="E202" s="82"/>
      <c r="G202" s="82"/>
      <c r="I202" s="82"/>
      <c r="K202" s="82"/>
    </row>
    <row r="203">
      <c r="C203" s="82"/>
      <c r="E203" s="82"/>
      <c r="G203" s="82"/>
      <c r="I203" s="82"/>
      <c r="K203" s="82"/>
    </row>
    <row r="204">
      <c r="C204" s="82"/>
      <c r="E204" s="82"/>
      <c r="G204" s="82"/>
      <c r="I204" s="82"/>
      <c r="K204" s="82"/>
    </row>
    <row r="205">
      <c r="C205" s="82"/>
      <c r="E205" s="82"/>
      <c r="G205" s="82"/>
      <c r="I205" s="82"/>
      <c r="K205" s="82"/>
    </row>
    <row r="206">
      <c r="C206" s="82"/>
      <c r="E206" s="82"/>
      <c r="G206" s="82"/>
      <c r="I206" s="82"/>
      <c r="K206" s="82"/>
    </row>
    <row r="207">
      <c r="C207" s="82"/>
      <c r="E207" s="82"/>
      <c r="G207" s="82"/>
      <c r="I207" s="82"/>
      <c r="K207" s="82"/>
    </row>
    <row r="208">
      <c r="C208" s="82"/>
      <c r="E208" s="82"/>
      <c r="G208" s="82"/>
      <c r="I208" s="82"/>
      <c r="K208" s="82"/>
    </row>
    <row r="209">
      <c r="C209" s="82"/>
      <c r="E209" s="82"/>
      <c r="G209" s="82"/>
      <c r="I209" s="82"/>
      <c r="K209" s="82"/>
    </row>
    <row r="210">
      <c r="C210" s="82"/>
      <c r="E210" s="82"/>
      <c r="G210" s="82"/>
      <c r="I210" s="82"/>
      <c r="K210" s="82"/>
    </row>
    <row r="211">
      <c r="C211" s="82"/>
      <c r="E211" s="82"/>
      <c r="G211" s="82"/>
      <c r="I211" s="82"/>
      <c r="K211" s="82"/>
    </row>
    <row r="212">
      <c r="C212" s="82"/>
      <c r="E212" s="82"/>
      <c r="G212" s="82"/>
      <c r="I212" s="82"/>
      <c r="K212" s="82"/>
    </row>
    <row r="213">
      <c r="C213" s="82"/>
      <c r="E213" s="82"/>
      <c r="G213" s="82"/>
      <c r="I213" s="82"/>
      <c r="K213" s="82"/>
    </row>
    <row r="214">
      <c r="C214" s="82"/>
      <c r="E214" s="82"/>
      <c r="G214" s="82"/>
      <c r="I214" s="82"/>
      <c r="K214" s="82"/>
    </row>
    <row r="215">
      <c r="C215" s="82"/>
      <c r="E215" s="82"/>
      <c r="G215" s="82"/>
      <c r="I215" s="82"/>
      <c r="K215" s="82"/>
    </row>
    <row r="216">
      <c r="C216" s="82"/>
      <c r="E216" s="82"/>
      <c r="G216" s="82"/>
      <c r="I216" s="82"/>
      <c r="K216" s="82"/>
    </row>
    <row r="217">
      <c r="C217" s="82"/>
      <c r="E217" s="82"/>
      <c r="G217" s="82"/>
      <c r="I217" s="82"/>
      <c r="K217" s="82"/>
    </row>
    <row r="218">
      <c r="C218" s="82"/>
      <c r="E218" s="82"/>
      <c r="G218" s="82"/>
      <c r="I218" s="82"/>
      <c r="K218" s="82"/>
    </row>
    <row r="219">
      <c r="C219" s="82"/>
      <c r="E219" s="82"/>
      <c r="G219" s="82"/>
      <c r="I219" s="82"/>
      <c r="K219" s="82"/>
    </row>
    <row r="220">
      <c r="C220" s="82"/>
      <c r="E220" s="82"/>
      <c r="G220" s="82"/>
      <c r="I220" s="82"/>
      <c r="K220" s="82"/>
    </row>
    <row r="221">
      <c r="C221" s="82"/>
      <c r="E221" s="82"/>
      <c r="G221" s="82"/>
      <c r="I221" s="82"/>
      <c r="K221" s="82"/>
    </row>
    <row r="222">
      <c r="C222" s="82"/>
      <c r="E222" s="82"/>
      <c r="G222" s="82"/>
      <c r="I222" s="82"/>
      <c r="K222" s="82"/>
    </row>
    <row r="223">
      <c r="C223" s="82"/>
      <c r="E223" s="82"/>
      <c r="G223" s="82"/>
      <c r="I223" s="82"/>
      <c r="K223" s="82"/>
    </row>
    <row r="224">
      <c r="C224" s="82"/>
      <c r="E224" s="82"/>
      <c r="G224" s="82"/>
      <c r="I224" s="82"/>
      <c r="K224" s="82"/>
    </row>
    <row r="225">
      <c r="C225" s="82"/>
      <c r="E225" s="82"/>
      <c r="G225" s="82"/>
      <c r="I225" s="82"/>
      <c r="K225" s="82"/>
    </row>
    <row r="226">
      <c r="C226" s="82"/>
      <c r="E226" s="82"/>
      <c r="G226" s="82"/>
      <c r="I226" s="82"/>
      <c r="K226" s="82"/>
    </row>
    <row r="227">
      <c r="C227" s="82"/>
      <c r="E227" s="82"/>
      <c r="G227" s="82"/>
      <c r="I227" s="82"/>
      <c r="K227" s="82"/>
    </row>
    <row r="228">
      <c r="C228" s="82"/>
      <c r="E228" s="82"/>
      <c r="G228" s="82"/>
      <c r="I228" s="82"/>
      <c r="K228" s="82"/>
    </row>
    <row r="229">
      <c r="C229" s="82"/>
      <c r="E229" s="82"/>
      <c r="G229" s="82"/>
      <c r="I229" s="82"/>
      <c r="K229" s="82"/>
    </row>
    <row r="230">
      <c r="C230" s="82"/>
      <c r="E230" s="82"/>
      <c r="G230" s="82"/>
      <c r="I230" s="82"/>
      <c r="K230" s="82"/>
    </row>
    <row r="231">
      <c r="C231" s="82"/>
      <c r="E231" s="82"/>
      <c r="G231" s="82"/>
      <c r="I231" s="82"/>
      <c r="K231" s="82"/>
    </row>
    <row r="232">
      <c r="C232" s="82"/>
      <c r="E232" s="82"/>
      <c r="G232" s="82"/>
      <c r="I232" s="82"/>
      <c r="K232" s="82"/>
    </row>
    <row r="233">
      <c r="C233" s="82"/>
      <c r="E233" s="82"/>
      <c r="G233" s="82"/>
      <c r="I233" s="82"/>
      <c r="K233" s="82"/>
    </row>
    <row r="234">
      <c r="C234" s="82"/>
      <c r="E234" s="82"/>
      <c r="G234" s="82"/>
      <c r="I234" s="82"/>
      <c r="K234" s="82"/>
    </row>
    <row r="235">
      <c r="C235" s="82"/>
      <c r="E235" s="82"/>
      <c r="G235" s="82"/>
      <c r="I235" s="82"/>
      <c r="K235" s="82"/>
    </row>
    <row r="236">
      <c r="C236" s="82"/>
      <c r="E236" s="82"/>
      <c r="G236" s="82"/>
      <c r="I236" s="82"/>
      <c r="K236" s="82"/>
    </row>
    <row r="237">
      <c r="C237" s="82"/>
      <c r="E237" s="82"/>
      <c r="G237" s="82"/>
      <c r="I237" s="82"/>
      <c r="K237" s="82"/>
    </row>
    <row r="238">
      <c r="C238" s="82"/>
      <c r="E238" s="82"/>
      <c r="G238" s="82"/>
      <c r="I238" s="82"/>
      <c r="K238" s="82"/>
    </row>
    <row r="239">
      <c r="C239" s="82"/>
      <c r="E239" s="82"/>
      <c r="G239" s="82"/>
      <c r="I239" s="82"/>
      <c r="K239" s="82"/>
    </row>
    <row r="240">
      <c r="C240" s="82"/>
      <c r="E240" s="82"/>
      <c r="G240" s="82"/>
      <c r="I240" s="82"/>
      <c r="K240" s="82"/>
    </row>
    <row r="241">
      <c r="C241" s="82"/>
      <c r="E241" s="82"/>
      <c r="G241" s="82"/>
      <c r="I241" s="82"/>
      <c r="K241" s="82"/>
    </row>
    <row r="242">
      <c r="C242" s="82"/>
      <c r="E242" s="82"/>
      <c r="G242" s="82"/>
      <c r="I242" s="82"/>
      <c r="K242" s="82"/>
    </row>
    <row r="243">
      <c r="C243" s="82"/>
      <c r="E243" s="82"/>
      <c r="G243" s="82"/>
      <c r="I243" s="82"/>
      <c r="K243" s="82"/>
    </row>
    <row r="244">
      <c r="C244" s="82"/>
      <c r="E244" s="82"/>
      <c r="G244" s="82"/>
      <c r="I244" s="82"/>
      <c r="K244" s="82"/>
    </row>
    <row r="245">
      <c r="C245" s="82"/>
      <c r="E245" s="82"/>
      <c r="G245" s="82"/>
      <c r="I245" s="82"/>
      <c r="K245" s="82"/>
    </row>
    <row r="246">
      <c r="C246" s="82"/>
      <c r="E246" s="82"/>
      <c r="G246" s="82"/>
      <c r="I246" s="82"/>
      <c r="K246" s="82"/>
    </row>
    <row r="247">
      <c r="C247" s="82"/>
      <c r="E247" s="82"/>
      <c r="G247" s="82"/>
      <c r="I247" s="82"/>
      <c r="K247" s="82"/>
    </row>
    <row r="248">
      <c r="C248" s="82"/>
      <c r="E248" s="82"/>
      <c r="G248" s="82"/>
      <c r="I248" s="82"/>
      <c r="K248" s="82"/>
    </row>
    <row r="249">
      <c r="C249" s="82"/>
      <c r="E249" s="82"/>
      <c r="G249" s="82"/>
      <c r="I249" s="82"/>
      <c r="K249" s="82"/>
    </row>
    <row r="250">
      <c r="C250" s="82"/>
      <c r="E250" s="82"/>
      <c r="G250" s="82"/>
      <c r="I250" s="82"/>
      <c r="K250" s="82"/>
    </row>
    <row r="251">
      <c r="C251" s="82"/>
      <c r="E251" s="82"/>
      <c r="G251" s="82"/>
      <c r="I251" s="82"/>
      <c r="K251" s="82"/>
    </row>
    <row r="252">
      <c r="C252" s="82"/>
      <c r="E252" s="82"/>
      <c r="G252" s="82"/>
      <c r="I252" s="82"/>
      <c r="K252" s="82"/>
    </row>
    <row r="253">
      <c r="C253" s="82"/>
      <c r="E253" s="82"/>
      <c r="G253" s="82"/>
      <c r="I253" s="82"/>
      <c r="K253" s="82"/>
    </row>
    <row r="254">
      <c r="C254" s="82"/>
      <c r="E254" s="82"/>
      <c r="G254" s="82"/>
      <c r="I254" s="82"/>
      <c r="K254" s="82"/>
    </row>
    <row r="255">
      <c r="C255" s="82"/>
      <c r="E255" s="82"/>
      <c r="G255" s="82"/>
      <c r="I255" s="82"/>
      <c r="K255" s="82"/>
    </row>
    <row r="256">
      <c r="C256" s="82"/>
      <c r="E256" s="82"/>
      <c r="G256" s="82"/>
      <c r="I256" s="82"/>
      <c r="K256" s="82"/>
    </row>
    <row r="257">
      <c r="C257" s="82"/>
      <c r="E257" s="82"/>
      <c r="G257" s="82"/>
      <c r="I257" s="82"/>
      <c r="K257" s="82"/>
    </row>
    <row r="258">
      <c r="C258" s="82"/>
      <c r="E258" s="82"/>
      <c r="G258" s="82"/>
      <c r="I258" s="82"/>
      <c r="K258" s="82"/>
    </row>
    <row r="259">
      <c r="C259" s="82"/>
      <c r="E259" s="82"/>
      <c r="G259" s="82"/>
      <c r="I259" s="82"/>
      <c r="K259" s="82"/>
    </row>
    <row r="260">
      <c r="C260" s="82"/>
      <c r="E260" s="82"/>
      <c r="G260" s="82"/>
      <c r="I260" s="82"/>
      <c r="K260" s="82"/>
    </row>
    <row r="261">
      <c r="C261" s="82"/>
      <c r="E261" s="82"/>
      <c r="G261" s="82"/>
      <c r="I261" s="82"/>
      <c r="K261" s="82"/>
    </row>
    <row r="262">
      <c r="C262" s="82"/>
      <c r="E262" s="82"/>
      <c r="G262" s="82"/>
      <c r="I262" s="82"/>
      <c r="K262" s="82"/>
    </row>
    <row r="263">
      <c r="C263" s="82"/>
      <c r="E263" s="82"/>
      <c r="G263" s="82"/>
      <c r="I263" s="82"/>
      <c r="K263" s="82"/>
    </row>
    <row r="264">
      <c r="C264" s="82"/>
      <c r="E264" s="82"/>
      <c r="G264" s="82"/>
      <c r="I264" s="82"/>
      <c r="K264" s="82"/>
    </row>
    <row r="265">
      <c r="C265" s="82"/>
      <c r="E265" s="82"/>
      <c r="G265" s="82"/>
      <c r="I265" s="82"/>
      <c r="K265" s="82"/>
    </row>
    <row r="266">
      <c r="C266" s="82"/>
      <c r="E266" s="82"/>
      <c r="G266" s="82"/>
      <c r="I266" s="82"/>
      <c r="K266" s="82"/>
    </row>
    <row r="267">
      <c r="C267" s="82"/>
      <c r="E267" s="82"/>
      <c r="G267" s="82"/>
      <c r="I267" s="82"/>
      <c r="K267" s="82"/>
    </row>
    <row r="268">
      <c r="C268" s="82"/>
      <c r="E268" s="82"/>
      <c r="G268" s="82"/>
      <c r="I268" s="82"/>
      <c r="K268" s="82"/>
    </row>
    <row r="269">
      <c r="C269" s="82"/>
      <c r="E269" s="82"/>
      <c r="G269" s="82"/>
      <c r="I269" s="82"/>
      <c r="K269" s="82"/>
    </row>
    <row r="270">
      <c r="C270" s="82"/>
      <c r="E270" s="82"/>
      <c r="G270" s="82"/>
      <c r="I270" s="82"/>
      <c r="K270" s="82"/>
    </row>
    <row r="271">
      <c r="C271" s="82"/>
      <c r="E271" s="82"/>
      <c r="G271" s="82"/>
      <c r="I271" s="82"/>
      <c r="K271" s="82"/>
    </row>
    <row r="272">
      <c r="C272" s="82"/>
      <c r="E272" s="82"/>
      <c r="G272" s="82"/>
      <c r="I272" s="82"/>
      <c r="K272" s="82"/>
    </row>
    <row r="273">
      <c r="C273" s="82"/>
      <c r="E273" s="82"/>
      <c r="G273" s="82"/>
      <c r="I273" s="82"/>
      <c r="K273" s="82"/>
    </row>
    <row r="274">
      <c r="C274" s="82"/>
      <c r="E274" s="82"/>
      <c r="G274" s="82"/>
      <c r="I274" s="82"/>
      <c r="K274" s="82"/>
    </row>
    <row r="275">
      <c r="C275" s="82"/>
      <c r="E275" s="82"/>
      <c r="G275" s="82"/>
      <c r="I275" s="82"/>
      <c r="K275" s="82"/>
    </row>
    <row r="276">
      <c r="C276" s="82"/>
      <c r="E276" s="82"/>
      <c r="G276" s="82"/>
      <c r="I276" s="82"/>
      <c r="K276" s="82"/>
    </row>
    <row r="277">
      <c r="C277" s="82"/>
      <c r="E277" s="82"/>
      <c r="G277" s="82"/>
      <c r="I277" s="82"/>
      <c r="K277" s="82"/>
    </row>
    <row r="278">
      <c r="C278" s="82"/>
      <c r="E278" s="82"/>
      <c r="G278" s="82"/>
      <c r="I278" s="82"/>
      <c r="K278" s="82"/>
    </row>
    <row r="279">
      <c r="C279" s="82"/>
      <c r="E279" s="82"/>
      <c r="G279" s="82"/>
      <c r="I279" s="82"/>
      <c r="K279" s="82"/>
    </row>
    <row r="280">
      <c r="C280" s="82"/>
      <c r="E280" s="82"/>
      <c r="G280" s="82"/>
      <c r="I280" s="82"/>
      <c r="K280" s="82"/>
    </row>
    <row r="281">
      <c r="C281" s="82"/>
      <c r="E281" s="82"/>
      <c r="G281" s="82"/>
      <c r="I281" s="82"/>
      <c r="K281" s="82"/>
    </row>
    <row r="282">
      <c r="C282" s="82"/>
      <c r="E282" s="82"/>
      <c r="G282" s="82"/>
      <c r="I282" s="82"/>
      <c r="K282" s="82"/>
    </row>
    <row r="283">
      <c r="C283" s="82"/>
      <c r="E283" s="82"/>
      <c r="G283" s="82"/>
      <c r="I283" s="82"/>
      <c r="K283" s="82"/>
    </row>
    <row r="284">
      <c r="C284" s="82"/>
      <c r="E284" s="82"/>
      <c r="G284" s="82"/>
      <c r="I284" s="82"/>
      <c r="K284" s="82"/>
    </row>
    <row r="285">
      <c r="C285" s="82"/>
      <c r="E285" s="82"/>
      <c r="G285" s="82"/>
      <c r="I285" s="82"/>
      <c r="K285" s="82"/>
    </row>
    <row r="286">
      <c r="C286" s="82"/>
      <c r="E286" s="82"/>
      <c r="G286" s="82"/>
      <c r="I286" s="82"/>
      <c r="K286" s="82"/>
    </row>
    <row r="287">
      <c r="C287" s="82"/>
      <c r="E287" s="82"/>
      <c r="G287" s="82"/>
      <c r="I287" s="82"/>
      <c r="K287" s="82"/>
    </row>
    <row r="288">
      <c r="C288" s="82"/>
      <c r="E288" s="82"/>
      <c r="G288" s="82"/>
      <c r="I288" s="82"/>
      <c r="K288" s="82"/>
    </row>
    <row r="289">
      <c r="C289" s="82"/>
      <c r="E289" s="82"/>
      <c r="G289" s="82"/>
      <c r="I289" s="82"/>
      <c r="K289" s="82"/>
    </row>
    <row r="290">
      <c r="C290" s="82"/>
      <c r="E290" s="82"/>
      <c r="G290" s="82"/>
      <c r="I290" s="82"/>
      <c r="K290" s="82"/>
    </row>
    <row r="291">
      <c r="C291" s="82"/>
      <c r="E291" s="82"/>
      <c r="G291" s="82"/>
      <c r="I291" s="82"/>
      <c r="K291" s="82"/>
    </row>
    <row r="292">
      <c r="C292" s="82"/>
      <c r="E292" s="82"/>
      <c r="G292" s="82"/>
      <c r="I292" s="82"/>
      <c r="K292" s="82"/>
    </row>
    <row r="293">
      <c r="C293" s="82"/>
      <c r="E293" s="82"/>
      <c r="G293" s="82"/>
      <c r="I293" s="82"/>
      <c r="K293" s="82"/>
    </row>
    <row r="294">
      <c r="C294" s="82"/>
      <c r="E294" s="82"/>
      <c r="G294" s="82"/>
      <c r="I294" s="82"/>
      <c r="K294" s="82"/>
    </row>
    <row r="295">
      <c r="C295" s="82"/>
      <c r="E295" s="82"/>
      <c r="G295" s="82"/>
      <c r="I295" s="82"/>
      <c r="K295" s="82"/>
    </row>
    <row r="296">
      <c r="C296" s="82"/>
      <c r="E296" s="82"/>
      <c r="G296" s="82"/>
      <c r="I296" s="82"/>
      <c r="K296" s="82"/>
    </row>
    <row r="297">
      <c r="C297" s="82"/>
      <c r="E297" s="82"/>
      <c r="G297" s="82"/>
      <c r="I297" s="82"/>
      <c r="K297" s="82"/>
    </row>
    <row r="298">
      <c r="C298" s="82"/>
      <c r="E298" s="82"/>
      <c r="G298" s="82"/>
      <c r="I298" s="82"/>
      <c r="K298" s="82"/>
    </row>
    <row r="299">
      <c r="C299" s="82"/>
      <c r="E299" s="82"/>
      <c r="G299" s="82"/>
      <c r="I299" s="82"/>
      <c r="K299" s="82"/>
    </row>
    <row r="300">
      <c r="C300" s="82"/>
      <c r="E300" s="82"/>
      <c r="G300" s="82"/>
      <c r="I300" s="82"/>
      <c r="K300" s="82"/>
    </row>
    <row r="301">
      <c r="C301" s="82"/>
      <c r="E301" s="82"/>
      <c r="G301" s="82"/>
      <c r="I301" s="82"/>
      <c r="K301" s="82"/>
    </row>
    <row r="302">
      <c r="C302" s="82"/>
      <c r="E302" s="82"/>
      <c r="G302" s="82"/>
      <c r="I302" s="82"/>
      <c r="K302" s="82"/>
    </row>
    <row r="303">
      <c r="C303" s="82"/>
      <c r="E303" s="82"/>
      <c r="G303" s="82"/>
      <c r="I303" s="82"/>
      <c r="K303" s="82"/>
    </row>
    <row r="304">
      <c r="C304" s="82"/>
      <c r="E304" s="82"/>
      <c r="G304" s="82"/>
      <c r="I304" s="82"/>
      <c r="K304" s="82"/>
    </row>
    <row r="305">
      <c r="C305" s="82"/>
      <c r="E305" s="82"/>
      <c r="G305" s="82"/>
      <c r="I305" s="82"/>
      <c r="K305" s="82"/>
    </row>
    <row r="306">
      <c r="C306" s="82"/>
      <c r="E306" s="82"/>
      <c r="G306" s="82"/>
      <c r="I306" s="82"/>
      <c r="K306" s="82"/>
    </row>
    <row r="307">
      <c r="C307" s="82"/>
      <c r="E307" s="82"/>
      <c r="G307" s="82"/>
      <c r="I307" s="82"/>
      <c r="K307" s="82"/>
    </row>
    <row r="308">
      <c r="C308" s="82"/>
      <c r="E308" s="82"/>
      <c r="G308" s="82"/>
      <c r="I308" s="82"/>
      <c r="K308" s="82"/>
    </row>
    <row r="309">
      <c r="C309" s="82"/>
      <c r="E309" s="82"/>
      <c r="G309" s="82"/>
      <c r="I309" s="82"/>
      <c r="K309" s="82"/>
    </row>
    <row r="310">
      <c r="C310" s="82"/>
      <c r="E310" s="82"/>
      <c r="G310" s="82"/>
      <c r="I310" s="82"/>
      <c r="K310" s="82"/>
    </row>
    <row r="311">
      <c r="C311" s="82"/>
      <c r="E311" s="82"/>
      <c r="G311" s="82"/>
      <c r="I311" s="82"/>
      <c r="K311" s="82"/>
    </row>
    <row r="312">
      <c r="C312" s="82"/>
      <c r="E312" s="82"/>
      <c r="G312" s="82"/>
      <c r="I312" s="82"/>
      <c r="K312" s="82"/>
    </row>
    <row r="313">
      <c r="C313" s="82"/>
      <c r="E313" s="82"/>
      <c r="G313" s="82"/>
      <c r="I313" s="82"/>
      <c r="K313" s="82"/>
    </row>
    <row r="314">
      <c r="C314" s="82"/>
      <c r="E314" s="82"/>
      <c r="G314" s="82"/>
      <c r="I314" s="82"/>
      <c r="K314" s="82"/>
    </row>
    <row r="315">
      <c r="C315" s="82"/>
      <c r="E315" s="82"/>
      <c r="G315" s="82"/>
      <c r="I315" s="82"/>
      <c r="K315" s="82"/>
    </row>
    <row r="316">
      <c r="C316" s="82"/>
      <c r="E316" s="82"/>
      <c r="G316" s="82"/>
      <c r="I316" s="82"/>
      <c r="K316" s="82"/>
    </row>
    <row r="317">
      <c r="C317" s="82"/>
      <c r="E317" s="82"/>
      <c r="G317" s="82"/>
      <c r="I317" s="82"/>
      <c r="K317" s="82"/>
    </row>
    <row r="318">
      <c r="C318" s="82"/>
      <c r="E318" s="82"/>
      <c r="G318" s="82"/>
      <c r="I318" s="82"/>
      <c r="K318" s="82"/>
    </row>
    <row r="319">
      <c r="C319" s="82"/>
      <c r="E319" s="82"/>
      <c r="G319" s="82"/>
      <c r="I319" s="82"/>
      <c r="K319" s="82"/>
    </row>
    <row r="320">
      <c r="C320" s="82"/>
      <c r="E320" s="82"/>
      <c r="G320" s="82"/>
      <c r="I320" s="82"/>
      <c r="K320" s="82"/>
    </row>
    <row r="321">
      <c r="C321" s="82"/>
      <c r="E321" s="82"/>
      <c r="G321" s="82"/>
      <c r="I321" s="82"/>
      <c r="K321" s="82"/>
    </row>
    <row r="322">
      <c r="C322" s="82"/>
      <c r="E322" s="82"/>
      <c r="G322" s="82"/>
      <c r="I322" s="82"/>
      <c r="K322" s="82"/>
    </row>
    <row r="323">
      <c r="C323" s="82"/>
      <c r="E323" s="82"/>
      <c r="G323" s="82"/>
      <c r="I323" s="82"/>
      <c r="K323" s="82"/>
    </row>
    <row r="324">
      <c r="C324" s="82"/>
      <c r="E324" s="82"/>
      <c r="G324" s="82"/>
      <c r="I324" s="82"/>
      <c r="K324" s="82"/>
    </row>
    <row r="325">
      <c r="C325" s="82"/>
      <c r="E325" s="82"/>
      <c r="G325" s="82"/>
      <c r="I325" s="82"/>
      <c r="K325" s="82"/>
    </row>
    <row r="326">
      <c r="C326" s="82"/>
      <c r="E326" s="82"/>
      <c r="G326" s="82"/>
      <c r="I326" s="82"/>
      <c r="K326" s="82"/>
    </row>
    <row r="327">
      <c r="C327" s="82"/>
      <c r="E327" s="82"/>
      <c r="G327" s="82"/>
      <c r="I327" s="82"/>
      <c r="K327" s="82"/>
    </row>
    <row r="328">
      <c r="C328" s="82"/>
      <c r="E328" s="82"/>
      <c r="G328" s="82"/>
      <c r="I328" s="82"/>
      <c r="K328" s="82"/>
    </row>
    <row r="329">
      <c r="C329" s="82"/>
      <c r="E329" s="82"/>
      <c r="G329" s="82"/>
      <c r="I329" s="82"/>
      <c r="K329" s="82"/>
    </row>
    <row r="330">
      <c r="C330" s="82"/>
      <c r="E330" s="82"/>
      <c r="G330" s="82"/>
      <c r="I330" s="82"/>
      <c r="K330" s="82"/>
    </row>
    <row r="331">
      <c r="C331" s="82"/>
      <c r="E331" s="82"/>
      <c r="G331" s="82"/>
      <c r="I331" s="82"/>
      <c r="K331" s="82"/>
    </row>
    <row r="332">
      <c r="C332" s="82"/>
      <c r="E332" s="82"/>
      <c r="G332" s="82"/>
      <c r="I332" s="82"/>
      <c r="K332" s="82"/>
    </row>
    <row r="333">
      <c r="C333" s="82"/>
      <c r="E333" s="82"/>
      <c r="G333" s="82"/>
      <c r="I333" s="82"/>
      <c r="K333" s="82"/>
    </row>
    <row r="334">
      <c r="C334" s="82"/>
      <c r="E334" s="82"/>
      <c r="G334" s="82"/>
      <c r="I334" s="82"/>
      <c r="K334" s="82"/>
    </row>
    <row r="335">
      <c r="C335" s="82"/>
      <c r="E335" s="82"/>
      <c r="G335" s="82"/>
      <c r="I335" s="82"/>
      <c r="K335" s="82"/>
    </row>
    <row r="336">
      <c r="C336" s="82"/>
      <c r="E336" s="82"/>
      <c r="G336" s="82"/>
      <c r="I336" s="82"/>
      <c r="K336" s="82"/>
    </row>
    <row r="337">
      <c r="C337" s="82"/>
      <c r="E337" s="82"/>
      <c r="G337" s="82"/>
      <c r="I337" s="82"/>
      <c r="K337" s="82"/>
    </row>
    <row r="338">
      <c r="C338" s="82"/>
      <c r="E338" s="82"/>
      <c r="G338" s="82"/>
      <c r="I338" s="82"/>
      <c r="K338" s="82"/>
    </row>
    <row r="339">
      <c r="C339" s="82"/>
      <c r="E339" s="82"/>
      <c r="G339" s="82"/>
      <c r="I339" s="82"/>
      <c r="K339" s="82"/>
    </row>
    <row r="340">
      <c r="C340" s="82"/>
      <c r="E340" s="82"/>
      <c r="G340" s="82"/>
      <c r="I340" s="82"/>
      <c r="K340" s="82"/>
    </row>
    <row r="341">
      <c r="C341" s="82"/>
      <c r="E341" s="82"/>
      <c r="G341" s="82"/>
      <c r="I341" s="82"/>
      <c r="K341" s="82"/>
    </row>
    <row r="342">
      <c r="C342" s="82"/>
      <c r="E342" s="82"/>
      <c r="G342" s="82"/>
      <c r="I342" s="82"/>
      <c r="K342" s="82"/>
    </row>
    <row r="343">
      <c r="C343" s="82"/>
      <c r="E343" s="82"/>
      <c r="G343" s="82"/>
      <c r="I343" s="82"/>
      <c r="K343" s="82"/>
    </row>
    <row r="344">
      <c r="C344" s="82"/>
      <c r="E344" s="82"/>
      <c r="G344" s="82"/>
      <c r="I344" s="82"/>
      <c r="K344" s="82"/>
    </row>
    <row r="345">
      <c r="C345" s="82"/>
      <c r="E345" s="82"/>
      <c r="G345" s="82"/>
      <c r="I345" s="82"/>
      <c r="K345" s="82"/>
    </row>
    <row r="346">
      <c r="C346" s="82"/>
      <c r="E346" s="82"/>
      <c r="G346" s="82"/>
      <c r="I346" s="82"/>
      <c r="K346" s="82"/>
    </row>
    <row r="347">
      <c r="C347" s="82"/>
      <c r="E347" s="82"/>
      <c r="G347" s="82"/>
      <c r="I347" s="82"/>
      <c r="K347" s="82"/>
    </row>
    <row r="348">
      <c r="C348" s="82"/>
      <c r="E348" s="82"/>
      <c r="G348" s="82"/>
      <c r="I348" s="82"/>
      <c r="K348" s="82"/>
    </row>
    <row r="349">
      <c r="C349" s="82"/>
      <c r="E349" s="82"/>
      <c r="G349" s="82"/>
      <c r="I349" s="82"/>
      <c r="K349" s="82"/>
    </row>
    <row r="350">
      <c r="C350" s="82"/>
      <c r="E350" s="82"/>
      <c r="G350" s="82"/>
      <c r="I350" s="82"/>
      <c r="K350" s="82"/>
    </row>
    <row r="351">
      <c r="C351" s="82"/>
      <c r="E351" s="82"/>
      <c r="G351" s="82"/>
      <c r="I351" s="82"/>
      <c r="K351" s="82"/>
    </row>
    <row r="352">
      <c r="C352" s="82"/>
      <c r="E352" s="82"/>
      <c r="G352" s="82"/>
      <c r="I352" s="82"/>
      <c r="K352" s="82"/>
    </row>
    <row r="353">
      <c r="C353" s="82"/>
      <c r="E353" s="82"/>
      <c r="G353" s="82"/>
      <c r="I353" s="82"/>
      <c r="K353" s="82"/>
    </row>
    <row r="354">
      <c r="C354" s="82"/>
      <c r="E354" s="82"/>
      <c r="G354" s="82"/>
      <c r="I354" s="82"/>
      <c r="K354" s="82"/>
    </row>
    <row r="355">
      <c r="C355" s="82"/>
      <c r="E355" s="82"/>
      <c r="G355" s="82"/>
      <c r="I355" s="82"/>
      <c r="K355" s="82"/>
    </row>
    <row r="356">
      <c r="C356" s="82"/>
      <c r="E356" s="82"/>
      <c r="G356" s="82"/>
      <c r="I356" s="82"/>
      <c r="K356" s="82"/>
    </row>
    <row r="357">
      <c r="C357" s="82"/>
      <c r="E357" s="82"/>
      <c r="G357" s="82"/>
      <c r="I357" s="82"/>
      <c r="K357" s="82"/>
    </row>
    <row r="358">
      <c r="C358" s="82"/>
      <c r="E358" s="82"/>
      <c r="G358" s="82"/>
      <c r="I358" s="82"/>
      <c r="K358" s="82"/>
    </row>
    <row r="359">
      <c r="C359" s="82"/>
      <c r="E359" s="82"/>
      <c r="G359" s="82"/>
      <c r="I359" s="82"/>
      <c r="K359" s="82"/>
    </row>
    <row r="360">
      <c r="C360" s="82"/>
      <c r="E360" s="82"/>
      <c r="G360" s="82"/>
      <c r="I360" s="82"/>
      <c r="K360" s="82"/>
    </row>
    <row r="361">
      <c r="C361" s="82"/>
      <c r="E361" s="82"/>
      <c r="G361" s="82"/>
      <c r="I361" s="82"/>
      <c r="K361" s="82"/>
    </row>
    <row r="362">
      <c r="C362" s="82"/>
      <c r="E362" s="82"/>
      <c r="G362" s="82"/>
      <c r="I362" s="82"/>
      <c r="K362" s="82"/>
    </row>
    <row r="363">
      <c r="C363" s="82"/>
      <c r="E363" s="82"/>
      <c r="G363" s="82"/>
      <c r="I363" s="82"/>
      <c r="K363" s="82"/>
    </row>
    <row r="364">
      <c r="C364" s="82"/>
      <c r="E364" s="82"/>
      <c r="G364" s="82"/>
      <c r="I364" s="82"/>
      <c r="K364" s="82"/>
    </row>
    <row r="365">
      <c r="C365" s="82"/>
      <c r="E365" s="82"/>
      <c r="G365" s="82"/>
      <c r="I365" s="82"/>
      <c r="K365" s="82"/>
    </row>
    <row r="366">
      <c r="C366" s="82"/>
      <c r="E366" s="82"/>
      <c r="G366" s="82"/>
      <c r="I366" s="82"/>
      <c r="K366" s="82"/>
    </row>
    <row r="367">
      <c r="C367" s="82"/>
      <c r="E367" s="82"/>
      <c r="G367" s="82"/>
      <c r="I367" s="82"/>
      <c r="K367" s="82"/>
    </row>
    <row r="368">
      <c r="C368" s="82"/>
      <c r="E368" s="82"/>
      <c r="G368" s="82"/>
      <c r="I368" s="82"/>
      <c r="K368" s="82"/>
    </row>
    <row r="369">
      <c r="C369" s="82"/>
      <c r="E369" s="82"/>
      <c r="G369" s="82"/>
      <c r="I369" s="82"/>
      <c r="K369" s="82"/>
    </row>
    <row r="370">
      <c r="C370" s="82"/>
      <c r="E370" s="82"/>
      <c r="G370" s="82"/>
      <c r="I370" s="82"/>
      <c r="K370" s="82"/>
    </row>
    <row r="371">
      <c r="C371" s="82"/>
      <c r="E371" s="82"/>
      <c r="G371" s="82"/>
      <c r="I371" s="82"/>
      <c r="K371" s="82"/>
    </row>
    <row r="372">
      <c r="C372" s="82"/>
      <c r="E372" s="82"/>
      <c r="G372" s="82"/>
      <c r="I372" s="82"/>
      <c r="K372" s="82"/>
    </row>
    <row r="373">
      <c r="C373" s="82"/>
      <c r="E373" s="82"/>
      <c r="G373" s="82"/>
      <c r="I373" s="82"/>
      <c r="K373" s="82"/>
    </row>
    <row r="374">
      <c r="C374" s="82"/>
      <c r="E374" s="82"/>
      <c r="G374" s="82"/>
      <c r="I374" s="82"/>
      <c r="K374" s="82"/>
    </row>
    <row r="375">
      <c r="C375" s="82"/>
      <c r="E375" s="82"/>
      <c r="G375" s="82"/>
      <c r="I375" s="82"/>
      <c r="K375" s="82"/>
    </row>
    <row r="376">
      <c r="C376" s="82"/>
      <c r="E376" s="82"/>
      <c r="G376" s="82"/>
      <c r="I376" s="82"/>
      <c r="K376" s="82"/>
    </row>
    <row r="377">
      <c r="C377" s="82"/>
      <c r="E377" s="82"/>
      <c r="G377" s="82"/>
      <c r="I377" s="82"/>
      <c r="K377" s="82"/>
    </row>
    <row r="378">
      <c r="C378" s="82"/>
      <c r="E378" s="82"/>
      <c r="G378" s="82"/>
      <c r="I378" s="82"/>
      <c r="K378" s="82"/>
    </row>
    <row r="379">
      <c r="C379" s="82"/>
      <c r="E379" s="82"/>
      <c r="G379" s="82"/>
      <c r="I379" s="82"/>
      <c r="K379" s="82"/>
    </row>
    <row r="380">
      <c r="C380" s="82"/>
      <c r="E380" s="82"/>
      <c r="G380" s="82"/>
      <c r="I380" s="82"/>
      <c r="K380" s="82"/>
    </row>
    <row r="381">
      <c r="C381" s="82"/>
      <c r="E381" s="82"/>
      <c r="G381" s="82"/>
      <c r="I381" s="82"/>
      <c r="K381" s="82"/>
    </row>
    <row r="382">
      <c r="C382" s="82"/>
      <c r="E382" s="82"/>
      <c r="G382" s="82"/>
      <c r="I382" s="82"/>
      <c r="K382" s="82"/>
    </row>
    <row r="383">
      <c r="C383" s="82"/>
      <c r="E383" s="82"/>
      <c r="G383" s="82"/>
      <c r="I383" s="82"/>
      <c r="K383" s="82"/>
    </row>
    <row r="384">
      <c r="C384" s="82"/>
      <c r="E384" s="82"/>
      <c r="G384" s="82"/>
      <c r="I384" s="82"/>
      <c r="K384" s="82"/>
    </row>
    <row r="385">
      <c r="C385" s="82"/>
      <c r="E385" s="82"/>
      <c r="G385" s="82"/>
      <c r="I385" s="82"/>
      <c r="K385" s="82"/>
    </row>
    <row r="386">
      <c r="C386" s="82"/>
      <c r="E386" s="82"/>
      <c r="G386" s="82"/>
      <c r="I386" s="82"/>
      <c r="K386" s="82"/>
    </row>
    <row r="387">
      <c r="C387" s="82"/>
      <c r="E387" s="82"/>
      <c r="G387" s="82"/>
      <c r="I387" s="82"/>
      <c r="K387" s="82"/>
    </row>
    <row r="388">
      <c r="C388" s="82"/>
      <c r="E388" s="82"/>
      <c r="G388" s="82"/>
      <c r="I388" s="82"/>
      <c r="K388" s="82"/>
    </row>
    <row r="389">
      <c r="C389" s="82"/>
      <c r="E389" s="82"/>
      <c r="G389" s="82"/>
      <c r="I389" s="82"/>
      <c r="K389" s="82"/>
    </row>
    <row r="390">
      <c r="C390" s="82"/>
      <c r="E390" s="82"/>
      <c r="G390" s="82"/>
      <c r="I390" s="82"/>
      <c r="K390" s="82"/>
    </row>
    <row r="391">
      <c r="C391" s="82"/>
      <c r="E391" s="82"/>
      <c r="G391" s="82"/>
      <c r="I391" s="82"/>
      <c r="K391" s="82"/>
    </row>
    <row r="392">
      <c r="C392" s="82"/>
      <c r="E392" s="82"/>
      <c r="G392" s="82"/>
      <c r="I392" s="82"/>
      <c r="K392" s="82"/>
    </row>
    <row r="393">
      <c r="C393" s="82"/>
      <c r="E393" s="82"/>
      <c r="G393" s="82"/>
      <c r="I393" s="82"/>
      <c r="K393" s="82"/>
    </row>
    <row r="394">
      <c r="C394" s="82"/>
      <c r="E394" s="82"/>
      <c r="G394" s="82"/>
      <c r="I394" s="82"/>
      <c r="K394" s="82"/>
    </row>
    <row r="395">
      <c r="C395" s="82"/>
      <c r="E395" s="82"/>
      <c r="G395" s="82"/>
      <c r="I395" s="82"/>
      <c r="K395" s="82"/>
    </row>
    <row r="396">
      <c r="C396" s="82"/>
      <c r="E396" s="82"/>
      <c r="G396" s="82"/>
      <c r="I396" s="82"/>
      <c r="K396" s="82"/>
    </row>
    <row r="397">
      <c r="C397" s="82"/>
      <c r="E397" s="82"/>
      <c r="G397" s="82"/>
      <c r="I397" s="82"/>
      <c r="K397" s="82"/>
    </row>
    <row r="398">
      <c r="C398" s="82"/>
      <c r="E398" s="82"/>
      <c r="G398" s="82"/>
      <c r="I398" s="82"/>
      <c r="K398" s="82"/>
    </row>
    <row r="399">
      <c r="C399" s="82"/>
      <c r="E399" s="82"/>
      <c r="G399" s="82"/>
      <c r="I399" s="82"/>
      <c r="K399" s="82"/>
    </row>
    <row r="400">
      <c r="C400" s="82"/>
      <c r="E400" s="82"/>
      <c r="G400" s="82"/>
      <c r="I400" s="82"/>
      <c r="K400" s="82"/>
    </row>
    <row r="401">
      <c r="C401" s="82"/>
      <c r="E401" s="82"/>
      <c r="G401" s="82"/>
      <c r="I401" s="82"/>
      <c r="K401" s="82"/>
    </row>
    <row r="402">
      <c r="C402" s="82"/>
      <c r="E402" s="82"/>
      <c r="G402" s="82"/>
      <c r="I402" s="82"/>
      <c r="K402" s="82"/>
    </row>
    <row r="403">
      <c r="C403" s="82"/>
      <c r="E403" s="82"/>
      <c r="G403" s="82"/>
      <c r="I403" s="82"/>
      <c r="K403" s="82"/>
    </row>
    <row r="404">
      <c r="C404" s="82"/>
      <c r="E404" s="82"/>
      <c r="G404" s="82"/>
      <c r="I404" s="82"/>
      <c r="K404" s="82"/>
    </row>
    <row r="405">
      <c r="C405" s="82"/>
      <c r="E405" s="82"/>
      <c r="G405" s="82"/>
      <c r="I405" s="82"/>
      <c r="K405" s="82"/>
    </row>
    <row r="406">
      <c r="C406" s="82"/>
      <c r="E406" s="82"/>
      <c r="G406" s="82"/>
      <c r="I406" s="82"/>
      <c r="K406" s="82"/>
    </row>
    <row r="407">
      <c r="C407" s="82"/>
      <c r="E407" s="82"/>
      <c r="G407" s="82"/>
      <c r="I407" s="82"/>
      <c r="K407" s="82"/>
    </row>
    <row r="408">
      <c r="C408" s="82"/>
      <c r="E408" s="82"/>
      <c r="G408" s="82"/>
      <c r="I408" s="82"/>
      <c r="K408" s="82"/>
    </row>
    <row r="409">
      <c r="C409" s="82"/>
      <c r="E409" s="82"/>
      <c r="G409" s="82"/>
      <c r="I409" s="82"/>
      <c r="K409" s="82"/>
    </row>
    <row r="410">
      <c r="C410" s="82"/>
      <c r="E410" s="82"/>
      <c r="G410" s="82"/>
      <c r="I410" s="82"/>
      <c r="K410" s="82"/>
    </row>
    <row r="411">
      <c r="C411" s="82"/>
      <c r="E411" s="82"/>
      <c r="G411" s="82"/>
      <c r="I411" s="82"/>
      <c r="K411" s="82"/>
    </row>
    <row r="412">
      <c r="C412" s="82"/>
      <c r="E412" s="82"/>
      <c r="G412" s="82"/>
      <c r="I412" s="82"/>
      <c r="K412" s="82"/>
    </row>
    <row r="413">
      <c r="C413" s="82"/>
      <c r="E413" s="82"/>
      <c r="G413" s="82"/>
      <c r="I413" s="82"/>
      <c r="K413" s="82"/>
    </row>
    <row r="414">
      <c r="C414" s="82"/>
      <c r="E414" s="82"/>
      <c r="G414" s="82"/>
      <c r="I414" s="82"/>
      <c r="K414" s="82"/>
    </row>
    <row r="415">
      <c r="C415" s="82"/>
      <c r="E415" s="82"/>
      <c r="G415" s="82"/>
      <c r="I415" s="82"/>
      <c r="K415" s="82"/>
    </row>
    <row r="416">
      <c r="C416" s="82"/>
      <c r="E416" s="82"/>
      <c r="G416" s="82"/>
      <c r="I416" s="82"/>
      <c r="K416" s="82"/>
    </row>
    <row r="417">
      <c r="C417" s="82"/>
      <c r="E417" s="82"/>
      <c r="G417" s="82"/>
      <c r="I417" s="82"/>
      <c r="K417" s="82"/>
    </row>
    <row r="418">
      <c r="C418" s="82"/>
      <c r="E418" s="82"/>
      <c r="G418" s="82"/>
      <c r="I418" s="82"/>
      <c r="K418" s="82"/>
    </row>
    <row r="419">
      <c r="C419" s="82"/>
      <c r="E419" s="82"/>
      <c r="G419" s="82"/>
      <c r="I419" s="82"/>
      <c r="K419" s="82"/>
    </row>
    <row r="420">
      <c r="C420" s="82"/>
      <c r="E420" s="82"/>
      <c r="G420" s="82"/>
      <c r="I420" s="82"/>
      <c r="K420" s="82"/>
    </row>
    <row r="421">
      <c r="C421" s="82"/>
      <c r="E421" s="82"/>
      <c r="G421" s="82"/>
      <c r="I421" s="82"/>
      <c r="K421" s="82"/>
    </row>
    <row r="422">
      <c r="C422" s="82"/>
      <c r="E422" s="82"/>
      <c r="G422" s="82"/>
      <c r="I422" s="82"/>
      <c r="K422" s="82"/>
    </row>
    <row r="423">
      <c r="C423" s="82"/>
      <c r="E423" s="82"/>
      <c r="G423" s="82"/>
      <c r="I423" s="82"/>
      <c r="K423" s="82"/>
    </row>
    <row r="424">
      <c r="C424" s="82"/>
      <c r="E424" s="82"/>
      <c r="G424" s="82"/>
      <c r="I424" s="82"/>
      <c r="K424" s="82"/>
    </row>
    <row r="425">
      <c r="C425" s="82"/>
      <c r="E425" s="82"/>
      <c r="G425" s="82"/>
      <c r="I425" s="82"/>
      <c r="K425" s="82"/>
    </row>
    <row r="426">
      <c r="C426" s="82"/>
      <c r="E426" s="82"/>
      <c r="G426" s="82"/>
      <c r="I426" s="82"/>
      <c r="K426" s="82"/>
    </row>
    <row r="427">
      <c r="C427" s="82"/>
      <c r="E427" s="82"/>
      <c r="G427" s="82"/>
      <c r="I427" s="82"/>
      <c r="K427" s="82"/>
    </row>
    <row r="428">
      <c r="C428" s="82"/>
      <c r="E428" s="82"/>
      <c r="G428" s="82"/>
      <c r="I428" s="82"/>
      <c r="K428" s="82"/>
    </row>
    <row r="429">
      <c r="C429" s="82"/>
      <c r="E429" s="82"/>
      <c r="G429" s="82"/>
      <c r="I429" s="82"/>
      <c r="K429" s="82"/>
    </row>
    <row r="430">
      <c r="C430" s="82"/>
      <c r="E430" s="82"/>
      <c r="G430" s="82"/>
      <c r="I430" s="82"/>
      <c r="K430" s="82"/>
    </row>
    <row r="431">
      <c r="C431" s="82"/>
      <c r="E431" s="82"/>
      <c r="G431" s="82"/>
      <c r="I431" s="82"/>
      <c r="K431" s="82"/>
    </row>
    <row r="432">
      <c r="C432" s="82"/>
      <c r="E432" s="82"/>
      <c r="G432" s="82"/>
      <c r="I432" s="82"/>
      <c r="K432" s="82"/>
    </row>
    <row r="433">
      <c r="C433" s="82"/>
      <c r="E433" s="82"/>
      <c r="G433" s="82"/>
      <c r="I433" s="82"/>
      <c r="K433" s="82"/>
    </row>
    <row r="434">
      <c r="C434" s="82"/>
      <c r="E434" s="82"/>
      <c r="G434" s="82"/>
      <c r="I434" s="82"/>
      <c r="K434" s="82"/>
    </row>
    <row r="435">
      <c r="C435" s="82"/>
      <c r="E435" s="82"/>
      <c r="G435" s="82"/>
      <c r="I435" s="82"/>
      <c r="K435" s="82"/>
    </row>
    <row r="436">
      <c r="C436" s="82"/>
      <c r="E436" s="82"/>
      <c r="G436" s="82"/>
      <c r="I436" s="82"/>
      <c r="K436" s="82"/>
    </row>
    <row r="437">
      <c r="C437" s="82"/>
      <c r="E437" s="82"/>
      <c r="G437" s="82"/>
      <c r="I437" s="82"/>
      <c r="K437" s="82"/>
    </row>
    <row r="438">
      <c r="C438" s="82"/>
      <c r="E438" s="82"/>
      <c r="G438" s="82"/>
      <c r="I438" s="82"/>
      <c r="K438" s="82"/>
    </row>
    <row r="439">
      <c r="C439" s="82"/>
      <c r="E439" s="82"/>
      <c r="G439" s="82"/>
      <c r="I439" s="82"/>
      <c r="K439" s="82"/>
    </row>
    <row r="440">
      <c r="C440" s="82"/>
      <c r="E440" s="82"/>
      <c r="G440" s="82"/>
      <c r="I440" s="82"/>
      <c r="K440" s="82"/>
    </row>
    <row r="441">
      <c r="C441" s="82"/>
      <c r="E441" s="82"/>
      <c r="G441" s="82"/>
      <c r="I441" s="82"/>
      <c r="K441" s="82"/>
    </row>
    <row r="442">
      <c r="C442" s="82"/>
      <c r="E442" s="82"/>
      <c r="G442" s="82"/>
      <c r="I442" s="82"/>
      <c r="K442" s="82"/>
    </row>
    <row r="443">
      <c r="C443" s="82"/>
      <c r="E443" s="82"/>
      <c r="G443" s="82"/>
      <c r="I443" s="82"/>
      <c r="K443" s="82"/>
    </row>
    <row r="444">
      <c r="C444" s="82"/>
      <c r="E444" s="82"/>
      <c r="G444" s="82"/>
      <c r="I444" s="82"/>
      <c r="K444" s="82"/>
    </row>
    <row r="445">
      <c r="C445" s="82"/>
      <c r="E445" s="82"/>
      <c r="G445" s="82"/>
      <c r="I445" s="82"/>
      <c r="K445" s="82"/>
    </row>
    <row r="446">
      <c r="C446" s="82"/>
      <c r="E446" s="82"/>
      <c r="G446" s="82"/>
      <c r="I446" s="82"/>
      <c r="K446" s="82"/>
    </row>
    <row r="447">
      <c r="C447" s="82"/>
      <c r="E447" s="82"/>
      <c r="G447" s="82"/>
      <c r="I447" s="82"/>
      <c r="K447" s="82"/>
    </row>
    <row r="448">
      <c r="C448" s="82"/>
      <c r="E448" s="82"/>
      <c r="G448" s="82"/>
      <c r="I448" s="82"/>
      <c r="K448" s="82"/>
    </row>
    <row r="449">
      <c r="C449" s="82"/>
      <c r="E449" s="82"/>
      <c r="G449" s="82"/>
      <c r="I449" s="82"/>
      <c r="K449" s="82"/>
    </row>
    <row r="450">
      <c r="C450" s="82"/>
      <c r="E450" s="82"/>
      <c r="G450" s="82"/>
      <c r="I450" s="82"/>
      <c r="K450" s="82"/>
    </row>
    <row r="451">
      <c r="C451" s="82"/>
      <c r="E451" s="82"/>
      <c r="G451" s="82"/>
      <c r="I451" s="82"/>
      <c r="K451" s="82"/>
    </row>
    <row r="452">
      <c r="C452" s="82"/>
      <c r="E452" s="82"/>
      <c r="G452" s="82"/>
      <c r="I452" s="82"/>
      <c r="K452" s="82"/>
    </row>
    <row r="453">
      <c r="C453" s="82"/>
      <c r="E453" s="82"/>
      <c r="G453" s="82"/>
      <c r="I453" s="82"/>
      <c r="K453" s="82"/>
    </row>
    <row r="454">
      <c r="C454" s="82"/>
      <c r="E454" s="82"/>
      <c r="G454" s="82"/>
      <c r="I454" s="82"/>
      <c r="K454" s="82"/>
    </row>
    <row r="455">
      <c r="C455" s="82"/>
      <c r="E455" s="82"/>
      <c r="G455" s="82"/>
      <c r="I455" s="82"/>
      <c r="K455" s="82"/>
    </row>
    <row r="456">
      <c r="C456" s="82"/>
      <c r="E456" s="82"/>
      <c r="G456" s="82"/>
      <c r="I456" s="82"/>
      <c r="K456" s="82"/>
    </row>
    <row r="457">
      <c r="C457" s="82"/>
      <c r="E457" s="82"/>
      <c r="G457" s="82"/>
      <c r="I457" s="82"/>
      <c r="K457" s="82"/>
    </row>
    <row r="458">
      <c r="C458" s="82"/>
      <c r="E458" s="82"/>
      <c r="G458" s="82"/>
      <c r="I458" s="82"/>
      <c r="K458" s="82"/>
    </row>
    <row r="459">
      <c r="C459" s="82"/>
      <c r="E459" s="82"/>
      <c r="G459" s="82"/>
      <c r="I459" s="82"/>
      <c r="K459" s="82"/>
    </row>
    <row r="460">
      <c r="C460" s="82"/>
      <c r="E460" s="82"/>
      <c r="G460" s="82"/>
      <c r="I460" s="82"/>
      <c r="K460" s="82"/>
    </row>
    <row r="461">
      <c r="C461" s="82"/>
      <c r="E461" s="82"/>
      <c r="G461" s="82"/>
      <c r="I461" s="82"/>
      <c r="K461" s="82"/>
    </row>
    <row r="462">
      <c r="C462" s="82"/>
      <c r="E462" s="82"/>
      <c r="G462" s="82"/>
      <c r="I462" s="82"/>
      <c r="K462" s="82"/>
    </row>
    <row r="463">
      <c r="C463" s="82"/>
      <c r="E463" s="82"/>
      <c r="G463" s="82"/>
      <c r="I463" s="82"/>
      <c r="K463" s="82"/>
    </row>
    <row r="464">
      <c r="C464" s="82"/>
      <c r="E464" s="82"/>
      <c r="G464" s="82"/>
      <c r="I464" s="82"/>
      <c r="K464" s="82"/>
    </row>
    <row r="465">
      <c r="C465" s="82"/>
      <c r="E465" s="82"/>
      <c r="G465" s="82"/>
      <c r="I465" s="82"/>
      <c r="K465" s="82"/>
    </row>
    <row r="466">
      <c r="C466" s="82"/>
      <c r="E466" s="82"/>
      <c r="G466" s="82"/>
      <c r="I466" s="82"/>
      <c r="K466" s="82"/>
    </row>
    <row r="467">
      <c r="C467" s="82"/>
      <c r="E467" s="82"/>
      <c r="G467" s="82"/>
      <c r="I467" s="82"/>
      <c r="K467" s="82"/>
    </row>
    <row r="468">
      <c r="C468" s="82"/>
      <c r="E468" s="82"/>
      <c r="G468" s="82"/>
      <c r="I468" s="82"/>
      <c r="K468" s="82"/>
    </row>
    <row r="469">
      <c r="C469" s="82"/>
      <c r="E469" s="82"/>
      <c r="G469" s="82"/>
      <c r="I469" s="82"/>
      <c r="K469" s="82"/>
    </row>
    <row r="470">
      <c r="C470" s="82"/>
      <c r="E470" s="82"/>
      <c r="G470" s="82"/>
      <c r="I470" s="82"/>
      <c r="K470" s="82"/>
    </row>
    <row r="471">
      <c r="C471" s="82"/>
      <c r="E471" s="82"/>
      <c r="G471" s="82"/>
      <c r="I471" s="82"/>
      <c r="K471" s="82"/>
    </row>
    <row r="472">
      <c r="C472" s="82"/>
      <c r="E472" s="82"/>
      <c r="G472" s="82"/>
      <c r="I472" s="82"/>
      <c r="K472" s="82"/>
    </row>
    <row r="473">
      <c r="C473" s="82"/>
      <c r="E473" s="82"/>
      <c r="G473" s="82"/>
      <c r="I473" s="82"/>
      <c r="K473" s="82"/>
    </row>
    <row r="474">
      <c r="C474" s="82"/>
      <c r="E474" s="82"/>
      <c r="G474" s="82"/>
      <c r="I474" s="82"/>
      <c r="K474" s="82"/>
    </row>
    <row r="475">
      <c r="C475" s="82"/>
      <c r="E475" s="82"/>
      <c r="G475" s="82"/>
      <c r="I475" s="82"/>
      <c r="K475" s="82"/>
    </row>
    <row r="476">
      <c r="C476" s="82"/>
      <c r="E476" s="82"/>
      <c r="G476" s="82"/>
      <c r="I476" s="82"/>
      <c r="K476" s="82"/>
    </row>
    <row r="477">
      <c r="C477" s="82"/>
      <c r="E477" s="82"/>
      <c r="G477" s="82"/>
      <c r="I477" s="82"/>
      <c r="K477" s="82"/>
    </row>
    <row r="478">
      <c r="C478" s="82"/>
      <c r="E478" s="82"/>
      <c r="G478" s="82"/>
      <c r="I478" s="82"/>
      <c r="K478" s="82"/>
    </row>
    <row r="479">
      <c r="C479" s="82"/>
      <c r="E479" s="82"/>
      <c r="G479" s="82"/>
      <c r="I479" s="82"/>
      <c r="K479" s="82"/>
    </row>
    <row r="480">
      <c r="C480" s="82"/>
      <c r="E480" s="82"/>
      <c r="G480" s="82"/>
      <c r="I480" s="82"/>
      <c r="K480" s="82"/>
    </row>
    <row r="481">
      <c r="C481" s="82"/>
      <c r="E481" s="82"/>
      <c r="G481" s="82"/>
      <c r="I481" s="82"/>
      <c r="K481" s="82"/>
    </row>
    <row r="482">
      <c r="C482" s="82"/>
      <c r="E482" s="82"/>
      <c r="G482" s="82"/>
      <c r="I482" s="82"/>
      <c r="K482" s="82"/>
    </row>
    <row r="483">
      <c r="C483" s="82"/>
      <c r="E483" s="82"/>
      <c r="G483" s="82"/>
      <c r="I483" s="82"/>
      <c r="K483" s="82"/>
    </row>
    <row r="484">
      <c r="C484" s="82"/>
      <c r="E484" s="82"/>
      <c r="G484" s="82"/>
      <c r="I484" s="82"/>
      <c r="K484" s="82"/>
    </row>
    <row r="485">
      <c r="C485" s="82"/>
      <c r="E485" s="82"/>
      <c r="G485" s="82"/>
      <c r="I485" s="82"/>
      <c r="K485" s="82"/>
    </row>
    <row r="486">
      <c r="C486" s="82"/>
      <c r="E486" s="82"/>
      <c r="G486" s="82"/>
      <c r="I486" s="82"/>
      <c r="K486" s="82"/>
    </row>
    <row r="487">
      <c r="C487" s="82"/>
      <c r="E487" s="82"/>
      <c r="G487" s="82"/>
      <c r="I487" s="82"/>
      <c r="K487" s="82"/>
    </row>
    <row r="488">
      <c r="C488" s="82"/>
      <c r="E488" s="82"/>
      <c r="G488" s="82"/>
      <c r="I488" s="82"/>
      <c r="K488" s="82"/>
    </row>
    <row r="489">
      <c r="C489" s="82"/>
      <c r="E489" s="82"/>
      <c r="G489" s="82"/>
      <c r="I489" s="82"/>
      <c r="K489" s="82"/>
    </row>
    <row r="490">
      <c r="C490" s="82"/>
      <c r="E490" s="82"/>
      <c r="G490" s="82"/>
      <c r="I490" s="82"/>
      <c r="K490" s="82"/>
    </row>
    <row r="491">
      <c r="C491" s="82"/>
      <c r="E491" s="82"/>
      <c r="G491" s="82"/>
      <c r="I491" s="82"/>
      <c r="K491" s="82"/>
    </row>
    <row r="492">
      <c r="C492" s="82"/>
      <c r="E492" s="82"/>
      <c r="G492" s="82"/>
      <c r="I492" s="82"/>
      <c r="K492" s="82"/>
    </row>
    <row r="493">
      <c r="C493" s="82"/>
      <c r="E493" s="82"/>
      <c r="G493" s="82"/>
      <c r="I493" s="82"/>
      <c r="K493" s="82"/>
    </row>
    <row r="494">
      <c r="C494" s="82"/>
      <c r="E494" s="82"/>
      <c r="G494" s="82"/>
      <c r="I494" s="82"/>
      <c r="K494" s="82"/>
    </row>
    <row r="495">
      <c r="C495" s="82"/>
      <c r="E495" s="82"/>
      <c r="G495" s="82"/>
      <c r="I495" s="82"/>
      <c r="K495" s="82"/>
    </row>
    <row r="496">
      <c r="C496" s="82"/>
      <c r="E496" s="82"/>
      <c r="G496" s="82"/>
      <c r="I496" s="82"/>
      <c r="K496" s="82"/>
    </row>
    <row r="497">
      <c r="C497" s="82"/>
      <c r="E497" s="82"/>
      <c r="G497" s="82"/>
      <c r="I497" s="82"/>
      <c r="K497" s="82"/>
    </row>
    <row r="498">
      <c r="C498" s="82"/>
      <c r="E498" s="82"/>
      <c r="G498" s="82"/>
      <c r="I498" s="82"/>
      <c r="K498" s="82"/>
    </row>
    <row r="499">
      <c r="C499" s="82"/>
      <c r="E499" s="82"/>
      <c r="G499" s="82"/>
      <c r="I499" s="82"/>
      <c r="K499" s="82"/>
    </row>
    <row r="500">
      <c r="C500" s="82"/>
      <c r="E500" s="82"/>
      <c r="G500" s="82"/>
      <c r="I500" s="82"/>
      <c r="K500" s="82"/>
    </row>
    <row r="501">
      <c r="C501" s="82"/>
      <c r="E501" s="82"/>
      <c r="G501" s="82"/>
      <c r="I501" s="82"/>
      <c r="K501" s="82"/>
    </row>
    <row r="502">
      <c r="C502" s="82"/>
      <c r="E502" s="82"/>
      <c r="G502" s="82"/>
      <c r="I502" s="82"/>
      <c r="K502" s="82"/>
    </row>
    <row r="503">
      <c r="C503" s="82"/>
      <c r="E503" s="82"/>
      <c r="G503" s="82"/>
      <c r="I503" s="82"/>
      <c r="K503" s="82"/>
    </row>
    <row r="504">
      <c r="C504" s="82"/>
      <c r="E504" s="82"/>
      <c r="G504" s="82"/>
      <c r="I504" s="82"/>
      <c r="K504" s="82"/>
    </row>
    <row r="505">
      <c r="C505" s="82"/>
      <c r="E505" s="82"/>
      <c r="G505" s="82"/>
      <c r="I505" s="82"/>
      <c r="K505" s="82"/>
    </row>
    <row r="506">
      <c r="C506" s="82"/>
      <c r="E506" s="82"/>
      <c r="G506" s="82"/>
      <c r="I506" s="82"/>
      <c r="K506" s="82"/>
    </row>
    <row r="507">
      <c r="C507" s="82"/>
      <c r="E507" s="82"/>
      <c r="G507" s="82"/>
      <c r="I507" s="82"/>
      <c r="K507" s="82"/>
    </row>
    <row r="508">
      <c r="C508" s="82"/>
      <c r="E508" s="82"/>
      <c r="G508" s="82"/>
      <c r="I508" s="82"/>
      <c r="K508" s="82"/>
    </row>
    <row r="509">
      <c r="C509" s="82"/>
      <c r="E509" s="82"/>
      <c r="G509" s="82"/>
      <c r="I509" s="82"/>
      <c r="K509" s="82"/>
    </row>
    <row r="510">
      <c r="C510" s="82"/>
      <c r="E510" s="82"/>
      <c r="G510" s="82"/>
      <c r="I510" s="82"/>
      <c r="K510" s="82"/>
    </row>
    <row r="511">
      <c r="C511" s="82"/>
      <c r="E511" s="82"/>
      <c r="G511" s="82"/>
      <c r="I511" s="82"/>
      <c r="K511" s="82"/>
    </row>
    <row r="512">
      <c r="C512" s="82"/>
      <c r="E512" s="82"/>
      <c r="G512" s="82"/>
      <c r="I512" s="82"/>
      <c r="K512" s="82"/>
    </row>
    <row r="513">
      <c r="C513" s="82"/>
      <c r="E513" s="82"/>
      <c r="G513" s="82"/>
      <c r="I513" s="82"/>
      <c r="K513" s="82"/>
    </row>
    <row r="514">
      <c r="C514" s="82"/>
      <c r="E514" s="82"/>
      <c r="G514" s="82"/>
      <c r="I514" s="82"/>
      <c r="K514" s="82"/>
    </row>
    <row r="515">
      <c r="C515" s="82"/>
      <c r="E515" s="82"/>
      <c r="G515" s="82"/>
      <c r="I515" s="82"/>
      <c r="K515" s="82"/>
    </row>
    <row r="516">
      <c r="C516" s="82"/>
      <c r="E516" s="82"/>
      <c r="G516" s="82"/>
      <c r="I516" s="82"/>
      <c r="K516" s="82"/>
    </row>
    <row r="517">
      <c r="C517" s="82"/>
      <c r="E517" s="82"/>
      <c r="G517" s="82"/>
      <c r="I517" s="82"/>
      <c r="K517" s="82"/>
    </row>
    <row r="518">
      <c r="C518" s="82"/>
      <c r="E518" s="82"/>
      <c r="G518" s="82"/>
      <c r="I518" s="82"/>
      <c r="K518" s="82"/>
    </row>
    <row r="519">
      <c r="C519" s="82"/>
      <c r="E519" s="82"/>
      <c r="G519" s="82"/>
      <c r="I519" s="82"/>
      <c r="K519" s="82"/>
    </row>
    <row r="520">
      <c r="C520" s="82"/>
      <c r="E520" s="82"/>
      <c r="G520" s="82"/>
      <c r="I520" s="82"/>
      <c r="K520" s="82"/>
    </row>
    <row r="521">
      <c r="C521" s="82"/>
      <c r="E521" s="82"/>
      <c r="G521" s="82"/>
      <c r="I521" s="82"/>
      <c r="K521" s="82"/>
    </row>
    <row r="522">
      <c r="C522" s="82"/>
      <c r="E522" s="82"/>
      <c r="G522" s="82"/>
      <c r="I522" s="82"/>
      <c r="K522" s="82"/>
    </row>
    <row r="523">
      <c r="C523" s="82"/>
      <c r="E523" s="82"/>
      <c r="G523" s="82"/>
      <c r="I523" s="82"/>
      <c r="K523" s="82"/>
    </row>
    <row r="524">
      <c r="C524" s="82"/>
      <c r="E524" s="82"/>
      <c r="G524" s="82"/>
      <c r="I524" s="82"/>
      <c r="K524" s="82"/>
    </row>
    <row r="525">
      <c r="C525" s="82"/>
      <c r="E525" s="82"/>
      <c r="G525" s="82"/>
      <c r="I525" s="82"/>
      <c r="K525" s="82"/>
    </row>
    <row r="526">
      <c r="C526" s="82"/>
      <c r="E526" s="82"/>
      <c r="G526" s="82"/>
      <c r="I526" s="82"/>
      <c r="K526" s="82"/>
    </row>
    <row r="527">
      <c r="C527" s="82"/>
      <c r="E527" s="82"/>
      <c r="G527" s="82"/>
      <c r="I527" s="82"/>
      <c r="K527" s="82"/>
    </row>
    <row r="528">
      <c r="C528" s="82"/>
      <c r="E528" s="82"/>
      <c r="G528" s="82"/>
      <c r="I528" s="82"/>
      <c r="K528" s="82"/>
    </row>
    <row r="529">
      <c r="C529" s="82"/>
      <c r="E529" s="82"/>
      <c r="G529" s="82"/>
      <c r="I529" s="82"/>
      <c r="K529" s="82"/>
    </row>
    <row r="530">
      <c r="C530" s="82"/>
      <c r="E530" s="82"/>
      <c r="G530" s="82"/>
      <c r="I530" s="82"/>
      <c r="K530" s="82"/>
    </row>
    <row r="531">
      <c r="C531" s="82"/>
      <c r="E531" s="82"/>
      <c r="G531" s="82"/>
      <c r="I531" s="82"/>
      <c r="K531" s="82"/>
    </row>
    <row r="532">
      <c r="C532" s="82"/>
      <c r="E532" s="82"/>
      <c r="G532" s="82"/>
      <c r="I532" s="82"/>
      <c r="K532" s="82"/>
    </row>
    <row r="533">
      <c r="C533" s="82"/>
      <c r="E533" s="82"/>
      <c r="G533" s="82"/>
      <c r="I533" s="82"/>
      <c r="K533" s="82"/>
    </row>
    <row r="534">
      <c r="C534" s="82"/>
      <c r="E534" s="82"/>
      <c r="G534" s="82"/>
      <c r="I534" s="82"/>
      <c r="K534" s="82"/>
    </row>
    <row r="535">
      <c r="C535" s="82"/>
      <c r="E535" s="82"/>
      <c r="G535" s="82"/>
      <c r="I535" s="82"/>
      <c r="K535" s="82"/>
    </row>
    <row r="536">
      <c r="C536" s="82"/>
      <c r="E536" s="82"/>
      <c r="G536" s="82"/>
      <c r="I536" s="82"/>
      <c r="K536" s="82"/>
    </row>
    <row r="537">
      <c r="C537" s="82"/>
      <c r="E537" s="82"/>
      <c r="G537" s="82"/>
      <c r="I537" s="82"/>
      <c r="K537" s="82"/>
    </row>
    <row r="538">
      <c r="C538" s="82"/>
      <c r="E538" s="82"/>
      <c r="G538" s="82"/>
      <c r="I538" s="82"/>
      <c r="K538" s="82"/>
    </row>
    <row r="539">
      <c r="C539" s="82"/>
      <c r="E539" s="82"/>
      <c r="G539" s="82"/>
      <c r="I539" s="82"/>
      <c r="K539" s="82"/>
    </row>
    <row r="540">
      <c r="C540" s="82"/>
      <c r="E540" s="82"/>
      <c r="G540" s="82"/>
      <c r="I540" s="82"/>
      <c r="K540" s="82"/>
    </row>
    <row r="541">
      <c r="C541" s="82"/>
      <c r="E541" s="82"/>
      <c r="G541" s="82"/>
      <c r="I541" s="82"/>
      <c r="K541" s="82"/>
    </row>
    <row r="542">
      <c r="C542" s="82"/>
      <c r="E542" s="82"/>
      <c r="G542" s="82"/>
      <c r="I542" s="82"/>
      <c r="K542" s="82"/>
    </row>
    <row r="543">
      <c r="C543" s="82"/>
      <c r="E543" s="82"/>
      <c r="G543" s="82"/>
      <c r="I543" s="82"/>
      <c r="K543" s="82"/>
    </row>
    <row r="544">
      <c r="C544" s="82"/>
      <c r="E544" s="82"/>
      <c r="G544" s="82"/>
      <c r="I544" s="82"/>
      <c r="K544" s="82"/>
    </row>
    <row r="545">
      <c r="C545" s="82"/>
      <c r="E545" s="82"/>
      <c r="G545" s="82"/>
      <c r="I545" s="82"/>
      <c r="K545" s="82"/>
    </row>
    <row r="546">
      <c r="C546" s="82"/>
      <c r="E546" s="82"/>
      <c r="G546" s="82"/>
      <c r="I546" s="82"/>
      <c r="K546" s="82"/>
    </row>
    <row r="547">
      <c r="C547" s="82"/>
      <c r="E547" s="82"/>
      <c r="G547" s="82"/>
      <c r="I547" s="82"/>
      <c r="K547" s="82"/>
    </row>
    <row r="548">
      <c r="C548" s="82"/>
      <c r="E548" s="82"/>
      <c r="G548" s="82"/>
      <c r="I548" s="82"/>
      <c r="K548" s="82"/>
    </row>
    <row r="549">
      <c r="C549" s="82"/>
      <c r="E549" s="82"/>
      <c r="G549" s="82"/>
      <c r="I549" s="82"/>
      <c r="K549" s="82"/>
    </row>
    <row r="550">
      <c r="C550" s="82"/>
      <c r="E550" s="82"/>
      <c r="G550" s="82"/>
      <c r="I550" s="82"/>
      <c r="K550" s="82"/>
    </row>
    <row r="551">
      <c r="C551" s="82"/>
      <c r="E551" s="82"/>
      <c r="G551" s="82"/>
      <c r="I551" s="82"/>
      <c r="K551" s="82"/>
    </row>
    <row r="552">
      <c r="C552" s="82"/>
      <c r="E552" s="82"/>
      <c r="G552" s="82"/>
      <c r="I552" s="82"/>
      <c r="K552" s="82"/>
    </row>
    <row r="553">
      <c r="C553" s="82"/>
      <c r="E553" s="82"/>
      <c r="G553" s="82"/>
      <c r="I553" s="82"/>
      <c r="K553" s="82"/>
    </row>
    <row r="554">
      <c r="C554" s="82"/>
      <c r="E554" s="82"/>
      <c r="G554" s="82"/>
      <c r="I554" s="82"/>
      <c r="K554" s="82"/>
    </row>
    <row r="555">
      <c r="C555" s="82"/>
      <c r="E555" s="82"/>
      <c r="G555" s="82"/>
      <c r="I555" s="82"/>
      <c r="K555" s="82"/>
    </row>
    <row r="556">
      <c r="C556" s="82"/>
      <c r="E556" s="82"/>
      <c r="G556" s="82"/>
      <c r="I556" s="82"/>
      <c r="K556" s="82"/>
    </row>
    <row r="557">
      <c r="C557" s="82"/>
      <c r="E557" s="82"/>
      <c r="G557" s="82"/>
      <c r="I557" s="82"/>
      <c r="K557" s="82"/>
    </row>
    <row r="558">
      <c r="C558" s="82"/>
      <c r="E558" s="82"/>
      <c r="G558" s="82"/>
      <c r="I558" s="82"/>
      <c r="K558" s="82"/>
    </row>
    <row r="559">
      <c r="C559" s="82"/>
      <c r="E559" s="82"/>
      <c r="G559" s="82"/>
      <c r="I559" s="82"/>
      <c r="K559" s="82"/>
    </row>
    <row r="560">
      <c r="C560" s="82"/>
      <c r="E560" s="82"/>
      <c r="G560" s="82"/>
      <c r="I560" s="82"/>
      <c r="K560" s="82"/>
    </row>
    <row r="561">
      <c r="C561" s="82"/>
      <c r="E561" s="82"/>
      <c r="G561" s="82"/>
      <c r="I561" s="82"/>
      <c r="K561" s="82"/>
    </row>
    <row r="562">
      <c r="C562" s="82"/>
      <c r="E562" s="82"/>
      <c r="G562" s="82"/>
      <c r="I562" s="82"/>
      <c r="K562" s="82"/>
    </row>
    <row r="563">
      <c r="C563" s="82"/>
      <c r="E563" s="82"/>
      <c r="G563" s="82"/>
      <c r="I563" s="82"/>
      <c r="K563" s="82"/>
    </row>
    <row r="564">
      <c r="C564" s="82"/>
      <c r="E564" s="82"/>
      <c r="G564" s="82"/>
      <c r="I564" s="82"/>
      <c r="K564" s="82"/>
    </row>
    <row r="565">
      <c r="C565" s="82"/>
      <c r="E565" s="82"/>
      <c r="G565" s="82"/>
      <c r="I565" s="82"/>
      <c r="K565" s="82"/>
    </row>
    <row r="566">
      <c r="C566" s="82"/>
      <c r="E566" s="82"/>
      <c r="G566" s="82"/>
      <c r="I566" s="82"/>
      <c r="K566" s="82"/>
    </row>
    <row r="567">
      <c r="C567" s="82"/>
      <c r="E567" s="82"/>
      <c r="G567" s="82"/>
      <c r="I567" s="82"/>
      <c r="K567" s="82"/>
    </row>
    <row r="568">
      <c r="C568" s="82"/>
      <c r="E568" s="82"/>
      <c r="G568" s="82"/>
      <c r="I568" s="82"/>
      <c r="K568" s="82"/>
    </row>
    <row r="569">
      <c r="C569" s="82"/>
      <c r="E569" s="82"/>
      <c r="G569" s="82"/>
      <c r="I569" s="82"/>
      <c r="K569" s="82"/>
    </row>
    <row r="570">
      <c r="C570" s="82"/>
      <c r="E570" s="82"/>
      <c r="G570" s="82"/>
      <c r="I570" s="82"/>
      <c r="K570" s="82"/>
    </row>
    <row r="571">
      <c r="C571" s="82"/>
      <c r="E571" s="82"/>
      <c r="G571" s="82"/>
      <c r="I571" s="82"/>
      <c r="K571" s="82"/>
    </row>
    <row r="572">
      <c r="C572" s="82"/>
      <c r="E572" s="82"/>
      <c r="G572" s="82"/>
      <c r="I572" s="82"/>
      <c r="K572" s="82"/>
    </row>
    <row r="573">
      <c r="C573" s="82"/>
      <c r="E573" s="82"/>
      <c r="G573" s="82"/>
      <c r="I573" s="82"/>
      <c r="K573" s="82"/>
    </row>
    <row r="574">
      <c r="C574" s="82"/>
      <c r="E574" s="82"/>
      <c r="G574" s="82"/>
      <c r="I574" s="82"/>
      <c r="K574" s="82"/>
    </row>
    <row r="575">
      <c r="C575" s="82"/>
      <c r="E575" s="82"/>
      <c r="G575" s="82"/>
      <c r="I575" s="82"/>
      <c r="K575" s="82"/>
    </row>
    <row r="576">
      <c r="C576" s="82"/>
      <c r="E576" s="82"/>
      <c r="G576" s="82"/>
      <c r="I576" s="82"/>
      <c r="K576" s="82"/>
    </row>
    <row r="577">
      <c r="C577" s="82"/>
      <c r="E577" s="82"/>
      <c r="G577" s="82"/>
      <c r="I577" s="82"/>
      <c r="K577" s="82"/>
    </row>
    <row r="578">
      <c r="C578" s="82"/>
      <c r="E578" s="82"/>
      <c r="G578" s="82"/>
      <c r="I578" s="82"/>
      <c r="K578" s="82"/>
    </row>
    <row r="579">
      <c r="C579" s="82"/>
      <c r="E579" s="82"/>
      <c r="G579" s="82"/>
      <c r="I579" s="82"/>
      <c r="K579" s="82"/>
    </row>
    <row r="580">
      <c r="C580" s="82"/>
      <c r="E580" s="82"/>
      <c r="G580" s="82"/>
      <c r="I580" s="82"/>
      <c r="K580" s="82"/>
    </row>
    <row r="581">
      <c r="C581" s="82"/>
      <c r="E581" s="82"/>
      <c r="G581" s="82"/>
      <c r="I581" s="82"/>
      <c r="K581" s="82"/>
    </row>
    <row r="582">
      <c r="C582" s="82"/>
      <c r="E582" s="82"/>
      <c r="G582" s="82"/>
      <c r="I582" s="82"/>
      <c r="K582" s="82"/>
    </row>
    <row r="583">
      <c r="C583" s="82"/>
      <c r="E583" s="82"/>
      <c r="G583" s="82"/>
      <c r="I583" s="82"/>
      <c r="K583" s="82"/>
    </row>
    <row r="584">
      <c r="C584" s="82"/>
      <c r="E584" s="82"/>
      <c r="G584" s="82"/>
      <c r="I584" s="82"/>
      <c r="K584" s="82"/>
    </row>
    <row r="585">
      <c r="C585" s="82"/>
      <c r="E585" s="82"/>
      <c r="G585" s="82"/>
      <c r="I585" s="82"/>
      <c r="K585" s="82"/>
    </row>
    <row r="586">
      <c r="C586" s="82"/>
      <c r="E586" s="82"/>
      <c r="G586" s="82"/>
      <c r="I586" s="82"/>
      <c r="K586" s="82"/>
    </row>
    <row r="587">
      <c r="C587" s="82"/>
      <c r="E587" s="82"/>
      <c r="G587" s="82"/>
      <c r="I587" s="82"/>
      <c r="K587" s="82"/>
    </row>
    <row r="588">
      <c r="C588" s="82"/>
      <c r="E588" s="82"/>
      <c r="G588" s="82"/>
      <c r="I588" s="82"/>
      <c r="K588" s="82"/>
    </row>
    <row r="589">
      <c r="C589" s="82"/>
      <c r="E589" s="82"/>
      <c r="G589" s="82"/>
      <c r="I589" s="82"/>
      <c r="K589" s="82"/>
    </row>
    <row r="590">
      <c r="C590" s="82"/>
      <c r="E590" s="82"/>
      <c r="G590" s="82"/>
      <c r="I590" s="82"/>
      <c r="K590" s="82"/>
    </row>
    <row r="591">
      <c r="C591" s="82"/>
      <c r="E591" s="82"/>
      <c r="G591" s="82"/>
      <c r="I591" s="82"/>
      <c r="K591" s="82"/>
    </row>
    <row r="592">
      <c r="C592" s="82"/>
      <c r="E592" s="82"/>
      <c r="G592" s="82"/>
      <c r="I592" s="82"/>
      <c r="K592" s="82"/>
    </row>
    <row r="593">
      <c r="C593" s="82"/>
      <c r="E593" s="82"/>
      <c r="G593" s="82"/>
      <c r="I593" s="82"/>
      <c r="K593" s="82"/>
    </row>
    <row r="594">
      <c r="C594" s="82"/>
      <c r="E594" s="82"/>
      <c r="G594" s="82"/>
      <c r="I594" s="82"/>
      <c r="K594" s="82"/>
    </row>
    <row r="595">
      <c r="C595" s="82"/>
      <c r="E595" s="82"/>
      <c r="G595" s="82"/>
      <c r="I595" s="82"/>
      <c r="K595" s="82"/>
    </row>
    <row r="596">
      <c r="C596" s="82"/>
      <c r="E596" s="82"/>
      <c r="G596" s="82"/>
      <c r="I596" s="82"/>
      <c r="K596" s="82"/>
    </row>
    <row r="597">
      <c r="C597" s="82"/>
      <c r="E597" s="82"/>
      <c r="G597" s="82"/>
      <c r="I597" s="82"/>
      <c r="K597" s="82"/>
    </row>
    <row r="598">
      <c r="C598" s="82"/>
      <c r="E598" s="82"/>
      <c r="G598" s="82"/>
      <c r="I598" s="82"/>
      <c r="K598" s="82"/>
    </row>
    <row r="599">
      <c r="C599" s="82"/>
      <c r="E599" s="82"/>
      <c r="G599" s="82"/>
      <c r="I599" s="82"/>
      <c r="K599" s="82"/>
    </row>
    <row r="600">
      <c r="C600" s="82"/>
      <c r="E600" s="82"/>
      <c r="G600" s="82"/>
      <c r="I600" s="82"/>
      <c r="K600" s="82"/>
    </row>
    <row r="601">
      <c r="C601" s="82"/>
      <c r="E601" s="82"/>
      <c r="G601" s="82"/>
      <c r="I601" s="82"/>
      <c r="K601" s="82"/>
    </row>
    <row r="602">
      <c r="C602" s="82"/>
      <c r="E602" s="82"/>
      <c r="G602" s="82"/>
      <c r="I602" s="82"/>
      <c r="K602" s="82"/>
    </row>
    <row r="603">
      <c r="C603" s="82"/>
      <c r="E603" s="82"/>
      <c r="G603" s="82"/>
      <c r="I603" s="82"/>
      <c r="K603" s="82"/>
    </row>
    <row r="604">
      <c r="C604" s="82"/>
      <c r="E604" s="82"/>
      <c r="G604" s="82"/>
      <c r="I604" s="82"/>
      <c r="K604" s="82"/>
    </row>
    <row r="605">
      <c r="C605" s="82"/>
      <c r="E605" s="82"/>
      <c r="G605" s="82"/>
      <c r="I605" s="82"/>
      <c r="K605" s="82"/>
    </row>
    <row r="606">
      <c r="C606" s="82"/>
      <c r="E606" s="82"/>
      <c r="G606" s="82"/>
      <c r="I606" s="82"/>
      <c r="K606" s="82"/>
    </row>
    <row r="607">
      <c r="C607" s="82"/>
      <c r="E607" s="82"/>
      <c r="G607" s="82"/>
      <c r="I607" s="82"/>
      <c r="K607" s="82"/>
    </row>
    <row r="608">
      <c r="C608" s="82"/>
      <c r="E608" s="82"/>
      <c r="G608" s="82"/>
      <c r="I608" s="82"/>
      <c r="K608" s="82"/>
    </row>
    <row r="609">
      <c r="C609" s="82"/>
      <c r="E609" s="82"/>
      <c r="G609" s="82"/>
      <c r="I609" s="82"/>
      <c r="K609" s="82"/>
    </row>
    <row r="610">
      <c r="C610" s="82"/>
      <c r="E610" s="82"/>
      <c r="G610" s="82"/>
      <c r="I610" s="82"/>
      <c r="K610" s="82"/>
    </row>
    <row r="611">
      <c r="C611" s="82"/>
      <c r="E611" s="82"/>
      <c r="G611" s="82"/>
      <c r="I611" s="82"/>
      <c r="K611" s="82"/>
    </row>
    <row r="612">
      <c r="C612" s="82"/>
      <c r="E612" s="82"/>
      <c r="G612" s="82"/>
      <c r="I612" s="82"/>
      <c r="K612" s="82"/>
    </row>
    <row r="613">
      <c r="C613" s="82"/>
      <c r="E613" s="82"/>
      <c r="G613" s="82"/>
      <c r="I613" s="82"/>
      <c r="K613" s="82"/>
    </row>
    <row r="614">
      <c r="C614" s="82"/>
      <c r="E614" s="82"/>
      <c r="G614" s="82"/>
      <c r="I614" s="82"/>
      <c r="K614" s="82"/>
    </row>
    <row r="615">
      <c r="C615" s="82"/>
      <c r="E615" s="82"/>
      <c r="G615" s="82"/>
      <c r="I615" s="82"/>
      <c r="K615" s="82"/>
    </row>
    <row r="616">
      <c r="C616" s="82"/>
      <c r="E616" s="82"/>
      <c r="G616" s="82"/>
      <c r="I616" s="82"/>
      <c r="K616" s="82"/>
    </row>
    <row r="617">
      <c r="C617" s="82"/>
      <c r="E617" s="82"/>
      <c r="G617" s="82"/>
      <c r="I617" s="82"/>
      <c r="K617" s="82"/>
    </row>
    <row r="618">
      <c r="C618" s="82"/>
      <c r="E618" s="82"/>
      <c r="G618" s="82"/>
      <c r="I618" s="82"/>
      <c r="K618" s="82"/>
    </row>
    <row r="619">
      <c r="C619" s="82"/>
      <c r="E619" s="82"/>
      <c r="G619" s="82"/>
      <c r="I619" s="82"/>
      <c r="K619" s="82"/>
    </row>
    <row r="620">
      <c r="C620" s="82"/>
      <c r="E620" s="82"/>
      <c r="G620" s="82"/>
      <c r="I620" s="82"/>
      <c r="K620" s="82"/>
    </row>
    <row r="621">
      <c r="C621" s="82"/>
      <c r="E621" s="82"/>
      <c r="G621" s="82"/>
      <c r="I621" s="82"/>
      <c r="K621" s="82"/>
    </row>
    <row r="622">
      <c r="C622" s="82"/>
      <c r="E622" s="82"/>
      <c r="G622" s="82"/>
      <c r="I622" s="82"/>
      <c r="K622" s="82"/>
    </row>
    <row r="623">
      <c r="C623" s="82"/>
      <c r="E623" s="82"/>
      <c r="G623" s="82"/>
      <c r="I623" s="82"/>
      <c r="K623" s="82"/>
    </row>
    <row r="624">
      <c r="C624" s="82"/>
      <c r="E624" s="82"/>
      <c r="G624" s="82"/>
      <c r="I624" s="82"/>
      <c r="K624" s="82"/>
    </row>
    <row r="625">
      <c r="C625" s="82"/>
      <c r="E625" s="82"/>
      <c r="G625" s="82"/>
      <c r="I625" s="82"/>
      <c r="K625" s="82"/>
    </row>
    <row r="626">
      <c r="C626" s="82"/>
      <c r="E626" s="82"/>
      <c r="G626" s="82"/>
      <c r="I626" s="82"/>
      <c r="K626" s="82"/>
    </row>
    <row r="627">
      <c r="C627" s="82"/>
      <c r="E627" s="82"/>
      <c r="G627" s="82"/>
      <c r="I627" s="82"/>
      <c r="K627" s="82"/>
    </row>
    <row r="628">
      <c r="C628" s="82"/>
      <c r="E628" s="82"/>
      <c r="G628" s="82"/>
      <c r="I628" s="82"/>
      <c r="K628" s="82"/>
    </row>
    <row r="629">
      <c r="C629" s="82"/>
      <c r="E629" s="82"/>
      <c r="G629" s="82"/>
      <c r="I629" s="82"/>
      <c r="K629" s="82"/>
    </row>
    <row r="630">
      <c r="C630" s="82"/>
      <c r="E630" s="82"/>
      <c r="G630" s="82"/>
      <c r="I630" s="82"/>
      <c r="K630" s="82"/>
    </row>
    <row r="631">
      <c r="C631" s="82"/>
      <c r="E631" s="82"/>
      <c r="G631" s="82"/>
      <c r="I631" s="82"/>
      <c r="K631" s="82"/>
    </row>
    <row r="632">
      <c r="C632" s="82"/>
      <c r="E632" s="82"/>
      <c r="G632" s="82"/>
      <c r="I632" s="82"/>
      <c r="K632" s="82"/>
    </row>
    <row r="633">
      <c r="C633" s="82"/>
      <c r="E633" s="82"/>
      <c r="G633" s="82"/>
      <c r="I633" s="82"/>
      <c r="K633" s="82"/>
    </row>
    <row r="634">
      <c r="C634" s="82"/>
      <c r="E634" s="82"/>
      <c r="G634" s="82"/>
      <c r="I634" s="82"/>
      <c r="K634" s="82"/>
    </row>
    <row r="635">
      <c r="C635" s="82"/>
      <c r="E635" s="82"/>
      <c r="G635" s="82"/>
      <c r="I635" s="82"/>
      <c r="K635" s="82"/>
    </row>
    <row r="636">
      <c r="C636" s="82"/>
      <c r="E636" s="82"/>
      <c r="G636" s="82"/>
      <c r="I636" s="82"/>
      <c r="K636" s="82"/>
    </row>
    <row r="637">
      <c r="C637" s="82"/>
      <c r="E637" s="82"/>
      <c r="G637" s="82"/>
      <c r="I637" s="82"/>
      <c r="K637" s="82"/>
    </row>
    <row r="638">
      <c r="C638" s="82"/>
      <c r="E638" s="82"/>
      <c r="G638" s="82"/>
      <c r="I638" s="82"/>
      <c r="K638" s="82"/>
    </row>
    <row r="639">
      <c r="C639" s="82"/>
      <c r="E639" s="82"/>
      <c r="G639" s="82"/>
      <c r="I639" s="82"/>
      <c r="K639" s="82"/>
    </row>
    <row r="640">
      <c r="C640" s="82"/>
      <c r="E640" s="82"/>
      <c r="G640" s="82"/>
      <c r="I640" s="82"/>
      <c r="K640" s="82"/>
    </row>
    <row r="641">
      <c r="C641" s="82"/>
      <c r="E641" s="82"/>
      <c r="G641" s="82"/>
      <c r="I641" s="82"/>
      <c r="K641" s="82"/>
    </row>
    <row r="642">
      <c r="C642" s="82"/>
      <c r="E642" s="82"/>
      <c r="G642" s="82"/>
      <c r="I642" s="82"/>
      <c r="K642" s="82"/>
    </row>
    <row r="643">
      <c r="C643" s="82"/>
      <c r="E643" s="82"/>
      <c r="G643" s="82"/>
      <c r="I643" s="82"/>
      <c r="K643" s="82"/>
    </row>
    <row r="644">
      <c r="C644" s="82"/>
      <c r="E644" s="82"/>
      <c r="G644" s="82"/>
      <c r="I644" s="82"/>
      <c r="K644" s="82"/>
    </row>
    <row r="645">
      <c r="C645" s="82"/>
      <c r="E645" s="82"/>
      <c r="G645" s="82"/>
      <c r="I645" s="82"/>
      <c r="K645" s="82"/>
    </row>
    <row r="646">
      <c r="C646" s="82"/>
      <c r="E646" s="82"/>
      <c r="G646" s="82"/>
      <c r="I646" s="82"/>
      <c r="K646" s="82"/>
    </row>
    <row r="647">
      <c r="C647" s="82"/>
      <c r="E647" s="82"/>
      <c r="G647" s="82"/>
      <c r="I647" s="82"/>
      <c r="K647" s="82"/>
    </row>
    <row r="648">
      <c r="C648" s="82"/>
      <c r="E648" s="82"/>
      <c r="G648" s="82"/>
      <c r="I648" s="82"/>
      <c r="K648" s="82"/>
    </row>
    <row r="649">
      <c r="C649" s="82"/>
      <c r="E649" s="82"/>
      <c r="G649" s="82"/>
      <c r="I649" s="82"/>
      <c r="K649" s="82"/>
    </row>
    <row r="650">
      <c r="C650" s="82"/>
      <c r="E650" s="82"/>
      <c r="G650" s="82"/>
      <c r="I650" s="82"/>
      <c r="K650" s="82"/>
    </row>
    <row r="651">
      <c r="C651" s="82"/>
      <c r="E651" s="82"/>
      <c r="G651" s="82"/>
      <c r="I651" s="82"/>
      <c r="K651" s="82"/>
    </row>
    <row r="652">
      <c r="C652" s="82"/>
      <c r="E652" s="82"/>
      <c r="G652" s="82"/>
      <c r="I652" s="82"/>
      <c r="K652" s="82"/>
    </row>
    <row r="653">
      <c r="C653" s="82"/>
      <c r="E653" s="82"/>
      <c r="G653" s="82"/>
      <c r="I653" s="82"/>
      <c r="K653" s="82"/>
    </row>
    <row r="654">
      <c r="C654" s="82"/>
      <c r="E654" s="82"/>
      <c r="G654" s="82"/>
      <c r="I654" s="82"/>
      <c r="K654" s="82"/>
    </row>
    <row r="655">
      <c r="C655" s="82"/>
      <c r="E655" s="82"/>
      <c r="G655" s="82"/>
      <c r="I655" s="82"/>
      <c r="K655" s="82"/>
    </row>
    <row r="656">
      <c r="C656" s="82"/>
      <c r="E656" s="82"/>
      <c r="G656" s="82"/>
      <c r="I656" s="82"/>
      <c r="K656" s="82"/>
    </row>
    <row r="657">
      <c r="C657" s="82"/>
      <c r="E657" s="82"/>
      <c r="G657" s="82"/>
      <c r="I657" s="82"/>
      <c r="K657" s="82"/>
    </row>
    <row r="658">
      <c r="C658" s="82"/>
      <c r="E658" s="82"/>
      <c r="G658" s="82"/>
      <c r="I658" s="82"/>
      <c r="K658" s="82"/>
    </row>
    <row r="659">
      <c r="C659" s="82"/>
      <c r="E659" s="82"/>
      <c r="G659" s="82"/>
      <c r="I659" s="82"/>
      <c r="K659" s="82"/>
    </row>
    <row r="660">
      <c r="C660" s="82"/>
      <c r="E660" s="82"/>
      <c r="G660" s="82"/>
      <c r="I660" s="82"/>
      <c r="K660" s="82"/>
    </row>
    <row r="661">
      <c r="C661" s="82"/>
      <c r="E661" s="82"/>
      <c r="G661" s="82"/>
      <c r="I661" s="82"/>
      <c r="K661" s="82"/>
    </row>
    <row r="662">
      <c r="C662" s="82"/>
      <c r="E662" s="82"/>
      <c r="G662" s="82"/>
      <c r="I662" s="82"/>
      <c r="K662" s="82"/>
    </row>
    <row r="663">
      <c r="C663" s="82"/>
      <c r="E663" s="82"/>
      <c r="G663" s="82"/>
      <c r="I663" s="82"/>
      <c r="K663" s="82"/>
    </row>
    <row r="664">
      <c r="C664" s="82"/>
      <c r="E664" s="82"/>
      <c r="G664" s="82"/>
      <c r="I664" s="82"/>
      <c r="K664" s="82"/>
    </row>
    <row r="665">
      <c r="C665" s="82"/>
      <c r="E665" s="82"/>
      <c r="G665" s="82"/>
      <c r="I665" s="82"/>
      <c r="K665" s="82"/>
    </row>
    <row r="666">
      <c r="C666" s="82"/>
      <c r="E666" s="82"/>
      <c r="G666" s="82"/>
      <c r="I666" s="82"/>
      <c r="K666" s="82"/>
    </row>
    <row r="667">
      <c r="C667" s="82"/>
      <c r="E667" s="82"/>
      <c r="G667" s="82"/>
      <c r="I667" s="82"/>
      <c r="K667" s="82"/>
    </row>
    <row r="668">
      <c r="C668" s="82"/>
      <c r="E668" s="82"/>
      <c r="G668" s="82"/>
      <c r="I668" s="82"/>
      <c r="K668" s="82"/>
    </row>
    <row r="669">
      <c r="C669" s="82"/>
      <c r="E669" s="82"/>
      <c r="G669" s="82"/>
      <c r="I669" s="82"/>
      <c r="K669" s="82"/>
    </row>
    <row r="670">
      <c r="C670" s="82"/>
      <c r="E670" s="82"/>
      <c r="G670" s="82"/>
      <c r="I670" s="82"/>
      <c r="K670" s="82"/>
    </row>
    <row r="671">
      <c r="C671" s="82"/>
      <c r="E671" s="82"/>
      <c r="G671" s="82"/>
      <c r="I671" s="82"/>
      <c r="K671" s="82"/>
    </row>
    <row r="672">
      <c r="C672" s="82"/>
      <c r="E672" s="82"/>
      <c r="G672" s="82"/>
      <c r="I672" s="82"/>
      <c r="K672" s="82"/>
    </row>
    <row r="673">
      <c r="C673" s="82"/>
      <c r="E673" s="82"/>
      <c r="G673" s="82"/>
      <c r="I673" s="82"/>
      <c r="K673" s="82"/>
    </row>
    <row r="674">
      <c r="C674" s="82"/>
      <c r="E674" s="82"/>
      <c r="G674" s="82"/>
      <c r="I674" s="82"/>
      <c r="K674" s="82"/>
    </row>
    <row r="675">
      <c r="C675" s="82"/>
      <c r="E675" s="82"/>
      <c r="G675" s="82"/>
      <c r="I675" s="82"/>
      <c r="K675" s="82"/>
    </row>
    <row r="676">
      <c r="C676" s="82"/>
      <c r="E676" s="82"/>
      <c r="G676" s="82"/>
      <c r="I676" s="82"/>
      <c r="K676" s="82"/>
    </row>
    <row r="677">
      <c r="C677" s="82"/>
      <c r="E677" s="82"/>
      <c r="G677" s="82"/>
      <c r="I677" s="82"/>
      <c r="K677" s="82"/>
    </row>
    <row r="678">
      <c r="C678" s="82"/>
      <c r="E678" s="82"/>
      <c r="G678" s="82"/>
      <c r="I678" s="82"/>
      <c r="K678" s="82"/>
    </row>
    <row r="679">
      <c r="C679" s="82"/>
      <c r="E679" s="82"/>
      <c r="G679" s="82"/>
      <c r="I679" s="82"/>
      <c r="K679" s="82"/>
    </row>
    <row r="680">
      <c r="C680" s="82"/>
      <c r="E680" s="82"/>
      <c r="G680" s="82"/>
      <c r="I680" s="82"/>
      <c r="K680" s="82"/>
    </row>
    <row r="681">
      <c r="C681" s="82"/>
      <c r="E681" s="82"/>
      <c r="G681" s="82"/>
      <c r="I681" s="82"/>
      <c r="K681" s="82"/>
    </row>
    <row r="682">
      <c r="C682" s="82"/>
      <c r="E682" s="82"/>
      <c r="G682" s="82"/>
      <c r="I682" s="82"/>
      <c r="K682" s="82"/>
    </row>
    <row r="683">
      <c r="C683" s="82"/>
      <c r="E683" s="82"/>
      <c r="G683" s="82"/>
      <c r="I683" s="82"/>
      <c r="K683" s="82"/>
    </row>
    <row r="684">
      <c r="C684" s="82"/>
      <c r="E684" s="82"/>
      <c r="G684" s="82"/>
      <c r="I684" s="82"/>
      <c r="K684" s="82"/>
    </row>
    <row r="685">
      <c r="C685" s="82"/>
      <c r="E685" s="82"/>
      <c r="G685" s="82"/>
      <c r="I685" s="82"/>
      <c r="K685" s="82"/>
    </row>
    <row r="686">
      <c r="C686" s="82"/>
      <c r="E686" s="82"/>
      <c r="G686" s="82"/>
      <c r="I686" s="82"/>
      <c r="K686" s="82"/>
    </row>
    <row r="687">
      <c r="C687" s="82"/>
      <c r="E687" s="82"/>
      <c r="G687" s="82"/>
      <c r="I687" s="82"/>
      <c r="K687" s="82"/>
    </row>
    <row r="688">
      <c r="C688" s="82"/>
      <c r="E688" s="82"/>
      <c r="G688" s="82"/>
      <c r="I688" s="82"/>
      <c r="K688" s="82"/>
    </row>
    <row r="689">
      <c r="C689" s="82"/>
      <c r="E689" s="82"/>
      <c r="G689" s="82"/>
      <c r="I689" s="82"/>
      <c r="K689" s="82"/>
    </row>
    <row r="690">
      <c r="C690" s="82"/>
      <c r="E690" s="82"/>
      <c r="G690" s="82"/>
      <c r="I690" s="82"/>
      <c r="K690" s="82"/>
    </row>
    <row r="691">
      <c r="C691" s="82"/>
      <c r="E691" s="82"/>
      <c r="G691" s="82"/>
      <c r="I691" s="82"/>
      <c r="K691" s="82"/>
    </row>
    <row r="692">
      <c r="C692" s="82"/>
      <c r="E692" s="82"/>
      <c r="G692" s="82"/>
      <c r="I692" s="82"/>
      <c r="K692" s="82"/>
    </row>
    <row r="693">
      <c r="C693" s="82"/>
      <c r="E693" s="82"/>
      <c r="G693" s="82"/>
      <c r="I693" s="82"/>
      <c r="K693" s="82"/>
    </row>
    <row r="694">
      <c r="C694" s="82"/>
      <c r="E694" s="82"/>
      <c r="G694" s="82"/>
      <c r="I694" s="82"/>
      <c r="K694" s="82"/>
    </row>
    <row r="695">
      <c r="C695" s="82"/>
      <c r="E695" s="82"/>
      <c r="G695" s="82"/>
      <c r="I695" s="82"/>
      <c r="K695" s="82"/>
    </row>
    <row r="696">
      <c r="C696" s="82"/>
      <c r="E696" s="82"/>
      <c r="G696" s="82"/>
      <c r="I696" s="82"/>
      <c r="K696" s="82"/>
    </row>
    <row r="697">
      <c r="C697" s="82"/>
      <c r="E697" s="82"/>
      <c r="G697" s="82"/>
      <c r="I697" s="82"/>
      <c r="K697" s="82"/>
    </row>
    <row r="698">
      <c r="C698" s="82"/>
      <c r="E698" s="82"/>
      <c r="G698" s="82"/>
      <c r="I698" s="82"/>
      <c r="K698" s="82"/>
    </row>
    <row r="699">
      <c r="C699" s="82"/>
      <c r="E699" s="82"/>
      <c r="G699" s="82"/>
      <c r="I699" s="82"/>
      <c r="K699" s="82"/>
    </row>
    <row r="700">
      <c r="C700" s="82"/>
      <c r="E700" s="82"/>
      <c r="G700" s="82"/>
      <c r="I700" s="82"/>
      <c r="K700" s="82"/>
    </row>
    <row r="701">
      <c r="C701" s="82"/>
      <c r="E701" s="82"/>
      <c r="G701" s="82"/>
      <c r="I701" s="82"/>
      <c r="K701" s="82"/>
    </row>
    <row r="702">
      <c r="C702" s="82"/>
      <c r="E702" s="82"/>
      <c r="G702" s="82"/>
      <c r="I702" s="82"/>
      <c r="K702" s="82"/>
    </row>
    <row r="703">
      <c r="C703" s="82"/>
      <c r="E703" s="82"/>
      <c r="G703" s="82"/>
      <c r="I703" s="82"/>
      <c r="K703" s="82"/>
    </row>
    <row r="704">
      <c r="C704" s="82"/>
      <c r="E704" s="82"/>
      <c r="G704" s="82"/>
      <c r="I704" s="82"/>
      <c r="K704" s="82"/>
    </row>
    <row r="705">
      <c r="C705" s="82"/>
      <c r="E705" s="82"/>
      <c r="G705" s="82"/>
      <c r="I705" s="82"/>
      <c r="K705" s="82"/>
    </row>
    <row r="706">
      <c r="C706" s="82"/>
      <c r="E706" s="82"/>
      <c r="G706" s="82"/>
      <c r="I706" s="82"/>
      <c r="K706" s="82"/>
    </row>
    <row r="707">
      <c r="C707" s="82"/>
      <c r="E707" s="82"/>
      <c r="G707" s="82"/>
      <c r="I707" s="82"/>
      <c r="K707" s="82"/>
    </row>
    <row r="708">
      <c r="C708" s="82"/>
      <c r="E708" s="82"/>
      <c r="G708" s="82"/>
      <c r="I708" s="82"/>
      <c r="K708" s="82"/>
    </row>
    <row r="709">
      <c r="C709" s="82"/>
      <c r="E709" s="82"/>
      <c r="G709" s="82"/>
      <c r="I709" s="82"/>
      <c r="K709" s="82"/>
    </row>
    <row r="710">
      <c r="C710" s="82"/>
      <c r="E710" s="82"/>
      <c r="G710" s="82"/>
      <c r="I710" s="82"/>
      <c r="K710" s="82"/>
    </row>
    <row r="711">
      <c r="C711" s="82"/>
      <c r="E711" s="82"/>
      <c r="G711" s="82"/>
      <c r="I711" s="82"/>
      <c r="K711" s="82"/>
    </row>
    <row r="712">
      <c r="C712" s="82"/>
      <c r="E712" s="82"/>
      <c r="G712" s="82"/>
      <c r="I712" s="82"/>
      <c r="K712" s="82"/>
    </row>
    <row r="713">
      <c r="C713" s="82"/>
      <c r="E713" s="82"/>
      <c r="G713" s="82"/>
      <c r="I713" s="82"/>
      <c r="K713" s="82"/>
    </row>
    <row r="714">
      <c r="C714" s="82"/>
      <c r="E714" s="82"/>
      <c r="G714" s="82"/>
      <c r="I714" s="82"/>
      <c r="K714" s="82"/>
    </row>
    <row r="715">
      <c r="C715" s="82"/>
      <c r="E715" s="82"/>
      <c r="G715" s="82"/>
      <c r="I715" s="82"/>
      <c r="K715" s="82"/>
    </row>
    <row r="716">
      <c r="C716" s="82"/>
      <c r="E716" s="82"/>
      <c r="G716" s="82"/>
      <c r="I716" s="82"/>
      <c r="K716" s="82"/>
    </row>
    <row r="717">
      <c r="C717" s="82"/>
      <c r="E717" s="82"/>
      <c r="G717" s="82"/>
      <c r="I717" s="82"/>
      <c r="K717" s="82"/>
    </row>
    <row r="718">
      <c r="C718" s="82"/>
      <c r="E718" s="82"/>
      <c r="G718" s="82"/>
      <c r="I718" s="82"/>
      <c r="K718" s="82"/>
    </row>
    <row r="719">
      <c r="C719" s="82"/>
      <c r="E719" s="82"/>
      <c r="G719" s="82"/>
      <c r="I719" s="82"/>
      <c r="K719" s="82"/>
    </row>
    <row r="720">
      <c r="C720" s="82"/>
      <c r="E720" s="82"/>
      <c r="G720" s="82"/>
      <c r="I720" s="82"/>
      <c r="K720" s="82"/>
    </row>
    <row r="721">
      <c r="C721" s="82"/>
      <c r="E721" s="82"/>
      <c r="G721" s="82"/>
      <c r="I721" s="82"/>
      <c r="K721" s="82"/>
    </row>
    <row r="722">
      <c r="C722" s="82"/>
      <c r="E722" s="82"/>
      <c r="G722" s="82"/>
      <c r="I722" s="82"/>
      <c r="K722" s="82"/>
    </row>
    <row r="723">
      <c r="C723" s="82"/>
      <c r="E723" s="82"/>
      <c r="G723" s="82"/>
      <c r="I723" s="82"/>
      <c r="K723" s="82"/>
    </row>
    <row r="724">
      <c r="C724" s="82"/>
      <c r="E724" s="82"/>
      <c r="G724" s="82"/>
      <c r="I724" s="82"/>
      <c r="K724" s="82"/>
    </row>
    <row r="725">
      <c r="C725" s="82"/>
      <c r="E725" s="82"/>
      <c r="G725" s="82"/>
      <c r="I725" s="82"/>
      <c r="K725" s="82"/>
    </row>
    <row r="726">
      <c r="C726" s="82"/>
      <c r="E726" s="82"/>
      <c r="G726" s="82"/>
      <c r="I726" s="82"/>
      <c r="K726" s="82"/>
    </row>
    <row r="727">
      <c r="C727" s="82"/>
      <c r="E727" s="82"/>
      <c r="G727" s="82"/>
      <c r="I727" s="82"/>
      <c r="K727" s="82"/>
    </row>
    <row r="728">
      <c r="C728" s="82"/>
      <c r="E728" s="82"/>
      <c r="G728" s="82"/>
      <c r="I728" s="82"/>
      <c r="K728" s="82"/>
    </row>
    <row r="729">
      <c r="C729" s="82"/>
      <c r="E729" s="82"/>
      <c r="G729" s="82"/>
      <c r="I729" s="82"/>
      <c r="K729" s="82"/>
    </row>
    <row r="730">
      <c r="C730" s="82"/>
      <c r="E730" s="82"/>
      <c r="G730" s="82"/>
      <c r="I730" s="82"/>
      <c r="K730" s="82"/>
    </row>
    <row r="731">
      <c r="C731" s="82"/>
      <c r="E731" s="82"/>
      <c r="G731" s="82"/>
      <c r="I731" s="82"/>
      <c r="K731" s="82"/>
    </row>
    <row r="732">
      <c r="C732" s="82"/>
      <c r="E732" s="82"/>
      <c r="G732" s="82"/>
      <c r="I732" s="82"/>
      <c r="K732" s="82"/>
    </row>
    <row r="733">
      <c r="C733" s="82"/>
      <c r="E733" s="82"/>
      <c r="G733" s="82"/>
      <c r="I733" s="82"/>
      <c r="K733" s="82"/>
    </row>
    <row r="734">
      <c r="C734" s="82"/>
      <c r="E734" s="82"/>
      <c r="G734" s="82"/>
      <c r="I734" s="82"/>
      <c r="K734" s="82"/>
    </row>
    <row r="735">
      <c r="C735" s="82"/>
      <c r="E735" s="82"/>
      <c r="G735" s="82"/>
      <c r="I735" s="82"/>
      <c r="K735" s="82"/>
    </row>
    <row r="736">
      <c r="C736" s="82"/>
      <c r="E736" s="82"/>
      <c r="G736" s="82"/>
      <c r="I736" s="82"/>
      <c r="K736" s="82"/>
    </row>
    <row r="737">
      <c r="C737" s="82"/>
      <c r="E737" s="82"/>
      <c r="G737" s="82"/>
      <c r="I737" s="82"/>
      <c r="K737" s="82"/>
    </row>
    <row r="738">
      <c r="C738" s="82"/>
      <c r="E738" s="82"/>
      <c r="G738" s="82"/>
      <c r="I738" s="82"/>
      <c r="K738" s="82"/>
    </row>
    <row r="739">
      <c r="C739" s="82"/>
      <c r="E739" s="82"/>
      <c r="G739" s="82"/>
      <c r="I739" s="82"/>
      <c r="K739" s="82"/>
    </row>
    <row r="740">
      <c r="C740" s="82"/>
      <c r="E740" s="82"/>
      <c r="G740" s="82"/>
      <c r="I740" s="82"/>
      <c r="K740" s="82"/>
    </row>
    <row r="741">
      <c r="C741" s="82"/>
      <c r="E741" s="82"/>
      <c r="G741" s="82"/>
      <c r="I741" s="82"/>
      <c r="K741" s="82"/>
    </row>
    <row r="742">
      <c r="C742" s="82"/>
      <c r="E742" s="82"/>
      <c r="G742" s="82"/>
      <c r="I742" s="82"/>
      <c r="K742" s="82"/>
    </row>
    <row r="743">
      <c r="C743" s="82"/>
      <c r="E743" s="82"/>
      <c r="G743" s="82"/>
      <c r="I743" s="82"/>
      <c r="K743" s="82"/>
    </row>
    <row r="744">
      <c r="C744" s="82"/>
      <c r="E744" s="82"/>
      <c r="G744" s="82"/>
      <c r="I744" s="82"/>
      <c r="K744" s="82"/>
    </row>
    <row r="745">
      <c r="C745" s="82"/>
      <c r="E745" s="82"/>
      <c r="G745" s="82"/>
      <c r="I745" s="82"/>
      <c r="K745" s="82"/>
    </row>
    <row r="746">
      <c r="C746" s="82"/>
      <c r="E746" s="82"/>
      <c r="G746" s="82"/>
      <c r="I746" s="82"/>
      <c r="K746" s="82"/>
    </row>
    <row r="747">
      <c r="C747" s="82"/>
      <c r="E747" s="82"/>
      <c r="G747" s="82"/>
      <c r="I747" s="82"/>
      <c r="K747" s="82"/>
    </row>
    <row r="748">
      <c r="C748" s="82"/>
      <c r="E748" s="82"/>
      <c r="G748" s="82"/>
      <c r="I748" s="82"/>
      <c r="K748" s="82"/>
    </row>
    <row r="749">
      <c r="C749" s="82"/>
      <c r="E749" s="82"/>
      <c r="G749" s="82"/>
      <c r="I749" s="82"/>
      <c r="K749" s="82"/>
    </row>
    <row r="750">
      <c r="C750" s="82"/>
      <c r="E750" s="82"/>
      <c r="G750" s="82"/>
      <c r="I750" s="82"/>
      <c r="K750" s="82"/>
    </row>
    <row r="751">
      <c r="C751" s="82"/>
      <c r="E751" s="82"/>
      <c r="G751" s="82"/>
      <c r="I751" s="82"/>
      <c r="K751" s="82"/>
    </row>
    <row r="752">
      <c r="C752" s="82"/>
      <c r="E752" s="82"/>
      <c r="G752" s="82"/>
      <c r="I752" s="82"/>
      <c r="K752" s="82"/>
    </row>
    <row r="753">
      <c r="C753" s="82"/>
      <c r="E753" s="82"/>
      <c r="G753" s="82"/>
      <c r="I753" s="82"/>
      <c r="K753" s="82"/>
    </row>
    <row r="754">
      <c r="C754" s="82"/>
      <c r="E754" s="82"/>
      <c r="G754" s="82"/>
      <c r="I754" s="82"/>
      <c r="K754" s="82"/>
    </row>
    <row r="755">
      <c r="C755" s="82"/>
      <c r="E755" s="82"/>
      <c r="G755" s="82"/>
      <c r="I755" s="82"/>
      <c r="K755" s="82"/>
    </row>
    <row r="756">
      <c r="C756" s="82"/>
      <c r="E756" s="82"/>
      <c r="G756" s="82"/>
      <c r="I756" s="82"/>
      <c r="K756" s="82"/>
    </row>
    <row r="757">
      <c r="C757" s="82"/>
      <c r="E757" s="82"/>
      <c r="G757" s="82"/>
      <c r="I757" s="82"/>
      <c r="K757" s="82"/>
    </row>
    <row r="758">
      <c r="C758" s="82"/>
      <c r="E758" s="82"/>
      <c r="G758" s="82"/>
      <c r="I758" s="82"/>
      <c r="K758" s="82"/>
    </row>
    <row r="759">
      <c r="C759" s="82"/>
      <c r="E759" s="82"/>
      <c r="G759" s="82"/>
      <c r="I759" s="82"/>
      <c r="K759" s="82"/>
    </row>
    <row r="760">
      <c r="C760" s="82"/>
      <c r="E760" s="82"/>
      <c r="G760" s="82"/>
      <c r="I760" s="82"/>
      <c r="K760" s="82"/>
    </row>
    <row r="761">
      <c r="C761" s="82"/>
      <c r="E761" s="82"/>
      <c r="G761" s="82"/>
      <c r="I761" s="82"/>
      <c r="K761" s="82"/>
    </row>
    <row r="762">
      <c r="C762" s="82"/>
      <c r="E762" s="82"/>
      <c r="G762" s="82"/>
      <c r="I762" s="82"/>
      <c r="K762" s="82"/>
    </row>
    <row r="763">
      <c r="C763" s="82"/>
      <c r="E763" s="82"/>
      <c r="G763" s="82"/>
      <c r="I763" s="82"/>
      <c r="K763" s="82"/>
    </row>
    <row r="764">
      <c r="C764" s="82"/>
      <c r="E764" s="82"/>
      <c r="G764" s="82"/>
      <c r="I764" s="82"/>
      <c r="K764" s="82"/>
    </row>
    <row r="765">
      <c r="C765" s="82"/>
      <c r="E765" s="82"/>
      <c r="G765" s="82"/>
      <c r="I765" s="82"/>
      <c r="K765" s="82"/>
    </row>
    <row r="766">
      <c r="C766" s="82"/>
      <c r="E766" s="82"/>
      <c r="G766" s="82"/>
      <c r="I766" s="82"/>
      <c r="K766" s="82"/>
    </row>
    <row r="767">
      <c r="C767" s="82"/>
      <c r="E767" s="82"/>
      <c r="G767" s="82"/>
      <c r="I767" s="82"/>
      <c r="K767" s="82"/>
    </row>
    <row r="768">
      <c r="C768" s="82"/>
      <c r="E768" s="82"/>
      <c r="G768" s="82"/>
      <c r="I768" s="82"/>
      <c r="K768" s="82"/>
    </row>
    <row r="769">
      <c r="C769" s="82"/>
      <c r="E769" s="82"/>
      <c r="G769" s="82"/>
      <c r="I769" s="82"/>
      <c r="K769" s="82"/>
    </row>
    <row r="770">
      <c r="C770" s="82"/>
      <c r="E770" s="82"/>
      <c r="G770" s="82"/>
      <c r="I770" s="82"/>
      <c r="K770" s="82"/>
    </row>
    <row r="771">
      <c r="C771" s="82"/>
      <c r="E771" s="82"/>
      <c r="G771" s="82"/>
      <c r="I771" s="82"/>
      <c r="K771" s="82"/>
    </row>
    <row r="772">
      <c r="C772" s="82"/>
      <c r="E772" s="82"/>
      <c r="G772" s="82"/>
      <c r="I772" s="82"/>
      <c r="K772" s="82"/>
    </row>
    <row r="773">
      <c r="C773" s="82"/>
      <c r="E773" s="82"/>
      <c r="G773" s="82"/>
      <c r="I773" s="82"/>
      <c r="K773" s="82"/>
    </row>
    <row r="774">
      <c r="C774" s="82"/>
      <c r="E774" s="82"/>
      <c r="G774" s="82"/>
      <c r="I774" s="82"/>
      <c r="K774" s="82"/>
    </row>
    <row r="775">
      <c r="C775" s="82"/>
      <c r="E775" s="82"/>
      <c r="G775" s="82"/>
      <c r="I775" s="82"/>
      <c r="K775" s="82"/>
    </row>
    <row r="776">
      <c r="C776" s="82"/>
      <c r="E776" s="82"/>
      <c r="G776" s="82"/>
      <c r="I776" s="82"/>
      <c r="K776" s="82"/>
    </row>
    <row r="777">
      <c r="C777" s="82"/>
      <c r="E777" s="82"/>
      <c r="G777" s="82"/>
      <c r="I777" s="82"/>
      <c r="K777" s="82"/>
    </row>
    <row r="778">
      <c r="C778" s="82"/>
      <c r="E778" s="82"/>
      <c r="G778" s="82"/>
      <c r="I778" s="82"/>
      <c r="K778" s="82"/>
    </row>
    <row r="779">
      <c r="C779" s="82"/>
      <c r="E779" s="82"/>
      <c r="G779" s="82"/>
      <c r="I779" s="82"/>
      <c r="K779" s="82"/>
    </row>
    <row r="780">
      <c r="C780" s="82"/>
      <c r="E780" s="82"/>
      <c r="G780" s="82"/>
      <c r="I780" s="82"/>
      <c r="K780" s="82"/>
    </row>
    <row r="781">
      <c r="C781" s="82"/>
      <c r="E781" s="82"/>
      <c r="G781" s="82"/>
      <c r="I781" s="82"/>
      <c r="K781" s="82"/>
    </row>
    <row r="782">
      <c r="C782" s="82"/>
      <c r="E782" s="82"/>
      <c r="G782" s="82"/>
      <c r="I782" s="82"/>
      <c r="K782" s="82"/>
    </row>
    <row r="783">
      <c r="C783" s="82"/>
      <c r="E783" s="82"/>
      <c r="G783" s="82"/>
      <c r="I783" s="82"/>
      <c r="K783" s="82"/>
    </row>
    <row r="784">
      <c r="C784" s="82"/>
      <c r="E784" s="82"/>
      <c r="G784" s="82"/>
      <c r="I784" s="82"/>
      <c r="K784" s="82"/>
    </row>
    <row r="785">
      <c r="C785" s="82"/>
      <c r="E785" s="82"/>
      <c r="G785" s="82"/>
      <c r="I785" s="82"/>
      <c r="K785" s="82"/>
    </row>
    <row r="786">
      <c r="C786" s="82"/>
      <c r="E786" s="82"/>
      <c r="G786" s="82"/>
      <c r="I786" s="82"/>
      <c r="K786" s="82"/>
    </row>
    <row r="787">
      <c r="C787" s="82"/>
      <c r="E787" s="82"/>
      <c r="G787" s="82"/>
      <c r="I787" s="82"/>
      <c r="K787" s="82"/>
    </row>
    <row r="788">
      <c r="C788" s="82"/>
      <c r="E788" s="82"/>
      <c r="G788" s="82"/>
      <c r="I788" s="82"/>
      <c r="K788" s="82"/>
    </row>
    <row r="789">
      <c r="C789" s="82"/>
      <c r="E789" s="82"/>
      <c r="G789" s="82"/>
      <c r="I789" s="82"/>
      <c r="K789" s="82"/>
    </row>
    <row r="790">
      <c r="C790" s="82"/>
      <c r="E790" s="82"/>
      <c r="G790" s="82"/>
      <c r="I790" s="82"/>
      <c r="K790" s="82"/>
    </row>
    <row r="791">
      <c r="C791" s="82"/>
      <c r="E791" s="82"/>
      <c r="G791" s="82"/>
      <c r="I791" s="82"/>
      <c r="K791" s="82"/>
    </row>
    <row r="792">
      <c r="C792" s="82"/>
      <c r="E792" s="82"/>
      <c r="G792" s="82"/>
      <c r="I792" s="82"/>
      <c r="K792" s="82"/>
    </row>
    <row r="793">
      <c r="C793" s="82"/>
      <c r="E793" s="82"/>
      <c r="G793" s="82"/>
      <c r="I793" s="82"/>
      <c r="K793" s="82"/>
    </row>
    <row r="794">
      <c r="C794" s="82"/>
      <c r="E794" s="82"/>
      <c r="G794" s="82"/>
      <c r="I794" s="82"/>
      <c r="K794" s="82"/>
    </row>
    <row r="795">
      <c r="C795" s="82"/>
      <c r="E795" s="82"/>
      <c r="G795" s="82"/>
      <c r="I795" s="82"/>
      <c r="K795" s="82"/>
    </row>
    <row r="796">
      <c r="C796" s="82"/>
      <c r="E796" s="82"/>
      <c r="G796" s="82"/>
      <c r="I796" s="82"/>
      <c r="K796" s="82"/>
    </row>
    <row r="797">
      <c r="C797" s="82"/>
      <c r="E797" s="82"/>
      <c r="G797" s="82"/>
      <c r="I797" s="82"/>
      <c r="K797" s="82"/>
    </row>
    <row r="798">
      <c r="C798" s="82"/>
      <c r="E798" s="82"/>
      <c r="G798" s="82"/>
      <c r="I798" s="82"/>
      <c r="K798" s="82"/>
    </row>
    <row r="799">
      <c r="C799" s="82"/>
      <c r="E799" s="82"/>
      <c r="G799" s="82"/>
      <c r="I799" s="82"/>
      <c r="K799" s="82"/>
    </row>
    <row r="800">
      <c r="C800" s="82"/>
      <c r="E800" s="82"/>
      <c r="G800" s="82"/>
      <c r="I800" s="82"/>
      <c r="K800" s="82"/>
    </row>
    <row r="801">
      <c r="C801" s="82"/>
      <c r="E801" s="82"/>
      <c r="G801" s="82"/>
      <c r="I801" s="82"/>
      <c r="K801" s="82"/>
    </row>
    <row r="802">
      <c r="C802" s="82"/>
      <c r="E802" s="82"/>
      <c r="G802" s="82"/>
      <c r="I802" s="82"/>
      <c r="K802" s="82"/>
    </row>
    <row r="803">
      <c r="C803" s="82"/>
      <c r="E803" s="82"/>
      <c r="G803" s="82"/>
      <c r="I803" s="82"/>
      <c r="K803" s="82"/>
    </row>
    <row r="804">
      <c r="C804" s="82"/>
      <c r="E804" s="82"/>
      <c r="G804" s="82"/>
      <c r="I804" s="82"/>
      <c r="K804" s="82"/>
    </row>
    <row r="805">
      <c r="C805" s="82"/>
      <c r="E805" s="82"/>
      <c r="G805" s="82"/>
      <c r="I805" s="82"/>
      <c r="K805" s="82"/>
    </row>
    <row r="806">
      <c r="C806" s="82"/>
      <c r="E806" s="82"/>
      <c r="G806" s="82"/>
      <c r="I806" s="82"/>
      <c r="K806" s="82"/>
    </row>
    <row r="807">
      <c r="C807" s="82"/>
      <c r="E807" s="82"/>
      <c r="G807" s="82"/>
      <c r="I807" s="82"/>
      <c r="K807" s="82"/>
    </row>
    <row r="808">
      <c r="C808" s="82"/>
      <c r="E808" s="82"/>
      <c r="G808" s="82"/>
      <c r="I808" s="82"/>
      <c r="K808" s="82"/>
    </row>
    <row r="809">
      <c r="C809" s="82"/>
      <c r="E809" s="82"/>
      <c r="G809" s="82"/>
      <c r="I809" s="82"/>
      <c r="K809" s="82"/>
    </row>
    <row r="810">
      <c r="C810" s="82"/>
      <c r="E810" s="82"/>
      <c r="G810" s="82"/>
      <c r="I810" s="82"/>
      <c r="K810" s="82"/>
    </row>
    <row r="811">
      <c r="C811" s="82"/>
      <c r="E811" s="82"/>
      <c r="G811" s="82"/>
      <c r="I811" s="82"/>
      <c r="K811" s="82"/>
    </row>
    <row r="812">
      <c r="C812" s="82"/>
      <c r="E812" s="82"/>
      <c r="G812" s="82"/>
      <c r="I812" s="82"/>
      <c r="K812" s="82"/>
    </row>
    <row r="813">
      <c r="C813" s="82"/>
      <c r="E813" s="82"/>
      <c r="G813" s="82"/>
      <c r="I813" s="82"/>
      <c r="K813" s="82"/>
    </row>
    <row r="814">
      <c r="C814" s="82"/>
      <c r="E814" s="82"/>
      <c r="G814" s="82"/>
      <c r="I814" s="82"/>
      <c r="K814" s="82"/>
    </row>
    <row r="815">
      <c r="C815" s="82"/>
      <c r="E815" s="82"/>
      <c r="G815" s="82"/>
      <c r="I815" s="82"/>
      <c r="K815" s="82"/>
    </row>
    <row r="816">
      <c r="C816" s="82"/>
      <c r="E816" s="82"/>
      <c r="G816" s="82"/>
      <c r="I816" s="82"/>
      <c r="K816" s="82"/>
    </row>
    <row r="817">
      <c r="C817" s="82"/>
      <c r="E817" s="82"/>
      <c r="G817" s="82"/>
      <c r="I817" s="82"/>
      <c r="K817" s="82"/>
    </row>
    <row r="818">
      <c r="C818" s="82"/>
      <c r="E818" s="82"/>
      <c r="G818" s="82"/>
      <c r="I818" s="82"/>
      <c r="K818" s="82"/>
    </row>
    <row r="819">
      <c r="C819" s="82"/>
      <c r="E819" s="82"/>
      <c r="G819" s="82"/>
      <c r="I819" s="82"/>
      <c r="K819" s="82"/>
    </row>
    <row r="820">
      <c r="C820" s="82"/>
      <c r="E820" s="82"/>
      <c r="G820" s="82"/>
      <c r="I820" s="82"/>
      <c r="K820" s="82"/>
    </row>
    <row r="821">
      <c r="C821" s="82"/>
      <c r="E821" s="82"/>
      <c r="G821" s="82"/>
      <c r="I821" s="82"/>
      <c r="K821" s="82"/>
    </row>
    <row r="822">
      <c r="C822" s="82"/>
      <c r="E822" s="82"/>
      <c r="G822" s="82"/>
      <c r="I822" s="82"/>
      <c r="K822" s="82"/>
    </row>
    <row r="823">
      <c r="C823" s="82"/>
      <c r="E823" s="82"/>
      <c r="G823" s="82"/>
      <c r="I823" s="82"/>
      <c r="K823" s="82"/>
    </row>
    <row r="824">
      <c r="C824" s="82"/>
      <c r="E824" s="82"/>
      <c r="G824" s="82"/>
      <c r="I824" s="82"/>
      <c r="K824" s="82"/>
    </row>
    <row r="825">
      <c r="C825" s="82"/>
      <c r="E825" s="82"/>
      <c r="G825" s="82"/>
      <c r="I825" s="82"/>
      <c r="K825" s="82"/>
    </row>
    <row r="826">
      <c r="C826" s="82"/>
      <c r="E826" s="82"/>
      <c r="G826" s="82"/>
      <c r="I826" s="82"/>
      <c r="K826" s="82"/>
    </row>
    <row r="827">
      <c r="C827" s="82"/>
      <c r="E827" s="82"/>
      <c r="G827" s="82"/>
      <c r="I827" s="82"/>
      <c r="K827" s="82"/>
    </row>
    <row r="828">
      <c r="C828" s="82"/>
      <c r="E828" s="82"/>
      <c r="G828" s="82"/>
      <c r="I828" s="82"/>
      <c r="K828" s="82"/>
    </row>
    <row r="829">
      <c r="C829" s="82"/>
      <c r="E829" s="82"/>
      <c r="G829" s="82"/>
      <c r="I829" s="82"/>
      <c r="K829" s="82"/>
    </row>
    <row r="830">
      <c r="C830" s="82"/>
      <c r="E830" s="82"/>
      <c r="G830" s="82"/>
      <c r="I830" s="82"/>
      <c r="K830" s="82"/>
    </row>
    <row r="831">
      <c r="C831" s="82"/>
      <c r="E831" s="82"/>
      <c r="G831" s="82"/>
      <c r="I831" s="82"/>
      <c r="K831" s="82"/>
    </row>
    <row r="832">
      <c r="C832" s="82"/>
      <c r="E832" s="82"/>
      <c r="G832" s="82"/>
      <c r="I832" s="82"/>
      <c r="K832" s="82"/>
    </row>
    <row r="833">
      <c r="C833" s="82"/>
      <c r="E833" s="82"/>
      <c r="G833" s="82"/>
      <c r="I833" s="82"/>
      <c r="K833" s="82"/>
    </row>
    <row r="834">
      <c r="C834" s="82"/>
      <c r="E834" s="82"/>
      <c r="G834" s="82"/>
      <c r="I834" s="82"/>
      <c r="K834" s="82"/>
    </row>
    <row r="835">
      <c r="C835" s="82"/>
      <c r="E835" s="82"/>
      <c r="G835" s="82"/>
      <c r="I835" s="82"/>
      <c r="K835" s="82"/>
    </row>
    <row r="836">
      <c r="C836" s="82"/>
      <c r="E836" s="82"/>
      <c r="G836" s="82"/>
      <c r="I836" s="82"/>
      <c r="K836" s="82"/>
    </row>
    <row r="837">
      <c r="C837" s="82"/>
      <c r="E837" s="82"/>
      <c r="G837" s="82"/>
      <c r="I837" s="82"/>
      <c r="K837" s="82"/>
    </row>
    <row r="838">
      <c r="C838" s="82"/>
      <c r="E838" s="82"/>
      <c r="G838" s="82"/>
      <c r="I838" s="82"/>
      <c r="K838" s="82"/>
    </row>
    <row r="839">
      <c r="C839" s="82"/>
      <c r="E839" s="82"/>
      <c r="G839" s="82"/>
      <c r="I839" s="82"/>
      <c r="K839" s="82"/>
    </row>
    <row r="840">
      <c r="C840" s="82"/>
      <c r="E840" s="82"/>
      <c r="G840" s="82"/>
      <c r="I840" s="82"/>
      <c r="K840" s="82"/>
    </row>
    <row r="841">
      <c r="C841" s="82"/>
      <c r="E841" s="82"/>
      <c r="G841" s="82"/>
      <c r="I841" s="82"/>
      <c r="K841" s="82"/>
    </row>
    <row r="842">
      <c r="C842" s="82"/>
      <c r="E842" s="82"/>
      <c r="G842" s="82"/>
      <c r="I842" s="82"/>
      <c r="K842" s="82"/>
    </row>
    <row r="843">
      <c r="C843" s="82"/>
      <c r="E843" s="82"/>
      <c r="G843" s="82"/>
      <c r="I843" s="82"/>
      <c r="K843" s="82"/>
    </row>
    <row r="844">
      <c r="C844" s="82"/>
      <c r="E844" s="82"/>
      <c r="G844" s="82"/>
      <c r="I844" s="82"/>
      <c r="K844" s="82"/>
    </row>
    <row r="845">
      <c r="C845" s="82"/>
      <c r="E845" s="82"/>
      <c r="G845" s="82"/>
      <c r="I845" s="82"/>
      <c r="K845" s="82"/>
    </row>
    <row r="846">
      <c r="C846" s="82"/>
      <c r="E846" s="82"/>
      <c r="G846" s="82"/>
      <c r="I846" s="82"/>
      <c r="K846" s="82"/>
    </row>
    <row r="847">
      <c r="C847" s="82"/>
      <c r="E847" s="82"/>
      <c r="G847" s="82"/>
      <c r="I847" s="82"/>
      <c r="K847" s="82"/>
    </row>
    <row r="848">
      <c r="C848" s="82"/>
      <c r="E848" s="82"/>
      <c r="G848" s="82"/>
      <c r="I848" s="82"/>
      <c r="K848" s="82"/>
    </row>
    <row r="849">
      <c r="C849" s="82"/>
      <c r="E849" s="82"/>
      <c r="G849" s="82"/>
      <c r="I849" s="82"/>
      <c r="K849" s="82"/>
    </row>
    <row r="850">
      <c r="C850" s="82"/>
      <c r="E850" s="82"/>
      <c r="G850" s="82"/>
      <c r="I850" s="82"/>
      <c r="K850" s="82"/>
    </row>
    <row r="851">
      <c r="C851" s="82"/>
      <c r="E851" s="82"/>
      <c r="G851" s="82"/>
      <c r="I851" s="82"/>
      <c r="K851" s="82"/>
    </row>
    <row r="852">
      <c r="C852" s="82"/>
      <c r="E852" s="82"/>
      <c r="G852" s="82"/>
      <c r="I852" s="82"/>
      <c r="K852" s="82"/>
    </row>
    <row r="853">
      <c r="C853" s="82"/>
      <c r="E853" s="82"/>
      <c r="G853" s="82"/>
      <c r="I853" s="82"/>
      <c r="K853" s="82"/>
    </row>
    <row r="854">
      <c r="C854" s="82"/>
      <c r="E854" s="82"/>
      <c r="G854" s="82"/>
      <c r="I854" s="82"/>
      <c r="K854" s="82"/>
    </row>
    <row r="855">
      <c r="C855" s="82"/>
      <c r="E855" s="82"/>
      <c r="G855" s="82"/>
      <c r="I855" s="82"/>
      <c r="K855" s="82"/>
    </row>
    <row r="856">
      <c r="C856" s="82"/>
      <c r="E856" s="82"/>
      <c r="G856" s="82"/>
      <c r="I856" s="82"/>
      <c r="K856" s="82"/>
    </row>
    <row r="857">
      <c r="C857" s="82"/>
      <c r="E857" s="82"/>
      <c r="G857" s="82"/>
      <c r="I857" s="82"/>
      <c r="K857" s="82"/>
    </row>
    <row r="858">
      <c r="C858" s="82"/>
      <c r="E858" s="82"/>
      <c r="G858" s="82"/>
      <c r="I858" s="82"/>
      <c r="K858" s="82"/>
    </row>
    <row r="859">
      <c r="C859" s="82"/>
      <c r="E859" s="82"/>
      <c r="G859" s="82"/>
      <c r="I859" s="82"/>
      <c r="K859" s="82"/>
    </row>
    <row r="860">
      <c r="C860" s="82"/>
      <c r="E860" s="82"/>
      <c r="G860" s="82"/>
      <c r="I860" s="82"/>
      <c r="K860" s="82"/>
    </row>
    <row r="861">
      <c r="C861" s="82"/>
      <c r="E861" s="82"/>
      <c r="G861" s="82"/>
      <c r="I861" s="82"/>
      <c r="K861" s="82"/>
    </row>
    <row r="862">
      <c r="C862" s="82"/>
      <c r="E862" s="82"/>
      <c r="G862" s="82"/>
      <c r="I862" s="82"/>
      <c r="K862" s="82"/>
    </row>
    <row r="863">
      <c r="C863" s="82"/>
      <c r="E863" s="82"/>
      <c r="G863" s="82"/>
      <c r="I863" s="82"/>
      <c r="K863" s="82"/>
    </row>
    <row r="864">
      <c r="C864" s="82"/>
      <c r="E864" s="82"/>
      <c r="G864" s="82"/>
      <c r="I864" s="82"/>
      <c r="K864" s="82"/>
    </row>
    <row r="865">
      <c r="C865" s="82"/>
      <c r="E865" s="82"/>
      <c r="G865" s="82"/>
      <c r="I865" s="82"/>
      <c r="K865" s="82"/>
    </row>
    <row r="866">
      <c r="C866" s="82"/>
      <c r="E866" s="82"/>
      <c r="G866" s="82"/>
      <c r="I866" s="82"/>
      <c r="K866" s="82"/>
    </row>
    <row r="867">
      <c r="C867" s="82"/>
      <c r="E867" s="82"/>
      <c r="G867" s="82"/>
      <c r="I867" s="82"/>
      <c r="K867" s="82"/>
    </row>
    <row r="868">
      <c r="C868" s="82"/>
      <c r="E868" s="82"/>
      <c r="G868" s="82"/>
      <c r="I868" s="82"/>
      <c r="K868" s="82"/>
    </row>
    <row r="869">
      <c r="C869" s="82"/>
      <c r="E869" s="82"/>
      <c r="G869" s="82"/>
      <c r="I869" s="82"/>
      <c r="K869" s="82"/>
    </row>
    <row r="870">
      <c r="C870" s="82"/>
      <c r="E870" s="82"/>
      <c r="G870" s="82"/>
      <c r="I870" s="82"/>
      <c r="K870" s="82"/>
    </row>
    <row r="871">
      <c r="C871" s="82"/>
      <c r="E871" s="82"/>
      <c r="G871" s="82"/>
      <c r="I871" s="82"/>
      <c r="K871" s="82"/>
    </row>
    <row r="872">
      <c r="C872" s="82"/>
      <c r="E872" s="82"/>
      <c r="G872" s="82"/>
      <c r="I872" s="82"/>
      <c r="K872" s="82"/>
    </row>
    <row r="873">
      <c r="C873" s="82"/>
      <c r="E873" s="82"/>
      <c r="G873" s="82"/>
      <c r="I873" s="82"/>
      <c r="K873" s="82"/>
    </row>
    <row r="874">
      <c r="C874" s="82"/>
      <c r="E874" s="82"/>
      <c r="G874" s="82"/>
      <c r="I874" s="82"/>
      <c r="K874" s="82"/>
    </row>
    <row r="875">
      <c r="C875" s="82"/>
      <c r="E875" s="82"/>
      <c r="G875" s="82"/>
      <c r="I875" s="82"/>
      <c r="K875" s="82"/>
    </row>
    <row r="876">
      <c r="C876" s="82"/>
      <c r="E876" s="82"/>
      <c r="G876" s="82"/>
      <c r="I876" s="82"/>
      <c r="K876" s="82"/>
    </row>
    <row r="877">
      <c r="C877" s="82"/>
      <c r="E877" s="82"/>
      <c r="G877" s="82"/>
      <c r="I877" s="82"/>
      <c r="K877" s="82"/>
    </row>
    <row r="878">
      <c r="C878" s="82"/>
      <c r="E878" s="82"/>
      <c r="G878" s="82"/>
      <c r="I878" s="82"/>
      <c r="K878" s="82"/>
    </row>
    <row r="879">
      <c r="C879" s="82"/>
      <c r="E879" s="82"/>
      <c r="G879" s="82"/>
      <c r="I879" s="82"/>
      <c r="K879" s="82"/>
    </row>
    <row r="880">
      <c r="C880" s="82"/>
      <c r="E880" s="82"/>
      <c r="G880" s="82"/>
      <c r="I880" s="82"/>
      <c r="K880" s="82"/>
    </row>
    <row r="881">
      <c r="C881" s="82"/>
      <c r="E881" s="82"/>
      <c r="G881" s="82"/>
      <c r="I881" s="82"/>
      <c r="K881" s="82"/>
    </row>
    <row r="882">
      <c r="C882" s="82"/>
      <c r="E882" s="82"/>
      <c r="G882" s="82"/>
      <c r="I882" s="82"/>
      <c r="K882" s="82"/>
    </row>
    <row r="883">
      <c r="C883" s="82"/>
      <c r="E883" s="82"/>
      <c r="G883" s="82"/>
      <c r="I883" s="82"/>
      <c r="K883" s="82"/>
    </row>
    <row r="884">
      <c r="C884" s="82"/>
      <c r="E884" s="82"/>
      <c r="G884" s="82"/>
      <c r="I884" s="82"/>
      <c r="K884" s="82"/>
    </row>
    <row r="885">
      <c r="C885" s="82"/>
      <c r="E885" s="82"/>
      <c r="G885" s="82"/>
      <c r="I885" s="82"/>
      <c r="K885" s="82"/>
    </row>
    <row r="886">
      <c r="C886" s="82"/>
      <c r="E886" s="82"/>
      <c r="G886" s="82"/>
      <c r="I886" s="82"/>
      <c r="K886" s="82"/>
    </row>
    <row r="887">
      <c r="C887" s="82"/>
      <c r="E887" s="82"/>
      <c r="G887" s="82"/>
      <c r="I887" s="82"/>
      <c r="K887" s="82"/>
    </row>
    <row r="888">
      <c r="C888" s="82"/>
      <c r="E888" s="82"/>
      <c r="G888" s="82"/>
      <c r="I888" s="82"/>
      <c r="K888" s="82"/>
    </row>
    <row r="889">
      <c r="C889" s="82"/>
      <c r="E889" s="82"/>
      <c r="G889" s="82"/>
      <c r="I889" s="82"/>
      <c r="K889" s="82"/>
    </row>
    <row r="890">
      <c r="C890" s="82"/>
      <c r="E890" s="82"/>
      <c r="G890" s="82"/>
      <c r="I890" s="82"/>
      <c r="K890" s="82"/>
    </row>
    <row r="891">
      <c r="C891" s="82"/>
      <c r="E891" s="82"/>
      <c r="G891" s="82"/>
      <c r="I891" s="82"/>
      <c r="K891" s="82"/>
    </row>
    <row r="892">
      <c r="C892" s="82"/>
      <c r="E892" s="82"/>
      <c r="G892" s="82"/>
      <c r="I892" s="82"/>
      <c r="K892" s="82"/>
    </row>
    <row r="893">
      <c r="C893" s="82"/>
      <c r="E893" s="82"/>
      <c r="G893" s="82"/>
      <c r="I893" s="82"/>
      <c r="K893" s="82"/>
    </row>
    <row r="894">
      <c r="C894" s="82"/>
      <c r="E894" s="82"/>
      <c r="G894" s="82"/>
      <c r="I894" s="82"/>
      <c r="K894" s="82"/>
    </row>
    <row r="895">
      <c r="C895" s="82"/>
      <c r="E895" s="82"/>
      <c r="G895" s="82"/>
      <c r="I895" s="82"/>
      <c r="K895" s="82"/>
    </row>
    <row r="896">
      <c r="C896" s="82"/>
      <c r="E896" s="82"/>
      <c r="G896" s="82"/>
      <c r="I896" s="82"/>
      <c r="K896" s="82"/>
    </row>
    <row r="897">
      <c r="C897" s="82"/>
      <c r="E897" s="82"/>
      <c r="G897" s="82"/>
      <c r="I897" s="82"/>
      <c r="K897" s="82"/>
    </row>
    <row r="898">
      <c r="C898" s="82"/>
      <c r="E898" s="82"/>
      <c r="G898" s="82"/>
      <c r="I898" s="82"/>
      <c r="K898" s="82"/>
    </row>
    <row r="899">
      <c r="C899" s="82"/>
      <c r="E899" s="82"/>
      <c r="G899" s="82"/>
      <c r="I899" s="82"/>
      <c r="K899" s="82"/>
    </row>
    <row r="900">
      <c r="C900" s="82"/>
      <c r="E900" s="82"/>
      <c r="G900" s="82"/>
      <c r="I900" s="82"/>
      <c r="K900" s="82"/>
    </row>
    <row r="901">
      <c r="C901" s="82"/>
      <c r="E901" s="82"/>
      <c r="G901" s="82"/>
      <c r="I901" s="82"/>
      <c r="K901" s="82"/>
    </row>
    <row r="902">
      <c r="C902" s="82"/>
      <c r="E902" s="82"/>
      <c r="G902" s="82"/>
      <c r="I902" s="82"/>
      <c r="K902" s="82"/>
    </row>
    <row r="903">
      <c r="C903" s="82"/>
      <c r="E903" s="82"/>
      <c r="G903" s="82"/>
      <c r="I903" s="82"/>
      <c r="K903" s="82"/>
    </row>
    <row r="904">
      <c r="C904" s="82"/>
      <c r="E904" s="82"/>
      <c r="G904" s="82"/>
      <c r="I904" s="82"/>
      <c r="K904" s="82"/>
    </row>
    <row r="905">
      <c r="C905" s="82"/>
      <c r="E905" s="82"/>
      <c r="G905" s="82"/>
      <c r="I905" s="82"/>
      <c r="K905" s="82"/>
    </row>
    <row r="906">
      <c r="C906" s="82"/>
      <c r="E906" s="82"/>
      <c r="G906" s="82"/>
      <c r="I906" s="82"/>
      <c r="K906" s="82"/>
    </row>
    <row r="907">
      <c r="C907" s="82"/>
      <c r="E907" s="82"/>
      <c r="G907" s="82"/>
      <c r="I907" s="82"/>
      <c r="K907" s="82"/>
    </row>
    <row r="908">
      <c r="C908" s="82"/>
      <c r="E908" s="82"/>
      <c r="G908" s="82"/>
      <c r="I908" s="82"/>
      <c r="K908" s="82"/>
    </row>
    <row r="909">
      <c r="C909" s="82"/>
      <c r="E909" s="82"/>
      <c r="G909" s="82"/>
      <c r="I909" s="82"/>
      <c r="K909" s="82"/>
    </row>
    <row r="910">
      <c r="C910" s="82"/>
      <c r="E910" s="82"/>
      <c r="G910" s="82"/>
      <c r="I910" s="82"/>
      <c r="K910" s="82"/>
    </row>
    <row r="911">
      <c r="C911" s="82"/>
      <c r="E911" s="82"/>
      <c r="G911" s="82"/>
      <c r="I911" s="82"/>
      <c r="K911" s="82"/>
    </row>
    <row r="912">
      <c r="C912" s="82"/>
      <c r="E912" s="82"/>
      <c r="G912" s="82"/>
      <c r="I912" s="82"/>
      <c r="K912" s="82"/>
    </row>
    <row r="913">
      <c r="C913" s="82"/>
      <c r="E913" s="82"/>
      <c r="G913" s="82"/>
      <c r="I913" s="82"/>
      <c r="K913" s="82"/>
    </row>
    <row r="914">
      <c r="C914" s="82"/>
      <c r="E914" s="82"/>
      <c r="G914" s="82"/>
      <c r="I914" s="82"/>
      <c r="K914" s="82"/>
    </row>
    <row r="915">
      <c r="C915" s="82"/>
      <c r="E915" s="82"/>
      <c r="G915" s="82"/>
      <c r="I915" s="82"/>
      <c r="K915" s="82"/>
    </row>
    <row r="916">
      <c r="C916" s="82"/>
      <c r="E916" s="82"/>
      <c r="G916" s="82"/>
      <c r="I916" s="82"/>
      <c r="K916" s="82"/>
    </row>
    <row r="917">
      <c r="C917" s="82"/>
      <c r="E917" s="82"/>
      <c r="G917" s="82"/>
      <c r="I917" s="82"/>
      <c r="K917" s="82"/>
    </row>
    <row r="918">
      <c r="C918" s="82"/>
      <c r="E918" s="82"/>
      <c r="G918" s="82"/>
      <c r="I918" s="82"/>
      <c r="K918" s="82"/>
    </row>
    <row r="919">
      <c r="C919" s="82"/>
      <c r="E919" s="82"/>
      <c r="G919" s="82"/>
      <c r="I919" s="82"/>
      <c r="K919" s="82"/>
    </row>
    <row r="920">
      <c r="C920" s="82"/>
      <c r="E920" s="82"/>
      <c r="G920" s="82"/>
      <c r="I920" s="82"/>
      <c r="K920" s="82"/>
    </row>
    <row r="921">
      <c r="C921" s="82"/>
      <c r="E921" s="82"/>
      <c r="G921" s="82"/>
      <c r="I921" s="82"/>
      <c r="K921" s="82"/>
    </row>
    <row r="922">
      <c r="C922" s="82"/>
      <c r="E922" s="82"/>
      <c r="G922" s="82"/>
      <c r="I922" s="82"/>
      <c r="K922" s="82"/>
    </row>
    <row r="923">
      <c r="C923" s="82"/>
      <c r="E923" s="82"/>
      <c r="G923" s="82"/>
      <c r="I923" s="82"/>
      <c r="K923" s="82"/>
    </row>
    <row r="924">
      <c r="C924" s="82"/>
      <c r="E924" s="82"/>
      <c r="G924" s="82"/>
      <c r="I924" s="82"/>
      <c r="K924" s="82"/>
    </row>
    <row r="925">
      <c r="C925" s="82"/>
      <c r="E925" s="82"/>
      <c r="G925" s="82"/>
      <c r="I925" s="82"/>
      <c r="K925" s="82"/>
    </row>
    <row r="926">
      <c r="C926" s="82"/>
      <c r="E926" s="82"/>
      <c r="G926" s="82"/>
      <c r="I926" s="82"/>
      <c r="K926" s="82"/>
    </row>
    <row r="927">
      <c r="C927" s="82"/>
      <c r="E927" s="82"/>
      <c r="G927" s="82"/>
      <c r="I927" s="82"/>
      <c r="K927" s="82"/>
    </row>
    <row r="928">
      <c r="C928" s="82"/>
      <c r="E928" s="82"/>
      <c r="G928" s="82"/>
      <c r="I928" s="82"/>
      <c r="K928" s="82"/>
    </row>
    <row r="929">
      <c r="C929" s="82"/>
      <c r="E929" s="82"/>
      <c r="G929" s="82"/>
      <c r="I929" s="82"/>
      <c r="K929" s="82"/>
    </row>
    <row r="930">
      <c r="C930" s="82"/>
      <c r="E930" s="82"/>
      <c r="G930" s="82"/>
      <c r="I930" s="82"/>
      <c r="K930" s="82"/>
    </row>
    <row r="931">
      <c r="C931" s="82"/>
      <c r="E931" s="82"/>
      <c r="G931" s="82"/>
      <c r="I931" s="82"/>
      <c r="K931" s="82"/>
    </row>
    <row r="932">
      <c r="C932" s="82"/>
      <c r="E932" s="82"/>
      <c r="G932" s="82"/>
      <c r="I932" s="82"/>
      <c r="K932" s="82"/>
    </row>
    <row r="933">
      <c r="C933" s="82"/>
      <c r="E933" s="82"/>
      <c r="G933" s="82"/>
      <c r="I933" s="82"/>
      <c r="K933" s="82"/>
    </row>
    <row r="934">
      <c r="C934" s="82"/>
      <c r="E934" s="82"/>
      <c r="G934" s="82"/>
      <c r="I934" s="82"/>
      <c r="K934" s="82"/>
    </row>
    <row r="935">
      <c r="C935" s="82"/>
      <c r="E935" s="82"/>
      <c r="G935" s="82"/>
      <c r="I935" s="82"/>
      <c r="K935" s="82"/>
    </row>
    <row r="936">
      <c r="C936" s="82"/>
      <c r="E936" s="82"/>
      <c r="G936" s="82"/>
      <c r="I936" s="82"/>
      <c r="K936" s="82"/>
    </row>
    <row r="937">
      <c r="C937" s="82"/>
      <c r="E937" s="82"/>
      <c r="G937" s="82"/>
      <c r="I937" s="82"/>
      <c r="K937" s="82"/>
    </row>
    <row r="938">
      <c r="C938" s="82"/>
      <c r="E938" s="82"/>
      <c r="G938" s="82"/>
      <c r="I938" s="82"/>
      <c r="K938" s="82"/>
    </row>
    <row r="939">
      <c r="C939" s="82"/>
      <c r="E939" s="82"/>
      <c r="G939" s="82"/>
      <c r="I939" s="82"/>
      <c r="K939" s="82"/>
    </row>
    <row r="940">
      <c r="C940" s="82"/>
      <c r="E940" s="82"/>
      <c r="G940" s="82"/>
      <c r="I940" s="82"/>
      <c r="K940" s="82"/>
    </row>
    <row r="941">
      <c r="C941" s="82"/>
      <c r="E941" s="82"/>
      <c r="G941" s="82"/>
      <c r="I941" s="82"/>
      <c r="K941" s="82"/>
    </row>
    <row r="942">
      <c r="C942" s="82"/>
      <c r="E942" s="82"/>
      <c r="G942" s="82"/>
      <c r="I942" s="82"/>
      <c r="K942" s="82"/>
    </row>
    <row r="943">
      <c r="C943" s="82"/>
      <c r="E943" s="82"/>
      <c r="G943" s="82"/>
      <c r="I943" s="82"/>
      <c r="K943" s="82"/>
    </row>
    <row r="944">
      <c r="C944" s="82"/>
      <c r="E944" s="82"/>
      <c r="G944" s="82"/>
      <c r="I944" s="82"/>
      <c r="K944" s="82"/>
    </row>
    <row r="945">
      <c r="C945" s="82"/>
      <c r="E945" s="82"/>
      <c r="G945" s="82"/>
      <c r="I945" s="82"/>
      <c r="K945" s="82"/>
    </row>
    <row r="946">
      <c r="C946" s="82"/>
      <c r="E946" s="82"/>
      <c r="G946" s="82"/>
      <c r="I946" s="82"/>
      <c r="K946" s="82"/>
    </row>
    <row r="947">
      <c r="C947" s="82"/>
      <c r="E947" s="82"/>
      <c r="G947" s="82"/>
      <c r="I947" s="82"/>
      <c r="K947" s="82"/>
    </row>
    <row r="948">
      <c r="C948" s="82"/>
      <c r="E948" s="82"/>
      <c r="G948" s="82"/>
      <c r="I948" s="82"/>
      <c r="K948" s="82"/>
    </row>
    <row r="949">
      <c r="C949" s="82"/>
      <c r="E949" s="82"/>
      <c r="G949" s="82"/>
      <c r="I949" s="82"/>
      <c r="K949" s="82"/>
    </row>
    <row r="950">
      <c r="C950" s="82"/>
      <c r="E950" s="82"/>
      <c r="G950" s="82"/>
      <c r="I950" s="82"/>
      <c r="K950" s="82"/>
    </row>
    <row r="951">
      <c r="C951" s="82"/>
      <c r="E951" s="82"/>
      <c r="G951" s="82"/>
      <c r="I951" s="82"/>
      <c r="K951" s="82"/>
    </row>
    <row r="952">
      <c r="C952" s="82"/>
      <c r="E952" s="82"/>
      <c r="G952" s="82"/>
      <c r="I952" s="82"/>
      <c r="K952" s="82"/>
    </row>
    <row r="953">
      <c r="C953" s="82"/>
      <c r="E953" s="82"/>
      <c r="G953" s="82"/>
      <c r="I953" s="82"/>
      <c r="K953" s="82"/>
    </row>
    <row r="954">
      <c r="C954" s="82"/>
      <c r="E954" s="82"/>
      <c r="G954" s="82"/>
      <c r="I954" s="82"/>
      <c r="K954" s="82"/>
    </row>
    <row r="955">
      <c r="C955" s="82"/>
      <c r="E955" s="82"/>
      <c r="G955" s="82"/>
      <c r="I955" s="82"/>
      <c r="K955" s="82"/>
    </row>
    <row r="956">
      <c r="C956" s="82"/>
      <c r="E956" s="82"/>
      <c r="G956" s="82"/>
      <c r="I956" s="82"/>
      <c r="K956" s="82"/>
    </row>
    <row r="957">
      <c r="C957" s="82"/>
      <c r="E957" s="82"/>
      <c r="G957" s="82"/>
      <c r="I957" s="82"/>
      <c r="K957" s="82"/>
    </row>
    <row r="958">
      <c r="C958" s="82"/>
      <c r="E958" s="82"/>
      <c r="G958" s="82"/>
      <c r="I958" s="82"/>
      <c r="K958" s="82"/>
    </row>
    <row r="959">
      <c r="C959" s="82"/>
      <c r="E959" s="82"/>
      <c r="G959" s="82"/>
      <c r="I959" s="82"/>
      <c r="K959" s="82"/>
    </row>
    <row r="960">
      <c r="C960" s="82"/>
      <c r="E960" s="82"/>
      <c r="G960" s="82"/>
      <c r="I960" s="82"/>
      <c r="K960" s="82"/>
    </row>
    <row r="961">
      <c r="C961" s="82"/>
      <c r="E961" s="82"/>
      <c r="G961" s="82"/>
      <c r="I961" s="82"/>
      <c r="K961" s="82"/>
    </row>
    <row r="962">
      <c r="C962" s="82"/>
      <c r="E962" s="82"/>
      <c r="G962" s="82"/>
      <c r="I962" s="82"/>
      <c r="K962" s="82"/>
    </row>
    <row r="963">
      <c r="C963" s="82"/>
      <c r="E963" s="82"/>
      <c r="G963" s="82"/>
      <c r="I963" s="82"/>
      <c r="K963" s="82"/>
    </row>
    <row r="964">
      <c r="C964" s="82"/>
      <c r="E964" s="82"/>
      <c r="G964" s="82"/>
      <c r="I964" s="82"/>
      <c r="K964" s="82"/>
    </row>
    <row r="965">
      <c r="C965" s="82"/>
      <c r="E965" s="82"/>
      <c r="G965" s="82"/>
      <c r="I965" s="82"/>
      <c r="K965" s="82"/>
    </row>
    <row r="966">
      <c r="C966" s="82"/>
      <c r="E966" s="82"/>
      <c r="G966" s="82"/>
      <c r="I966" s="82"/>
      <c r="K966" s="82"/>
    </row>
    <row r="967">
      <c r="C967" s="82"/>
      <c r="E967" s="82"/>
      <c r="G967" s="82"/>
      <c r="I967" s="82"/>
      <c r="K967" s="82"/>
    </row>
    <row r="968">
      <c r="C968" s="82"/>
      <c r="E968" s="82"/>
      <c r="G968" s="82"/>
      <c r="I968" s="82"/>
      <c r="K968" s="82"/>
    </row>
    <row r="969">
      <c r="C969" s="82"/>
      <c r="E969" s="82"/>
      <c r="G969" s="82"/>
      <c r="I969" s="82"/>
      <c r="K969" s="82"/>
    </row>
    <row r="970">
      <c r="C970" s="82"/>
      <c r="E970" s="82"/>
      <c r="G970" s="82"/>
      <c r="I970" s="82"/>
      <c r="K970" s="82"/>
    </row>
    <row r="971">
      <c r="C971" s="82"/>
      <c r="E971" s="82"/>
      <c r="G971" s="82"/>
      <c r="I971" s="82"/>
      <c r="K971" s="82"/>
    </row>
    <row r="972">
      <c r="C972" s="82"/>
      <c r="E972" s="82"/>
      <c r="G972" s="82"/>
      <c r="I972" s="82"/>
      <c r="K972" s="82"/>
    </row>
    <row r="973">
      <c r="C973" s="82"/>
      <c r="E973" s="82"/>
      <c r="G973" s="82"/>
      <c r="I973" s="82"/>
      <c r="K973" s="82"/>
    </row>
    <row r="974">
      <c r="C974" s="82"/>
      <c r="E974" s="82"/>
      <c r="G974" s="82"/>
      <c r="I974" s="82"/>
      <c r="K974" s="82"/>
    </row>
    <row r="975">
      <c r="C975" s="82"/>
      <c r="E975" s="82"/>
      <c r="G975" s="82"/>
      <c r="I975" s="82"/>
      <c r="K975" s="82"/>
    </row>
    <row r="976">
      <c r="C976" s="82"/>
      <c r="E976" s="82"/>
      <c r="G976" s="82"/>
      <c r="I976" s="82"/>
      <c r="K976" s="82"/>
    </row>
    <row r="977">
      <c r="C977" s="82"/>
      <c r="E977" s="82"/>
      <c r="G977" s="82"/>
      <c r="I977" s="82"/>
      <c r="K977" s="82"/>
    </row>
    <row r="978">
      <c r="C978" s="82"/>
      <c r="E978" s="82"/>
      <c r="G978" s="82"/>
      <c r="I978" s="82"/>
      <c r="K978" s="82"/>
    </row>
    <row r="979">
      <c r="C979" s="82"/>
      <c r="E979" s="82"/>
      <c r="G979" s="82"/>
      <c r="I979" s="82"/>
      <c r="K979" s="82"/>
    </row>
    <row r="980">
      <c r="C980" s="82"/>
      <c r="E980" s="82"/>
      <c r="G980" s="82"/>
      <c r="I980" s="82"/>
      <c r="K980" s="82"/>
    </row>
    <row r="981">
      <c r="C981" s="82"/>
      <c r="E981" s="82"/>
      <c r="G981" s="82"/>
      <c r="I981" s="82"/>
      <c r="K981" s="82"/>
    </row>
    <row r="982">
      <c r="C982" s="82"/>
      <c r="E982" s="82"/>
      <c r="G982" s="82"/>
      <c r="I982" s="82"/>
      <c r="K982" s="82"/>
    </row>
    <row r="983">
      <c r="C983" s="82"/>
      <c r="E983" s="82"/>
      <c r="G983" s="82"/>
      <c r="I983" s="82"/>
      <c r="K983" s="82"/>
    </row>
    <row r="984">
      <c r="C984" s="82"/>
      <c r="E984" s="82"/>
      <c r="G984" s="82"/>
      <c r="I984" s="82"/>
      <c r="K984" s="82"/>
    </row>
    <row r="985">
      <c r="C985" s="82"/>
      <c r="E985" s="82"/>
      <c r="G985" s="82"/>
      <c r="I985" s="82"/>
      <c r="K985" s="82"/>
    </row>
    <row r="986">
      <c r="C986" s="82"/>
      <c r="E986" s="82"/>
      <c r="G986" s="82"/>
      <c r="I986" s="82"/>
      <c r="K986" s="82"/>
    </row>
    <row r="987">
      <c r="C987" s="82"/>
      <c r="E987" s="82"/>
      <c r="G987" s="82"/>
      <c r="I987" s="82"/>
      <c r="K987" s="82"/>
    </row>
    <row r="988">
      <c r="C988" s="82"/>
      <c r="E988" s="82"/>
      <c r="G988" s="82"/>
      <c r="I988" s="82"/>
      <c r="K988" s="82"/>
    </row>
    <row r="989">
      <c r="C989" s="82"/>
      <c r="E989" s="82"/>
      <c r="G989" s="82"/>
      <c r="I989" s="82"/>
      <c r="K989" s="82"/>
    </row>
    <row r="990">
      <c r="C990" s="82"/>
      <c r="E990" s="82"/>
      <c r="G990" s="82"/>
      <c r="I990" s="82"/>
      <c r="K990" s="82"/>
    </row>
    <row r="991">
      <c r="C991" s="82"/>
      <c r="E991" s="82"/>
      <c r="G991" s="82"/>
      <c r="I991" s="82"/>
      <c r="K991" s="82"/>
    </row>
    <row r="992">
      <c r="C992" s="82"/>
      <c r="E992" s="82"/>
      <c r="G992" s="82"/>
      <c r="I992" s="82"/>
      <c r="K992" s="82"/>
    </row>
    <row r="993">
      <c r="C993" s="82"/>
      <c r="E993" s="82"/>
      <c r="G993" s="82"/>
      <c r="I993" s="82"/>
      <c r="K993" s="82"/>
    </row>
    <row r="994">
      <c r="C994" s="82"/>
      <c r="E994" s="82"/>
      <c r="G994" s="82"/>
      <c r="I994" s="82"/>
      <c r="K994" s="82"/>
    </row>
    <row r="995">
      <c r="C995" s="82"/>
      <c r="E995" s="82"/>
      <c r="G995" s="82"/>
      <c r="I995" s="82"/>
      <c r="K995" s="82"/>
    </row>
    <row r="996">
      <c r="C996" s="82"/>
      <c r="E996" s="82"/>
      <c r="G996" s="82"/>
      <c r="I996" s="82"/>
      <c r="K996" s="82"/>
    </row>
    <row r="997">
      <c r="C997" s="82"/>
      <c r="E997" s="82"/>
      <c r="G997" s="82"/>
      <c r="I997" s="82"/>
      <c r="K997" s="82"/>
    </row>
    <row r="998">
      <c r="C998" s="82"/>
      <c r="E998" s="82"/>
      <c r="G998" s="82"/>
      <c r="I998" s="82"/>
      <c r="K998" s="82"/>
    </row>
    <row r="999">
      <c r="C999" s="82"/>
      <c r="E999" s="82"/>
      <c r="G999" s="82"/>
      <c r="I999" s="82"/>
      <c r="K999" s="82"/>
    </row>
    <row r="1000">
      <c r="C1000" s="82"/>
      <c r="E1000" s="82"/>
      <c r="G1000" s="82"/>
      <c r="I1000" s="82"/>
      <c r="K1000" s="82"/>
    </row>
    <row r="1001">
      <c r="C1001" s="82"/>
      <c r="E1001" s="82"/>
      <c r="G1001" s="82"/>
      <c r="I1001" s="82"/>
      <c r="K1001" s="82"/>
    </row>
    <row r="1002">
      <c r="C1002" s="82"/>
      <c r="E1002" s="82"/>
      <c r="G1002" s="82"/>
      <c r="I1002" s="82"/>
      <c r="K1002" s="82"/>
    </row>
    <row r="1003">
      <c r="C1003" s="82"/>
      <c r="E1003" s="82"/>
      <c r="G1003" s="82"/>
      <c r="I1003" s="82"/>
      <c r="K1003" s="82"/>
    </row>
    <row r="1004">
      <c r="C1004" s="82"/>
      <c r="E1004" s="82"/>
      <c r="G1004" s="82"/>
      <c r="I1004" s="82"/>
      <c r="K1004" s="82"/>
    </row>
    <row r="1005">
      <c r="C1005" s="82"/>
      <c r="E1005" s="82"/>
      <c r="G1005" s="82"/>
      <c r="I1005" s="82"/>
      <c r="K1005" s="82"/>
    </row>
    <row r="1006">
      <c r="C1006" s="82"/>
      <c r="E1006" s="82"/>
      <c r="G1006" s="82"/>
      <c r="I1006" s="82"/>
      <c r="K1006" s="82"/>
    </row>
    <row r="1007">
      <c r="C1007" s="82"/>
      <c r="E1007" s="82"/>
      <c r="G1007" s="82"/>
      <c r="I1007" s="82"/>
      <c r="K1007" s="82"/>
    </row>
    <row r="1008">
      <c r="C1008" s="82"/>
      <c r="E1008" s="82"/>
      <c r="G1008" s="82"/>
      <c r="I1008" s="82"/>
      <c r="K1008" s="82"/>
    </row>
    <row r="1009">
      <c r="C1009" s="82"/>
      <c r="E1009" s="82"/>
      <c r="G1009" s="82"/>
      <c r="I1009" s="82"/>
      <c r="K1009" s="82"/>
    </row>
    <row r="1010">
      <c r="C1010" s="82"/>
      <c r="E1010" s="82"/>
      <c r="G1010" s="82"/>
      <c r="I1010" s="82"/>
      <c r="K1010" s="82"/>
    </row>
    <row r="1011">
      <c r="C1011" s="82"/>
      <c r="E1011" s="82"/>
      <c r="G1011" s="82"/>
      <c r="I1011" s="82"/>
      <c r="K1011" s="82"/>
    </row>
    <row r="1012">
      <c r="C1012" s="82"/>
      <c r="E1012" s="82"/>
      <c r="G1012" s="82"/>
      <c r="I1012" s="82"/>
      <c r="K1012" s="82"/>
    </row>
    <row r="1013">
      <c r="C1013" s="82"/>
      <c r="E1013" s="82"/>
      <c r="G1013" s="82"/>
      <c r="I1013" s="82"/>
      <c r="K1013" s="82"/>
    </row>
    <row r="1014">
      <c r="C1014" s="82"/>
      <c r="E1014" s="82"/>
      <c r="G1014" s="82"/>
      <c r="I1014" s="82"/>
      <c r="K1014" s="82"/>
    </row>
    <row r="1015">
      <c r="C1015" s="82"/>
      <c r="E1015" s="82"/>
      <c r="G1015" s="82"/>
      <c r="I1015" s="82"/>
      <c r="K1015" s="82"/>
    </row>
    <row r="1016">
      <c r="C1016" s="82"/>
      <c r="E1016" s="82"/>
      <c r="G1016" s="82"/>
      <c r="I1016" s="82"/>
      <c r="K1016" s="8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13"/>
  </cols>
  <sheetData>
    <row r="1">
      <c r="A1" s="57" t="s">
        <v>11</v>
      </c>
      <c r="B1" s="26"/>
      <c r="C1" s="83" t="s">
        <v>79</v>
      </c>
      <c r="D1" s="58"/>
      <c r="E1" s="83" t="s">
        <v>80</v>
      </c>
      <c r="F1" s="58"/>
      <c r="G1" s="83" t="s">
        <v>57</v>
      </c>
      <c r="H1" s="58"/>
    </row>
    <row r="2">
      <c r="A2" s="84"/>
      <c r="B2" s="43"/>
      <c r="C2" s="83" t="s">
        <v>92</v>
      </c>
      <c r="E2" s="85" t="s">
        <v>93</v>
      </c>
      <c r="G2" s="85" t="s">
        <v>94</v>
      </c>
    </row>
    <row r="3">
      <c r="A3" s="86"/>
      <c r="B3" s="51"/>
      <c r="C3" s="87" t="s">
        <v>77</v>
      </c>
      <c r="D3" s="87" t="s">
        <v>78</v>
      </c>
      <c r="E3" s="87" t="s">
        <v>77</v>
      </c>
      <c r="F3" s="87" t="s">
        <v>78</v>
      </c>
      <c r="G3" s="87" t="s">
        <v>77</v>
      </c>
      <c r="H3" s="87" t="s">
        <v>78</v>
      </c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>
      <c r="A4" s="84" t="s">
        <v>95</v>
      </c>
      <c r="B4" s="43" t="s">
        <v>21</v>
      </c>
      <c r="C4" s="88">
        <f>IFERROR(__xludf.DUMMYFUNCTION("FILTER(
    RawData_SemEval!$B$2:$B$800, 
    REGEXMATCH(RawData_SemEval!$A$2:$A$800, ""(?i)(_|^)"" &amp; $A$1 &amp; ""(_|$)""), 
    REGEXMATCH(RawData_SemEval!$A$2:$A$800, ""(?i)"" &amp; $A4), 
    REGEXMATCH(RawData_SemEval!$A$2:$A$800, ""(?i)"" &amp; $C$1),
    NOT(R"&amp;"EGEXMATCH(RawData_SemEval!$A$2:$A$800, ""(?i)ensemble""))
  )"),0.537594490305016)</f>
        <v>0.5375944903</v>
      </c>
      <c r="D4" s="88">
        <f>IFERROR(__xludf.DUMMYFUNCTION("FILTER(RawData_SemEval!$E$2:$E$800, 
  REGEXMATCH(RawData_SemEval!$A$2:$A$800, ""(?i)(_|^)"" &amp; $A$1 &amp; ""(_|$)""), 
  REGEXMATCH(RawData_SemEval!$A$2:$A$800, ""(?i)"" &amp; $A4), 
  REGEXMATCH(RawData_SemEval!$A$2:$A$800, ""(?i)"" &amp; $C$1), 
  NOT(REGEXMATCH(Ra"&amp;"wData_SemEval!$A$2:$A$800,  ""(?i)ensemble""))
)"),0.32476797950138)</f>
        <v>0.3247679795</v>
      </c>
      <c r="E4" s="88">
        <f>IFERROR(__xludf.DUMMYFUNCTION("FILTER(
    RawData_SemEval!$B$2:$B$800, 
    REGEXMATCH(RawData_SemEval!$A$2:$A$800, ""(?i)(_|^)"" &amp; $A$1 &amp; ""(_|$)""), 
    REGEXMATCH(RawData_SemEval!$A$2:$A$800, ""(?i)"" &amp; $A4), 
    REGEXMATCH(RawData_SemEval!$A$2:$A$800, ""(?i)"" &amp; $E$1),
    NOT(R"&amp;"EGEXMATCH(RawData_SemEval!$A$2:$A$800, ""(?i)ensemble""))
  )"),0.538777572135467)</f>
        <v>0.5387775721</v>
      </c>
      <c r="F4" s="88">
        <f>IFERROR(__xludf.DUMMYFUNCTION("FILTER(RawData_SemEval!$E$2:$E$800, 
  REGEXMATCH(RawData_SemEval!$A$2:$A$800, ""(?i)(_|^)"" &amp; $A$1 &amp; ""(_|$)""), 
  REGEXMATCH(RawData_SemEval!$A$2:$A$800, ""(?i)"" &amp; $A4), 
  REGEXMATCH(RawData_SemEval!$A$2:$A$800, ""(?i)"" &amp; $E$1), 
  NOT(REGEXMATCH(Ra"&amp;"wData_SemEval!$A$2:$A$800,  ""(?i)ensemble""))
)"),0.339727953333216)</f>
        <v>0.3397279533</v>
      </c>
      <c r="G4" s="88">
        <f>IFERROR(__xludf.DUMMYFUNCTION("FILTER(
    RawData_SemEval!$B$2:$B$800, 
    REGEXMATCH(RawData_SemEval!$A$2:$A$800, ""(?i)(_|^)"" &amp; $A$1 &amp; ""(_|$)""), 
    REGEXMATCH(RawData_SemEval!$A$2:$A$800, ""(?i)"" &amp; $A4), 
    REGEXMATCH(RawData_SemEval!$A$2:$A$800, ""(?i)"" &amp; $G$1),
    NOT(R"&amp;"EGEXMATCH(RawData_SemEval!$A$2:$A$800, ""(?i)ensemble""))
  )"),0.469629994858942)</f>
        <v>0.4696299949</v>
      </c>
      <c r="H4" s="88">
        <f>IFERROR(__xludf.DUMMYFUNCTION("FILTER(RawData_SemEval!$E$2:$E$800, 
  REGEXMATCH(RawData_SemEval!$A$2:$A$800, ""(?i)(_|^)"" &amp; $A$1 &amp; ""(_|$)""), 
  REGEXMATCH(RawData_SemEval!$A$2:$A$800, ""(?i)"" &amp; $A4), 
  REGEXMATCH(RawData_SemEval!$A$2:$A$800, ""(?i)"" &amp; $G$1), 
  NOT(REGEXMATCH(Ra"&amp;"wData_SemEval!$A$2:$A$800,  ""(?i)ensemble""))
)"),0.29768447503913)</f>
        <v>0.297684475</v>
      </c>
    </row>
    <row r="5">
      <c r="A5" s="84"/>
      <c r="B5" s="43"/>
      <c r="C5" s="89" t="str">
        <f>IFERROR(__xludf.DUMMYFUNCTION("""("" &amp; 
TEXT(FILTER(RawData_SemEval!$C$2:$C$800, REGEXMATCH(RawData_SemEval!$A$2:$A$800, ""(?i)(_|^)"" &amp; $A$1 &amp; ""(_|$)""), REGEXMATCH(RawData_SemEval!$A$2:$A$800, ""(?i)"" &amp; $A4), REGEXMATCH(RawData_SemEval!$A$2:$A$800, ""(?i)"" &amp; $C$1), NOT(REGEXMATCH("&amp;"RawData_SemEval!$A$2:$A$800, ""(?i)ensemble""))), ""0.00"") &amp; 
"", "" &amp; 
TEXT(FILTER(RawData_SemEval!$D$2:$D$800, REGEXMATCH(RawData_SemEval!$A$2:$A$800, ""(?i)(_|^)"" &amp; $A$1 &amp; ""(_|$)""), REGEXMATCH(RawData_SemEval!$A$2:$A$800, ""(?i)"" &amp; $A4), REGEXMATC"&amp;"H(RawData_SemEval!$A$2:$A$800, ""(?i)"" &amp; $C$1), NOT(REGEXMATCH(RawData_SemEval!$A$2:$A$800, ""(?i)ensemble""))), ""0.00"") &amp; 
"")"""),"(0.49, 0.58)")</f>
        <v>(0.49, 0.58)</v>
      </c>
      <c r="D5" s="89" t="str">
        <f>IFERROR(__xludf.DUMMYFUNCTION("""("" &amp; 
TEXT(FILTER(RawData_SemEval!$F$2:$F$800, REGEXMATCH(RawData_SemEval!$A$2:$A$800, ""(?i)(_|^)"" &amp; $A$1 &amp; ""(_|$)""), REGEXMATCH(RawData_SemEval!$A$2:$A$800, ""(?i)"" &amp; $A4), REGEXMATCH(RawData_SemEval!$A$2:$A$800, ""(?i)"" &amp; $C$1), NOT(REGEXMATCH("&amp;"RawData_SemEval!$A$2:$A$800, ""(?i)ensemble""))), ""0.00"") &amp; 
"", "" &amp; 
TEXT(FILTER(RawData_SemEval!$G$2:$G$800, REGEXMATCH(RawData_SemEval!$A$2:$A$800, ""(?i)(_|^)"" &amp; $A$1 &amp; ""(_|$)""), REGEXMATCH(RawData_SemEval!$A$2:$A$800, ""(?i)"" &amp; $A4), REGEXMATC"&amp;"H(RawData_SemEval!$A$2:$A$800, ""(?i)"" &amp; $C$1), NOT(REGEXMATCH(RawData_SemEval!$A$2:$A$800, ""(?i)ensemble""))), ""0.00"") &amp; 
"")"""),"(0.28, 0.37)")</f>
        <v>(0.28, 0.37)</v>
      </c>
      <c r="E5" s="89" t="str">
        <f>IFERROR(__xludf.DUMMYFUNCTION("""("" &amp; 
TEXT(FILTER(RawData_SemEval!$C$2:$C$800, REGEXMATCH(RawData_SemEval!$A$2:$A$800, ""(?i)(_|^)"" &amp; $A$1 &amp; ""(_|$)""), REGEXMATCH(RawData_SemEval!$A$2:$A$800, ""(?i)"" &amp; $A4), REGEXMATCH(RawData_SemEval!$A$2:$A$800, ""(?i)"" &amp; $E$1), NOT(REGEXMATCH("&amp;"RawData_SemEval!$A$2:$A$800, ""(?i)ensemble""))), ""0.00"") &amp; 
"", "" &amp; 
TEXT(FILTER(RawData_SemEval!$D$2:$D$800, REGEXMATCH(RawData_SemEval!$A$2:$A$800, ""(?i)(_|^)"" &amp; $A$1 &amp; ""(_|$)""), REGEXMATCH(RawData_SemEval!$A$2:$A$800, ""(?i)"" &amp; $A4), REGEXMATC"&amp;"H(RawData_SemEval!$A$2:$A$800, ""(?i)"" &amp; $E$1), NOT(REGEXMATCH(RawData_SemEval!$A$2:$A$800, ""(?i)ensemble""))), ""0.00"") &amp; 
"")"""),"(0.49, 0.58)")</f>
        <v>(0.49, 0.58)</v>
      </c>
      <c r="F5" s="89" t="str">
        <f>IFERROR(__xludf.DUMMYFUNCTION("""("" &amp; 
TEXT(FILTER(RawData_SemEval!$F$2:$F$800, REGEXMATCH(RawData_SemEval!$A$2:$A$800, ""(?i)(_|^)"" &amp; $A$1 &amp; ""(_|$)""), REGEXMATCH(RawData_SemEval!$A$2:$A$800, ""(?i)"" &amp; $A4), REGEXMATCH(RawData_SemEval!$A$2:$A$800, ""(?i)"" &amp; $E$1), NOT(REGEXMATCH("&amp;"RawData_SemEval!$A$2:$A$800, ""(?i)ensemble""))), ""0.00"") &amp; 
"", "" &amp; 
TEXT(FILTER(RawData_SemEval!$G$2:$G$800, REGEXMATCH(RawData_SemEval!$A$2:$A$800, ""(?i)(_|^)"" &amp; $A$1 &amp; ""(_|$)""), REGEXMATCH(RawData_SemEval!$A$2:$A$800, ""(?i)"" &amp; $A4), REGEXMATC"&amp;"H(RawData_SemEval!$A$2:$A$800, ""(?i)"" &amp; $E$1), NOT(REGEXMATCH(RawData_SemEval!$A$2:$A$800, ""(?i)ensemble""))), ""0.00"") &amp; 
"")"""),"(0.30, 0.38)")</f>
        <v>(0.30, 0.38)</v>
      </c>
      <c r="G5" s="89" t="str">
        <f>IFERROR(__xludf.DUMMYFUNCTION("""("" &amp; 
TEXT(FILTER(RawData_SemEval!$C$2:$C$800, REGEXMATCH(RawData_SemEval!$A$2:$A$800, ""(?i)(_|^)"" &amp; $A$1 &amp; ""(_|$)""), REGEXMATCH(RawData_SemEval!$A$2:$A$800, ""(?i)"" &amp; $A4), REGEXMATCH(RawData_SemEval!$A$2:$A$800, ""(?i)"" &amp; $G$1), NOT(REGEXMATCH("&amp;"RawData_SemEval!$A$2:$A$800, ""(?i)ensemble""))), ""0.00"") &amp; 
"", "" &amp; 
TEXT(FILTER(RawData_SemEval!$D$2:$D$800, REGEXMATCH(RawData_SemEval!$A$2:$A$800, ""(?i)(_|^)"" &amp; $A$1 &amp; ""(_|$)""), REGEXMATCH(RawData_SemEval!$A$2:$A$800, ""(?i)"" &amp; $A4), REGEXMATC"&amp;"H(RawData_SemEval!$A$2:$A$800, ""(?i)"" &amp; $G$1), NOT(REGEXMATCH(RawData_SemEval!$A$2:$A$800, ""(?i)ensemble""))), ""0.00"") &amp; 
"")"""),"(0.43, 0.51)")</f>
        <v>(0.43, 0.51)</v>
      </c>
      <c r="H5" s="89" t="str">
        <f>IFERROR(__xludf.DUMMYFUNCTION("""("" &amp; 
TEXT(FILTER(RawData_SemEval!$F$2:$F$800, REGEXMATCH(RawData_SemEval!$A$2:$A$800, ""(?i)(_|^)"" &amp; $A$1 &amp; ""(_|$)""), REGEXMATCH(RawData_SemEval!$A$2:$A$800, ""(?i)"" &amp; $A4), REGEXMATCH(RawData_SemEval!$A$2:$A$800, ""(?i)"" &amp; $G$1), NOT(REGEXMATCH("&amp;"RawData_SemEval!$A$2:$A$800, ""(?i)ensemble""))), ""0.00"") &amp; 
"", "" &amp; 
TEXT(FILTER(RawData_SemEval!$G$2:$G$800, REGEXMATCH(RawData_SemEval!$A$2:$A$800, ""(?i)(_|^)"" &amp; $A$1 &amp; ""(_|$)""), REGEXMATCH(RawData_SemEval!$A$2:$A$800, ""(?i)"" &amp; $A4), REGEXMATC"&amp;"H(RawData_SemEval!$A$2:$A$800, ""(?i)"" &amp; $G$1), NOT(REGEXMATCH(RawData_SemEval!$A$2:$A$800, ""(?i)ensemble""))), ""0.00"") &amp; 
"")"""),"(0.26, 0.34)")</f>
        <v>(0.26, 0.34)</v>
      </c>
    </row>
    <row r="6">
      <c r="A6" s="84"/>
      <c r="B6" s="43" t="s">
        <v>74</v>
      </c>
      <c r="C6" s="88">
        <f>IFERROR(__xludf.DUMMYFUNCTION("FILTER(
  RawData_Ensembles!$B$2:$B$1300, 
  REGEXMATCH(RawData_Ensembles!$A$2:$A$1300, ""(?i)(_|^)"" &amp; $A$1 &amp; ""(_|$)""), 
  REGEXMATCH(RawData_Ensembles!$A$2:$A$1300, ""(?i)"" &amp; $A4), 
  REGEXMATCH(RawData_Ensembles!$A$2:$A$1300, ""(?i)"" &amp; $C$1), 
  RE"&amp;"GEXMATCH(RawData_Ensembles!$A$2:$A$1300, ""(?i)"" &amp; $B6)
)"),0.5296992481203)</f>
        <v>0.5296992481</v>
      </c>
      <c r="D6" s="88">
        <f>IFERROR(__xludf.DUMMYFUNCTION("FILTER(
  RawData_Ensembles!$C$2:$C$1300, 
  REGEXMATCH(RawData_Ensembles!$A$2:$A$1300, ""(?i)(_|^)"" &amp; $A$1 &amp; ""(_|$)""), 
  REGEXMATCH(RawData_Ensembles!$A$2:$A$1300, ""(?i)"" &amp; $A4), 
  REGEXMATCH(RawData_Ensembles!$A$2:$A$1300, ""(?i)"" &amp; $C$1), 
  RE"&amp;"GEXMATCH(RawData_Ensembles!$A$2:$A$1300, ""(?i)"" &amp; $B6)
)"),0.33095781860964)</f>
        <v>0.3309578186</v>
      </c>
      <c r="E6" s="88">
        <f>IFERROR(__xludf.DUMMYFUNCTION("FILTER(
  RawData_Ensembles!$B$2:$B$1300, 
  REGEXMATCH(RawData_Ensembles!$A$2:$A$1300, ""(?i)(_|^)"" &amp; $A$1 &amp; ""(_|$)""), 
  REGEXMATCH(RawData_Ensembles!$A$2:$A$1300, ""(?i)"" &amp; $A4), 
  REGEXMATCH(RawData_Ensembles!$A$2:$A$1300, ""(?i)"" &amp; $E$1), 
  RE"&amp;"GEXMATCH(RawData_Ensembles!$A$2:$A$1300, ""(?i)"" &amp; $B6)
)"),0.531874558190347)</f>
        <v>0.5318745582</v>
      </c>
      <c r="F6" s="88">
        <f>IFERROR(__xludf.DUMMYFUNCTION("FILTER(
  RawData_Ensembles!$C$2:$C$1300, 
  REGEXMATCH(RawData_Ensembles!$A$2:$A$1300, ""(?i)(_|^)"" &amp; $A$1 &amp; ""(_|$)""), 
  REGEXMATCH(RawData_Ensembles!$A$2:$A$1300, ""(?i)"" &amp; $A4), 
  REGEXMATCH(RawData_Ensembles!$A$2:$A$1300, ""(?i)"" &amp; $E$1), 
  RE"&amp;"GEXMATCH(RawData_Ensembles!$A$2:$A$1300, ""(?i)"" &amp; $B6)
)"),0.342842245473824)</f>
        <v>0.3428422455</v>
      </c>
      <c r="G6" s="88">
        <f>IFERROR(__xludf.DUMMYFUNCTION("FILTER(
  RawData_Ensembles!$B$2:$B$1300, 
  REGEXMATCH(RawData_Ensembles!$A$2:$A$1300, ""(?i)(_|^)"" &amp; $A$1 &amp; ""(_|$)""), 
  REGEXMATCH(RawData_Ensembles!$A$2:$A$1300, ""(?i)"" &amp; $A4), 
  REGEXMATCH(RawData_Ensembles!$A$2:$A$1300, ""(?i)"" &amp; $G$1), 
  RE"&amp;"GEXMATCH(RawData_Ensembles!$A$2:$A$1300, ""(?i)"" &amp; $B6)
)"),0.467640254482359)</f>
        <v>0.4676402545</v>
      </c>
      <c r="H6" s="88">
        <f>IFERROR(__xludf.DUMMYFUNCTION("FILTER(
  RawData_Ensembles!$C$2:$G$1300, 
  REGEXMATCH(RawData_Ensembles!$A$2:$A$1300, ""(?i)(_|^)"" &amp; $A$1 &amp; ""(_|$)""), 
  REGEXMATCH(RawData_Ensembles!$A$2:$A$1300, ""(?i)"" &amp; $A4), 
  REGEXMATCH(RawData_Ensembles!$A$2:$A$1300, ""(?i)"" &amp; $G$1), 
  RE"&amp;"GEXMATCH(RawData_Ensembles!$A$2:$A$1300, ""(?i)"" &amp; $B6)
)"),0.30534494745021)</f>
        <v>0.3053449475</v>
      </c>
      <c r="I6" s="11"/>
      <c r="J6" s="7"/>
      <c r="K6" s="11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</row>
    <row r="7">
      <c r="A7" s="84"/>
      <c r="B7" s="91" t="s">
        <v>75</v>
      </c>
      <c r="C7" s="88">
        <f>IFERROR(__xludf.DUMMYFUNCTION("FILTER(
  RawData_Ensembles!$B$2:$B$1300, 
  REGEXMATCH(RawData_Ensembles!$A$2:$A$1300, ""(?i)(_|^)"" &amp; $A$1 &amp; ""(_|$)""), 
  REGEXMATCH(RawData_Ensembles!$A$2:$A$1300, ""(?i)"" &amp; $A4), 
  REGEXMATCH(RawData_Ensembles!$A$2:$A$1300, ""(?i)"" &amp; $C$1), 
  RE"&amp;"GEXMATCH(RawData_Ensembles!$A$2:$A$1300, ""(?i)"" &amp; $B7)
)"),0.558733371891266)</f>
        <v>0.5587333719</v>
      </c>
      <c r="D7" s="88">
        <f>IFERROR(__xludf.DUMMYFUNCTION("FILTER(
  RawData_Ensembles!$C$2:$C$1300, 
  REGEXMATCH(RawData_Ensembles!$A$2:$A$1300, ""(?i)(_|^)"" &amp; $A$1 &amp; ""(_|$)""), 
  REGEXMATCH(RawData_Ensembles!$A$2:$A$1300, ""(?i)"" &amp; $A4), 
  REGEXMATCH(RawData_Ensembles!$A$2:$A$1300, ""(?i)"" &amp; $C$1), 
  RE"&amp;"GEXMATCH(RawData_Ensembles!$A$2:$A$1300, ""(?i)"" &amp; $B7)
)"),0.322183876428934)</f>
        <v>0.3221838764</v>
      </c>
      <c r="E7" s="88">
        <f>IFERROR(__xludf.DUMMYFUNCTION("FILTER(
  RawData_Ensembles!$B$2:$B$1300, 
  REGEXMATCH(RawData_Ensembles!$A$2:$A$1300, ""(?i)(_|^)"" &amp; $A$1 &amp; ""(_|$)""), 
  REGEXMATCH(RawData_Ensembles!$A$2:$A$1300, ""(?i)"" &amp; $A4), 
  REGEXMATCH(RawData_Ensembles!$A$2:$A$1300, ""(?i)"" &amp; $E$1), 
  RE"&amp;"GEXMATCH(RawData_Ensembles!$A$2:$A$1300, ""(?i)"" &amp; $B7)
)"),0.563499366130945)</f>
        <v>0.5634993661</v>
      </c>
      <c r="F7" s="88">
        <f>IFERROR(__xludf.DUMMYFUNCTION("FILTER(
  RawData_Ensembles!$C$2:$C$1300, 
  REGEXMATCH(RawData_Ensembles!$A$2:$A$1300, ""(?i)(_|^)"" &amp; $A$1 &amp; ""(_|$)""), 
  REGEXMATCH(RawData_Ensembles!$A$2:$A$1300, ""(?i)"" &amp; $A4), 
  REGEXMATCH(RawData_Ensembles!$A$2:$A$1300, ""(?i)"" &amp; $E$1), 
  RE"&amp;"GEXMATCH(RawData_Ensembles!$A$2:$A$1300, ""(?i)"" &amp; $B7)
)"),0.342174177599278)</f>
        <v>0.3421741776</v>
      </c>
      <c r="G7" s="88">
        <f>IFERROR(__xludf.DUMMYFUNCTION("FILTER(
  RawData_Ensembles!$B$2:$B$1300, 
  REGEXMATCH(RawData_Ensembles!$A$2:$A$1300, ""(?i)(_|^)"" &amp; $A$1 &amp; ""(_|$)""), 
  REGEXMATCH(RawData_Ensembles!$A$2:$A$1300, ""(?i)"" &amp; $A4), 
  REGEXMATCH(RawData_Ensembles!$A$2:$A$1300, ""(?i)"" &amp; $G$1), 
  RE"&amp;"GEXMATCH(RawData_Ensembles!$A$2:$A$1300, ""(?i)"" &amp; $B7)
)"),0.474546214019898)</f>
        <v>0.474546214</v>
      </c>
      <c r="H7" s="88">
        <f>IFERROR(__xludf.DUMMYFUNCTION("FILTER(
  RawData_Ensembles!$C$2:$G$1300, 
  REGEXMATCH(RawData_Ensembles!$A$2:$A$1300, ""(?i)(_|^)"" &amp; $A$1 &amp; ""(_|$)""), 
  REGEXMATCH(RawData_Ensembles!$A$2:$A$1300, ""(?i)"" &amp; $A4), 
  REGEXMATCH(RawData_Ensembles!$A$2:$A$1300, ""(?i)"" &amp; $G$1), 
  RE"&amp;"GEXMATCH(RawData_Ensembles!$A$2:$A$1300, ""(?i)"" &amp; $B7)
)"),0.299217628974713)</f>
        <v>0.299217629</v>
      </c>
      <c r="I7" s="11"/>
      <c r="J7" s="11"/>
      <c r="K7" s="11"/>
      <c r="L7" s="11"/>
    </row>
    <row r="8">
      <c r="A8" s="84" t="s">
        <v>196</v>
      </c>
      <c r="B8" s="26" t="s">
        <v>26</v>
      </c>
      <c r="C8" s="88">
        <f>IFERROR(__xludf.DUMMYFUNCTION("FILTER(
    RawData_SemEval!$B$2:$B$800, 
    REGEXMATCH(RawData_SemEval!$A$2:$A$800, ""(?i)(_|^)"" &amp; $A$1 &amp; ""(_|$)""), 
    REGEXMATCH(RawData_SemEval!$A$2:$A$800, ""(?i)"" &amp; $A8), 
    REGEXMATCH(RawData_SemEval!$A$2:$A$800, ""(?i)"" &amp; $C$1),
    NOT(R"&amp;"EGEXMATCH(RawData_SemEval!$A$2:$A$800, ""(?i)ensemble""))
  )"),0.509893371248634)</f>
        <v>0.5098933712</v>
      </c>
      <c r="D8" s="88">
        <f>IFERROR(__xludf.DUMMYFUNCTION("FILTER(RawData_SemEval!$E$2:$E$800, 
  REGEXMATCH(RawData_SemEval!$A$2:$A$800, ""(?i)(_|^)"" &amp; $A$1 &amp; ""(_|$)""), 
  REGEXMATCH(RawData_SemEval!$A$2:$A$800, ""(?i)"" &amp; $A8), 
  REGEXMATCH(RawData_SemEval!$A$2:$A$800, ""(?i)"" &amp; $C$1), 
  NOT(REGEXMATCH(Ra"&amp;"wData_SemEval!$A$2:$A$800,  ""(?i)ensemble""))
)"),0.311016641253483)</f>
        <v>0.3110166413</v>
      </c>
      <c r="E8" s="88">
        <f>IFERROR(__xludf.DUMMYFUNCTION("FILTER(
    RawData_SemEval!$B$2:$B$800, 
    REGEXMATCH(RawData_SemEval!$A$2:$A$800, ""(?i)(_|^)"" &amp; $A$1 &amp; ""(_|$)""), 
    REGEXMATCH(RawData_SemEval!$A$2:$A$800, ""(?i)"" &amp; $A8), 
    REGEXMATCH(RawData_SemEval!$A$2:$A$800, ""(?i)"" &amp; $E$1),
    NOT(R"&amp;"EGEXMATCH(RawData_SemEval!$A$2:$A$800, ""(?i)ensemble""))
  )"),0.515748946083156)</f>
        <v>0.5157489461</v>
      </c>
      <c r="F8" s="88">
        <f>IFERROR(__xludf.DUMMYFUNCTION("FILTER(RawData_SemEval!$E$2:$E$800, 
  REGEXMATCH(RawData_SemEval!$A$2:$A$800, ""(?i)(_|^)"" &amp; $A$1 &amp; ""(_|$)""), 
  REGEXMATCH(RawData_SemEval!$A$2:$A$800, ""(?i)"" &amp; $A8), 
  REGEXMATCH(RawData_SemEval!$A$2:$A$800, ""(?i)"" &amp; $E$1), 
  NOT(REGEXMATCH(Ra"&amp;"wData_SemEval!$A$2:$A$800,  ""(?i)ensemble""))
)"),0.304809111760933)</f>
        <v>0.3048091118</v>
      </c>
      <c r="G8" s="88">
        <f>IFERROR(__xludf.DUMMYFUNCTION("FILTER(
    RawData_SemEval!$B$2:$B$800, 
    REGEXMATCH(RawData_SemEval!$A$2:$A$800, ""(?i)(_|^)"" &amp; $A$1 &amp; ""(_|$)""), 
    REGEXMATCH(RawData_SemEval!$A$2:$A$800, ""(?i)"" &amp; $A8), 
    REGEXMATCH(RawData_SemEval!$A$2:$A$800, ""(?i)"" &amp; $G$1),
    NOT(R"&amp;"EGEXMATCH(RawData_SemEval!$A$2:$A$800, ""(?i)ensemble""))
  )"),0.514035206022048)</f>
        <v>0.514035206</v>
      </c>
      <c r="H8" s="88">
        <f>IFERROR(__xludf.DUMMYFUNCTION("FILTER(RawData_SemEval!$E$2:$E$800, 
  REGEXMATCH(RawData_SemEval!$A$2:$A$800, ""(?i)(_|^)"" &amp; $A$1 &amp; ""(_|$)""), 
  REGEXMATCH(RawData_SemEval!$A$2:$A$800, ""(?i)"" &amp; $A8), 
  REGEXMATCH(RawData_SemEval!$A$2:$A$800, ""(?i)"" &amp; $G$1), 
  NOT(REGEXMATCH(Ra"&amp;"wData_SemEval!$A$2:$A$800,  ""(?i)ensemble""))
)"),0.307645133386631)</f>
        <v>0.3076451334</v>
      </c>
    </row>
    <row r="9">
      <c r="A9" s="84"/>
      <c r="B9" s="26"/>
      <c r="C9" s="89" t="str">
        <f>IFERROR(__xludf.DUMMYFUNCTION("""("" &amp; 
TEXT(FILTER(RawData_SemEval!$C$2:$C$800, REGEXMATCH(RawData_SemEval!$A$2:$A$800, ""(?i)(_|^)"" &amp; $A$1 &amp; ""(_|$)""), REGEXMATCH(RawData_SemEval!$A$2:$A$800, ""(?i)"" &amp; $A8), REGEXMATCH(RawData_SemEval!$A$2:$A$800, ""(?i)"" &amp; $C$1), NOT(REGEXMATCH("&amp;"RawData_SemEval!$A$2:$A$800, ""(?i)ensemble""))), ""0.00"") &amp; 
"", "" &amp; 
TEXT(FILTER(RawData_SemEval!$D$2:$D$800, REGEXMATCH(RawData_SemEval!$A$2:$A$800, ""(?i)(_|^)"" &amp; $A$1 &amp; ""(_|$)""), REGEXMATCH(RawData_SemEval!$A$2:$A$800, ""(?i)"" &amp; $A8), REGEXMATC"&amp;"H(RawData_SemEval!$A$2:$A$800, ""(?i)"" &amp; $C$1), NOT(REGEXMATCH(RawData_SemEval!$A$2:$A$800, ""(?i)ensemble""))), ""0.00"") &amp; 
"")"""),"(0.46, 0.56)")</f>
        <v>(0.46, 0.56)</v>
      </c>
      <c r="D9" s="89" t="str">
        <f>IFERROR(__xludf.DUMMYFUNCTION("""("" &amp; 
TEXT(FILTER(RawData_SemEval!$F$2:$F$800, REGEXMATCH(RawData_SemEval!$A$2:$A$800, ""(?i)(_|^)"" &amp; $A$1 &amp; ""(_|$)""), REGEXMATCH(RawData_SemEval!$A$2:$A$800, ""(?i)"" &amp; $A8), REGEXMATCH(RawData_SemEval!$A$2:$A$800, ""(?i)"" &amp; $C$1), NOT(REGEXMATCH("&amp;"RawData_SemEval!$A$2:$A$800, ""(?i)ensemble""))), ""0.00"") &amp; 
"", "" &amp; 
TEXT(FILTER(RawData_SemEval!$G$2:$G$800, REGEXMATCH(RawData_SemEval!$A$2:$A$800, ""(?i)(_|^)"" &amp; $A$1 &amp; ""(_|$)""), REGEXMATCH(RawData_SemEval!$A$2:$A$800, ""(?i)"" &amp; $A8), REGEXMATC"&amp;"H(RawData_SemEval!$A$2:$A$800, ""(?i)"" &amp; $C$1), NOT(REGEXMATCH(RawData_SemEval!$A$2:$A$800, ""(?i)ensemble""))), ""0.00"") &amp; 
"")"""),"(0.27, 0.35)")</f>
        <v>(0.27, 0.35)</v>
      </c>
      <c r="E9" s="89" t="str">
        <f>IFERROR(__xludf.DUMMYFUNCTION("""("" &amp; 
TEXT(FILTER(RawData_SemEval!$C$2:$C$800, REGEXMATCH(RawData_SemEval!$A$2:$A$800, ""(?i)(_|^)"" &amp; $A$1 &amp; ""(_|$)""), REGEXMATCH(RawData_SemEval!$A$2:$A$800, ""(?i)"" &amp; $A8), REGEXMATCH(RawData_SemEval!$A$2:$A$800, ""(?i)"" &amp; $E$1), NOT(REGEXMATCH("&amp;"RawData_SemEval!$A$2:$A$800, ""(?i)ensemble""))), ""0.00"") &amp; 
"", "" &amp; 
TEXT(FILTER(RawData_SemEval!$D$2:$D$800, REGEXMATCH(RawData_SemEval!$A$2:$A$800, ""(?i)(_|^)"" &amp; $A$1 &amp; ""(_|$)""), REGEXMATCH(RawData_SemEval!$A$2:$A$800, ""(?i)"" &amp; $A8), REGEXMATC"&amp;"H(RawData_SemEval!$A$2:$A$800, ""(?i)"" &amp; $E$1), NOT(REGEXMATCH(RawData_SemEval!$A$2:$A$800, ""(?i)ensemble""))), ""0.00"") &amp; 
"")"""),"(0.47, 0.56)")</f>
        <v>(0.47, 0.56)</v>
      </c>
      <c r="F9" s="89" t="str">
        <f>IFERROR(__xludf.DUMMYFUNCTION("""("" &amp; 
TEXT(FILTER(RawData_SemEval!$F$2:$F$800, REGEXMATCH(RawData_SemEval!$A$2:$A$800, ""(?i)(_|^)"" &amp; $A$1 &amp; ""(_|$)""), REGEXMATCH(RawData_SemEval!$A$2:$A$800, ""(?i)"" &amp; $A8), REGEXMATCH(RawData_SemEval!$A$2:$A$800, ""(?i)"" &amp; $E$1), NOT(REGEXMATCH("&amp;"RawData_SemEval!$A$2:$A$800, ""(?i)ensemble""))), ""0.00"") &amp; 
"", "" &amp; 
TEXT(FILTER(RawData_SemEval!$G$2:$G$800, REGEXMATCH(RawData_SemEval!$A$2:$A$800, ""(?i)(_|^)"" &amp; $A$1 &amp; ""(_|$)""), REGEXMATCH(RawData_SemEval!$A$2:$A$800, ""(?i)"" &amp; $A8), REGEXMATC"&amp;"H(RawData_SemEval!$A$2:$A$800, ""(?i)"" &amp; $E$1), NOT(REGEXMATCH(RawData_SemEval!$A$2:$A$800, ""(?i)ensemble""))), ""0.00"") &amp; 
"")"""),"(0.26, 0.35)")</f>
        <v>(0.26, 0.35)</v>
      </c>
      <c r="G9" s="89" t="str">
        <f>IFERROR(__xludf.DUMMYFUNCTION("""("" &amp; 
TEXT(FILTER(RawData_SemEval!$C$2:$C$800, REGEXMATCH(RawData_SemEval!$A$2:$A$800, ""(?i)(_|^)"" &amp; $A$1 &amp; ""(_|$)""), REGEXMATCH(RawData_SemEval!$A$2:$A$800, ""(?i)"" &amp; $A8), REGEXMATCH(RawData_SemEval!$A$2:$A$800, ""(?i)"" &amp; $G$1), NOT(REGEXMATCH("&amp;"RawData_SemEval!$A$2:$A$800, ""(?i)ensemble""))), ""0.00"") &amp; 
"", "" &amp; 
TEXT(FILTER(RawData_SemEval!$D$2:$D$800, REGEXMATCH(RawData_SemEval!$A$2:$A$800, ""(?i)(_|^)"" &amp; $A$1 &amp; ""(_|$)""), REGEXMATCH(RawData_SemEval!$A$2:$A$800, ""(?i)"" &amp; $A8), REGEXMATC"&amp;"H(RawData_SemEval!$A$2:$A$800, ""(?i)"" &amp; $G$1), NOT(REGEXMATCH(RawData_SemEval!$A$2:$A$800, ""(?i)ensemble""))), ""0.00"") &amp; 
"")"""),"(0.47, 0.56)")</f>
        <v>(0.47, 0.56)</v>
      </c>
      <c r="H9" s="89" t="str">
        <f>IFERROR(__xludf.DUMMYFUNCTION("""("" &amp; 
TEXT(FILTER(RawData_SemEval!$F$2:$F$800, REGEXMATCH(RawData_SemEval!$A$2:$A$800, ""(?i)(_|^)"" &amp; $A$1 &amp; ""(_|$)""), REGEXMATCH(RawData_SemEval!$A$2:$A$800, ""(?i)"" &amp; $A8), REGEXMATCH(RawData_SemEval!$A$2:$A$800, ""(?i)"" &amp; $G$1), NOT(REGEXMATCH("&amp;"RawData_SemEval!$A$2:$A$800, ""(?i)ensemble""))), ""0.00"") &amp; 
"", "" &amp; 
TEXT(FILTER(RawData_SemEval!$G$2:$G$800, REGEXMATCH(RawData_SemEval!$A$2:$A$800, ""(?i)(_|^)"" &amp; $A$1 &amp; ""(_|$)""), REGEXMATCH(RawData_SemEval!$A$2:$A$800, ""(?i)"" &amp; $A8), REGEXMATC"&amp;"H(RawData_SemEval!$A$2:$A$800, ""(?i)"" &amp; $G$1), NOT(REGEXMATCH(RawData_SemEval!$A$2:$A$800, ""(?i)ensemble""))), ""0.00"") &amp; 
"")"""),"(0.27, 0.35)")</f>
        <v>(0.27, 0.35)</v>
      </c>
      <c r="J9" s="7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</row>
    <row r="10">
      <c r="A10" s="84"/>
      <c r="B10" s="26" t="s">
        <v>74</v>
      </c>
      <c r="C10" s="88">
        <f>IFERROR(__xludf.DUMMYFUNCTION("FILTER(
  RawData_Ensembles!$B$2:$B$1300, 
  REGEXMATCH(RawData_Ensembles!$A$2:$A$1300, ""(?i)(_|^)"" &amp; $A$1 &amp; ""(_|$)""), 
  REGEXMATCH(RawData_Ensembles!$A$2:$A$1300, ""(?i)"" &amp; $A8), 
  REGEXMATCH(RawData_Ensembles!$A$2:$A$1300, ""(?i)"" &amp; $C$1), 
  RE"&amp;"GEXMATCH(RawData_Ensembles!$A$2:$A$1300, ""(?i)"" &amp; $B10)
)"),0.503187455819034)</f>
        <v>0.5031874558</v>
      </c>
      <c r="D10" s="88">
        <f>IFERROR(__xludf.DUMMYFUNCTION("FILTER(
  RawData_Ensembles!$C$2:$C$1300, 
  REGEXMATCH(RawData_Ensembles!$A$2:$A$1300, ""(?i)(_|^)"" &amp; $A$1 &amp; ""(_|$)""), 
  REGEXMATCH(RawData_Ensembles!$A$2:$A$1300, ""(?i)"" &amp; $A8), 
  REGEXMATCH(RawData_Ensembles!$A$2:$A$1300, ""(?i)"" &amp; $C$1), 
  RE"&amp;"GEXMATCH(RawData_Ensembles!$A$2:$A$1300, ""(?i)"" &amp; $B10)
)"),0.309478825268298)</f>
        <v>0.3094788253</v>
      </c>
      <c r="E10" s="88">
        <f>IFERROR(__xludf.DUMMYFUNCTION("FILTER(
  RawData_Ensembles!$B$2:$B$1300, 
  REGEXMATCH(RawData_Ensembles!$A$2:$A$1300, ""(?i)(_|^)"" &amp; $A$1 &amp; ""(_|$)""), 
  REGEXMATCH(RawData_Ensembles!$A$2:$A$1300, ""(?i)"" &amp; $A8), 
  REGEXMATCH(RawData_Ensembles!$A$2:$A$1300, ""(?i)"" &amp; $E$1), 
  RE"&amp;"GEXMATCH(RawData_Ensembles!$A$2:$A$1300, ""(?i)"" &amp; $B10)
)"),0.518176852387378)</f>
        <v>0.5181768524</v>
      </c>
      <c r="F10" s="88">
        <f>IFERROR(__xludf.DUMMYFUNCTION("FILTER(
  RawData_Ensembles!$C$2:$C$1300, 
  REGEXMATCH(RawData_Ensembles!$A$2:$A$1300, ""(?i)(_|^)"" &amp; $A$1 &amp; ""(_|$)""), 
  REGEXMATCH(RawData_Ensembles!$A$2:$A$1300, ""(?i)"" &amp; $A8), 
  REGEXMATCH(RawData_Ensembles!$A$2:$A$1300, ""(?i)"" &amp; $E$1), 
  RE"&amp;"GEXMATCH(RawData_Ensembles!$A$2:$A$1300, ""(?i)"" &amp; $B10)
)"),0.311915367583383)</f>
        <v>0.3119153676</v>
      </c>
      <c r="G10" s="88">
        <f>IFERROR(__xludf.DUMMYFUNCTION("FILTER(
  RawData_Ensembles!$B$2:$B$1300, 
  REGEXMATCH(RawData_Ensembles!$A$2:$A$1300, ""(?i)(_|^)"" &amp; $A$1 &amp; ""(_|$)""), 
  REGEXMATCH(RawData_Ensembles!$A$2:$A$1300, ""(?i)"" &amp; $A8), 
  REGEXMATCH(RawData_Ensembles!$A$2:$A$1300, ""(?i)"" &amp; $G$1), 
  RE"&amp;"GEXMATCH(RawData_Ensembles!$A$2:$A$1300, ""(?i)"" &amp; $B10)
)"),0.510887358255779)</f>
        <v>0.5108873583</v>
      </c>
      <c r="H10" s="88">
        <f>IFERROR(__xludf.DUMMYFUNCTION("FILTER(
  RawData_Ensembles!$C$2:$G$1300, 
  REGEXMATCH(RawData_Ensembles!$A$2:$A$1300, ""(?i)(_|^)"" &amp; $A$1 &amp; ""(_|$)""), 
  REGEXMATCH(RawData_Ensembles!$A$2:$A$1300, ""(?i)"" &amp; $A8), 
  REGEXMATCH(RawData_Ensembles!$A$2:$A$1300, ""(?i)"" &amp; $G$1), 
  RE"&amp;"GEXMATCH(RawData_Ensembles!$A$2:$A$1300, ""(?i)"" &amp; $B10)
)"),0.308214637364434)</f>
        <v>0.3082146374</v>
      </c>
      <c r="I10" s="11"/>
      <c r="J10" s="90"/>
      <c r="K10" s="11"/>
      <c r="L10" s="11"/>
    </row>
    <row r="11">
      <c r="A11" s="84"/>
      <c r="B11" s="91" t="s">
        <v>75</v>
      </c>
      <c r="C11" s="88">
        <f>IFERROR(__xludf.DUMMYFUNCTION("FILTER(
  RawData_Ensembles!$B$2:$B$1300, 
  REGEXMATCH(RawData_Ensembles!$A$2:$A$1300, ""(?i)(_|^)"" &amp; $A$1 &amp; ""(_|$)""), 
  REGEXMATCH(RawData_Ensembles!$A$2:$A$1300, ""(?i)"" &amp; $A8), 
  REGEXMATCH(RawData_Ensembles!$A$2:$A$1300, ""(?i)"" &amp; $C$1), 
  RE"&amp;"GEXMATCH(RawData_Ensembles!$A$2:$A$1300, ""(?i)"" &amp; $B11)
)"),0.539264828738513)</f>
        <v>0.5392648287</v>
      </c>
      <c r="D11" s="88">
        <f>IFERROR(__xludf.DUMMYFUNCTION("FILTER(
  RawData_Ensembles!$C$2:$C$1300, 
  REGEXMATCH(RawData_Ensembles!$A$2:$A$1300, ""(?i)(_|^)"" &amp; $A$1 &amp; ""(_|$)""), 
  REGEXMATCH(RawData_Ensembles!$A$2:$A$1300, ""(?i)"" &amp; $A8), 
  REGEXMATCH(RawData_Ensembles!$A$2:$A$1300, ""(?i)"" &amp; $C$1), 
  RE"&amp;"GEXMATCH(RawData_Ensembles!$A$2:$A$1300, ""(?i)"" &amp; $B11)
)"),0.324278420634696)</f>
        <v>0.3242784206</v>
      </c>
      <c r="E11" s="88">
        <f>IFERROR(__xludf.DUMMYFUNCTION("FILTER(
  RawData_Ensembles!$B$2:$B$1300, 
  REGEXMATCH(RawData_Ensembles!$A$2:$A$1300, ""(?i)(_|^)"" &amp; $A$1 &amp; ""(_|$)""), 
  REGEXMATCH(RawData_Ensembles!$A$2:$A$1300, ""(?i)"" &amp; $A8), 
  REGEXMATCH(RawData_Ensembles!$A$2:$A$1300, ""(?i)"" &amp; $E$1), 
  RE"&amp;"GEXMATCH(RawData_Ensembles!$A$2:$A$1300, ""(?i)"" &amp; $B11)
)"),0.527584988111303)</f>
        <v>0.5275849881</v>
      </c>
      <c r="F11" s="88">
        <f>IFERROR(__xludf.DUMMYFUNCTION("FILTER(
  RawData_Ensembles!$C$2:$C$1300, 
  REGEXMATCH(RawData_Ensembles!$A$2:$A$1300, ""(?i)(_|^)"" &amp; $A$1 &amp; ""(_|$)""), 
  REGEXMATCH(RawData_Ensembles!$A$2:$A$1300, ""(?i)"" &amp; $A8), 
  REGEXMATCH(RawData_Ensembles!$A$2:$A$1300, ""(?i)"" &amp; $E$1), 
  RE"&amp;"GEXMATCH(RawData_Ensembles!$A$2:$A$1300, ""(?i)"" &amp; $B11)
)"),0.307092525108719)</f>
        <v>0.3070925251</v>
      </c>
      <c r="G11" s="88">
        <f>IFERROR(__xludf.DUMMYFUNCTION("FILTER(
  RawData_Ensembles!$B$2:$B$1300, 
  REGEXMATCH(RawData_Ensembles!$A$2:$A$1300, ""(?i)(_|^)"" &amp; $A$1 &amp; ""(_|$)""), 
  REGEXMATCH(RawData_Ensembles!$A$2:$A$1300, ""(?i)"" &amp; $A8), 
  REGEXMATCH(RawData_Ensembles!$A$2:$A$1300, ""(?i)"" &amp; $G$1), 
  RE"&amp;"GEXMATCH(RawData_Ensembles!$A$2:$A$1300, ""(?i)"" &amp; $B11)
)"),0.529732121230097)</f>
        <v>0.5297321212</v>
      </c>
      <c r="H11" s="88">
        <f>IFERROR(__xludf.DUMMYFUNCTION("FILTER(
  RawData_Ensembles!$C$2:$G$1300, 
  REGEXMATCH(RawData_Ensembles!$A$2:$A$1300, ""(?i)(_|^)"" &amp; $A$1 &amp; ""(_|$)""), 
  REGEXMATCH(RawData_Ensembles!$A$2:$A$1300, ""(?i)"" &amp; $A8), 
  REGEXMATCH(RawData_Ensembles!$A$2:$A$1300, ""(?i)"" &amp; $G$1), 
  RE"&amp;"GEXMATCH(RawData_Ensembles!$A$2:$A$1300, ""(?i)"" &amp; $B11)
)"),0.315009070736624)</f>
        <v>0.3150090707</v>
      </c>
      <c r="I11" s="11"/>
      <c r="J11" s="11"/>
      <c r="K11" s="11"/>
      <c r="L11" s="11"/>
    </row>
    <row r="12">
      <c r="A12" s="84" t="s">
        <v>197</v>
      </c>
      <c r="B12" s="26" t="s">
        <v>20</v>
      </c>
      <c r="C12" s="88" t="str">
        <f>IFERROR(__xludf.DUMMYFUNCTION("FILTER(
    RawData_SemEval!$B$2:$B$800, 
    REGEXMATCH(RawData_SemEval!$A$2:$A$800, ""(?i)(_|^)"" &amp; $A$1 &amp; ""(_|$)""), 
    REGEXMATCH(RawData_SemEval!$A$2:$A$800, ""(?i)"" &amp; $A12), 
    REGEXMATCH(RawData_SemEval!$A$2:$A$800, ""(?i)"" &amp; $C$1),
    NOT("&amp;"REGEXMATCH(RawData_SemEval!$A$2:$A$800, ""(?i)ensemble""))
  )"),"")</f>
        <v/>
      </c>
      <c r="D12" s="88" t="str">
        <f>IFERROR(__xludf.DUMMYFUNCTION("FILTER(RawData_SemEval!$E$2:$E$800, 
  REGEXMATCH(RawData_SemEval!$A$2:$A$800, ""(?i)(_|^)"" &amp; $A$1 &amp; ""(_|$)""), 
  REGEXMATCH(RawData_SemEval!$A$2:$A$800, ""(?i)"" &amp; $A12), 
  REGEXMATCH(RawData_SemEval!$A$2:$A$800, ""(?i)"" &amp; $C$1), 
  NOT(REGEXMATCH(R"&amp;"awData_SemEval!$A$2:$A$800,  ""(?i)ensemble""))
)"),"")</f>
        <v/>
      </c>
      <c r="E12" s="88">
        <f>IFERROR(__xludf.DUMMYFUNCTION("FILTER(
    RawData_SemEval!$B$2:$B$800, 
    REGEXMATCH(RawData_SemEval!$A$2:$A$800, ""(?i)(_|^)"" &amp; $A$1 &amp; ""(_|$)""), 
    REGEXMATCH(RawData_SemEval!$A$2:$A$800, ""(?i)"" &amp; $A12), 
    REGEXMATCH(RawData_SemEval!$A$2:$A$800, ""(?i)"" &amp; $E$1),
    NOT("&amp;"REGEXMATCH(RawData_SemEval!$A$2:$A$800, ""(?i)ensemble""))
  )"),0.499190977443609)</f>
        <v>0.4991909774</v>
      </c>
      <c r="F12" s="88">
        <f>IFERROR(__xludf.DUMMYFUNCTION("FILTER(RawData_SemEval!$E$2:$E$800, 
  REGEXMATCH(RawData_SemEval!$A$2:$A$800, ""(?i)(_|^)"" &amp; $A$1 &amp; ""(_|$)""), 
  REGEXMATCH(RawData_SemEval!$A$2:$A$800, ""(?i)"" &amp; $A12), 
  REGEXMATCH(RawData_SemEval!$A$2:$A$800, ""(?i)"" &amp; $E$1), 
  NOT(REGEXMATCH(R"&amp;"awData_SemEval!$A$2:$A$800,  ""(?i)ensemble""))
)"),0.293747720745291)</f>
        <v>0.2937477207</v>
      </c>
      <c r="G12" s="88">
        <f>IFERROR(__xludf.DUMMYFUNCTION("FILTER(
    RawData_SemEval!$B$2:$B$800, 
    REGEXMATCH(RawData_SemEval!$A$2:$A$800, ""(?i)(_|^)"" &amp; $A$1 &amp; ""(_|$)""), 
    REGEXMATCH(RawData_SemEval!$A$2:$A$800, ""(?i)"" &amp; $A12), 
    REGEXMATCH(RawData_SemEval!$A$2:$A$800, ""(?i)"" &amp; $G$1),
    NOT("&amp;"REGEXMATCH(RawData_SemEval!$A$2:$A$800, ""(?i)ensemble""))
  )"),0.443146947744113)</f>
        <v>0.4431469477</v>
      </c>
      <c r="H12" s="88">
        <f>IFERROR(__xludf.DUMMYFUNCTION("FILTER(RawData_SemEval!$E$2:$E$800, 
  REGEXMATCH(RawData_SemEval!$A$2:$A$800, ""(?i)(_|^)"" &amp; $A$1 &amp; ""(_|$)""), 
  REGEXMATCH(RawData_SemEval!$A$2:$A$800, ""(?i)"" &amp; $A12), 
  REGEXMATCH(RawData_SemEval!$A$2:$A$800, ""(?i)"" &amp; $G$1), 
  NOT(REGEXMATCH(R"&amp;"awData_SemEval!$A$2:$A$800,  ""(?i)ensemble""))
)"),0.278619253553464)</f>
        <v>0.2786192536</v>
      </c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</row>
    <row r="13">
      <c r="A13" s="84"/>
      <c r="B13" s="26"/>
      <c r="C13" s="89" t="str">
        <f>IFERROR(__xludf.DUMMYFUNCTION("""("" &amp; 
TEXT(FILTER(RawData_SemEval!$C$2:$C$800, REGEXMATCH(RawData_SemEval!$A$2:$A$800, ""(?i)(_|^)"" &amp; $A$1 &amp; ""(_|$)""), REGEXMATCH(RawData_SemEval!$A$2:$A$800, ""(?i)"" &amp; $A12),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$A12), REGEXMA"&amp;"TCH(RawData_SemEval!$A$2:$A$800, ""(?i)"" &amp; $C$1), NOT(REGEXMATCH(RawData_SemEval!$A$2:$A$800, ""(?i)ensemble""))), ""0.00"") &amp; 
"")"""),"(0.00, 0.00)")</f>
        <v>(0.00, 0.00)</v>
      </c>
      <c r="D13" s="89" t="str">
        <f>IFERROR(__xludf.DUMMYFUNCTION("""("" &amp; 
TEXT(FILTER(RawData_SemEval!$F$2:$F$800, REGEXMATCH(RawData_SemEval!$A$2:$A$800, ""(?i)(_|^)"" &amp; $A$1 &amp; ""(_|$)""), REGEXMATCH(RawData_SemEval!$A$2:$A$800, ""(?i)"" &amp; $A12),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$A12), REGEXMA"&amp;"TCH(RawData_SemEval!$A$2:$A$800, ""(?i)"" &amp; $C$1), NOT(REGEXMATCH(RawData_SemEval!$A$2:$A$800, ""(?i)ensemble""))), ""0.00"") &amp; 
"")"""),"(0.00, 0.00)")</f>
        <v>(0.00, 0.00)</v>
      </c>
      <c r="E13" s="89" t="str">
        <f>IFERROR(__xludf.DUMMYFUNCTION("""("" &amp; 
TEXT(FILTER(RawData_SemEval!$C$2:$C$800, REGEXMATCH(RawData_SemEval!$A$2:$A$800, ""(?i)(_|^)"" &amp; $A$1 &amp; ""(_|$)""), REGEXMATCH(RawData_SemEval!$A$2:$A$800, ""(?i)"" &amp; $A12),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$A12), REGEXMA"&amp;"TCH(RawData_SemEval!$A$2:$A$800, ""(?i)"" &amp; $E$1), NOT(REGEXMATCH(RawData_SemEval!$A$2:$A$800, ""(?i)ensemble""))), ""0.00"") &amp; 
"")"""),"(0.45, 0.54)")</f>
        <v>(0.45, 0.54)</v>
      </c>
      <c r="F13" s="89" t="str">
        <f>IFERROR(__xludf.DUMMYFUNCTION("""("" &amp; 
TEXT(FILTER(RawData_SemEval!$F$2:$F$800, REGEXMATCH(RawData_SemEval!$A$2:$A$800, ""(?i)(_|^)"" &amp; $A$1 &amp; ""(_|$)""), REGEXMATCH(RawData_SemEval!$A$2:$A$800, ""(?i)"" &amp; $A12),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$A12), REGEXMA"&amp;"TCH(RawData_SemEval!$A$2:$A$800, ""(?i)"" &amp; $E$1), NOT(REGEXMATCH(RawData_SemEval!$A$2:$A$800, ""(?i)ensemble""))), ""0.00"") &amp; 
"")"""),"(0.26, 0.33)")</f>
        <v>(0.26, 0.33)</v>
      </c>
      <c r="G13" s="89" t="str">
        <f>IFERROR(__xludf.DUMMYFUNCTION("""("" &amp; 
TEXT(FILTER(RawData_SemEval!$C$2:$C$800, REGEXMATCH(RawData_SemEval!$A$2:$A$800, ""(?i)(_|^)"" &amp; $A$1 &amp; ""(_|$)""), REGEXMATCH(RawData_SemEval!$A$2:$A$800, ""(?i)"" &amp; $A12),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$A12), REGEXMA"&amp;"TCH(RawData_SemEval!$A$2:$A$800, ""(?i)"" &amp; $G$1), NOT(REGEXMATCH(RawData_SemEval!$A$2:$A$800, ""(?i)ensemble""))), ""0.00"") &amp; 
"")"""),"(0.40, 0.49)")</f>
        <v>(0.40, 0.49)</v>
      </c>
      <c r="H13" s="89" t="str">
        <f>IFERROR(__xludf.DUMMYFUNCTION("""("" &amp; 
TEXT(FILTER(RawData_SemEval!$F$2:$F$800, REGEXMATCH(RawData_SemEval!$A$2:$A$800, ""(?i)(_|^)"" &amp; $A$1 &amp; ""(_|$)""), REGEXMATCH(RawData_SemEval!$A$2:$A$800, ""(?i)"" &amp; $A12),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$A12), REGEXMA"&amp;"TCH(RawData_SemEval!$A$2:$A$800, ""(?i)"" &amp; $G$1), NOT(REGEXMATCH(RawData_SemEval!$A$2:$A$800, ""(?i)ensemble""))), ""0.00"") &amp; 
"")"""),"(0.24, 0.32)")</f>
        <v>(0.24, 0.32)</v>
      </c>
    </row>
    <row r="14">
      <c r="A14" s="84"/>
      <c r="B14" s="26" t="s">
        <v>74</v>
      </c>
      <c r="C14" s="89" t="str">
        <f>IFERROR(__xludf.DUMMYFUNCTION("FILTER(
  RawData_Ensembles!$B$2:$B$1300, 
  REGEXMATCH(RawData_Ensembles!$A$2:$A$1300, ""(?i)(_|^)"" &amp; $A$1 &amp; ""(_|$)""), 
  REGEXMATCH(RawData_Ensembles!$A$2:$A$1300, ""(?i)"" &amp; $A12), 
  REGEXMATCH(RawData_Ensembles!$A$2:$A$1300, ""(?i)"" &amp; $C$1), 
  R"&amp;"EGEXMATCH(RawData_Ensembles!$A$2:$A$1300, ""(?i)"" &amp; $B14)
)"),"")</f>
        <v/>
      </c>
      <c r="D14" s="89" t="str">
        <f>IFERROR(__xludf.DUMMYFUNCTION("FILTER(
  RawData_Ensembles!$C$2:$C$1300, 
  REGEXMATCH(RawData_Ensembles!$A$2:$A$1300, ""(?i)(_|^)"" &amp; $A$1 &amp; ""(_|$)""), 
  REGEXMATCH(RawData_Ensembles!$A$2:$A$1300, ""(?i)"" &amp; $A12), 
  REGEXMATCH(RawData_Ensembles!$A$2:$A$1300, ""(?i)"" &amp; $C$1), 
  R"&amp;"EGEXMATCH(RawData_Ensembles!$A$2:$A$1300, ""(?i)"" &amp; $B14)
)"),"")</f>
        <v/>
      </c>
      <c r="E14" s="88">
        <f>IFERROR(__xludf.DUMMYFUNCTION("FILTER(
  RawData_Ensembles!$B$2:$B$1300, 
  REGEXMATCH(RawData_Ensembles!$A$2:$A$1300, ""(?i)(_|^)"" &amp; $A$1 &amp; ""(_|$)""), 
  REGEXMATCH(RawData_Ensembles!$A$2:$A$1300, ""(?i)"" &amp; $A12), 
  REGEXMATCH(RawData_Ensembles!$A$2:$A$1300, ""(?i)"" &amp; $E$1), 
  R"&amp;"EGEXMATCH(RawData_Ensembles!$A$2:$A$1300, ""(?i)"" &amp; $B14)
)"),0.486446886446886)</f>
        <v>0.4864468864</v>
      </c>
      <c r="F14" s="88">
        <f>IFERROR(__xludf.DUMMYFUNCTION("FILTER(
  RawData_Ensembles!$C$2:$C$1300, 
  REGEXMATCH(RawData_Ensembles!$A$2:$A$1300, ""(?i)(_|^)"" &amp; $A$1 &amp; ""(_|$)""), 
  REGEXMATCH(RawData_Ensembles!$A$2:$A$1300, ""(?i)"" &amp; $A12), 
  REGEXMATCH(RawData_Ensembles!$A$2:$A$1300, ""(?i)"" &amp; $E$1), 
  R"&amp;"EGEXMATCH(RawData_Ensembles!$A$2:$A$1300, ""(?i)"" &amp; $B14)
)"),0.30407008645875)</f>
        <v>0.3040700865</v>
      </c>
      <c r="G14" s="88">
        <f>IFERROR(__xludf.DUMMYFUNCTION("FILTER(
  RawData_Ensembles!$B$2:$B$1300, 
  REGEXMATCH(RawData_Ensembles!$A$2:$A$1300, ""(?i)(_|^)"" &amp; $A$1 &amp; ""(_|$)""), 
  REGEXMATCH(RawData_Ensembles!$A$2:$A$1300, ""(?i)"" &amp; $A12), 
  REGEXMATCH(RawData_Ensembles!$A$2:$A$1300, ""(?i)"" &amp; $G$1), 
  R"&amp;"EGEXMATCH(RawData_Ensembles!$A$2:$A$1300, ""(?i)"" &amp; $B14)
)"),0.447590129169076)</f>
        <v>0.4475901292</v>
      </c>
      <c r="H14" s="88">
        <f>IFERROR(__xludf.DUMMYFUNCTION("FILTER(
  RawData_Ensembles!$C$2:$G$1300, 
  REGEXMATCH(RawData_Ensembles!$A$2:$A$1300, ""(?i)(_|^)"" &amp; $A$1 &amp; ""(_|$)""), 
  REGEXMATCH(RawData_Ensembles!$A$2:$A$1300, ""(?i)"" &amp; $A12), 
  REGEXMATCH(RawData_Ensembles!$A$2:$A$1300, ""(?i)"" &amp; $G$1), 
  R"&amp;"EGEXMATCH(RawData_Ensembles!$A$2:$A$1300, ""(?i)"" &amp; $B14)
)"),0.283299920951742)</f>
        <v>0.283299921</v>
      </c>
      <c r="I14" s="11"/>
      <c r="J14" s="11"/>
      <c r="K14" s="11"/>
      <c r="L14" s="11"/>
    </row>
    <row r="15">
      <c r="A15" s="84"/>
      <c r="B15" s="91" t="s">
        <v>75</v>
      </c>
      <c r="C15" s="89" t="str">
        <f>IFERROR(__xludf.DUMMYFUNCTION("FILTER(
  RawData_Ensembles!$B$2:$B$1300, 
  REGEXMATCH(RawData_Ensembles!$A$2:$A$1300, ""(?i)(_|^)"" &amp; $A$1 &amp; ""(_|$)""), 
  REGEXMATCH(RawData_Ensembles!$A$2:$A$1300, ""(?i)"" &amp; $A12), 
  REGEXMATCH(RawData_Ensembles!$A$2:$A$1300, ""(?i)"" &amp; $C$1), 
  R"&amp;"EGEXMATCH(RawData_Ensembles!$A$2:$A$1300, ""(?i)"" &amp; $B15)
)"),"")</f>
        <v/>
      </c>
      <c r="D15" s="89" t="str">
        <f>IFERROR(__xludf.DUMMYFUNCTION("FILTER(
  RawData_Ensembles!$C$2:$C$1300, 
  REGEXMATCH(RawData_Ensembles!$A$2:$A$1300, ""(?i)(_|^)"" &amp; $A$1 &amp; ""(_|$)""), 
  REGEXMATCH(RawData_Ensembles!$A$2:$A$1300, ""(?i)"" &amp; $A12), 
  REGEXMATCH(RawData_Ensembles!$A$2:$A$1300, ""(?i)"" &amp; $C$1), 
  R"&amp;"EGEXMATCH(RawData_Ensembles!$A$2:$A$1300, ""(?i)"" &amp; $B15)
)"),"")</f>
        <v/>
      </c>
      <c r="E15" s="88">
        <f>IFERROR(__xludf.DUMMYFUNCTION("FILTER(
  RawData_Ensembles!$B$2:$B$1300, 
  REGEXMATCH(RawData_Ensembles!$A$2:$A$1300, ""(?i)(_|^)"" &amp; $A$1 &amp; ""(_|$)""), 
  REGEXMATCH(RawData_Ensembles!$A$2:$A$1300, ""(?i)"" &amp; $A12), 
  REGEXMATCH(RawData_Ensembles!$A$2:$A$1300, ""(?i)"" &amp; $E$1), 
  R"&amp;"EGEXMATCH(RawData_Ensembles!$A$2:$A$1300, ""(?i)"" &amp; $B15)
)"),0.519135834925308)</f>
        <v>0.5191358349</v>
      </c>
      <c r="F15" s="88">
        <f>IFERROR(__xludf.DUMMYFUNCTION("FILTER(
  RawData_Ensembles!$C$2:$C$1300, 
  REGEXMATCH(RawData_Ensembles!$A$2:$A$1300, ""(?i)(_|^)"" &amp; $A$1 &amp; ""(_|$)""), 
  REGEXMATCH(RawData_Ensembles!$A$2:$A$1300, ""(?i)"" &amp; $A12), 
  REGEXMATCH(RawData_Ensembles!$A$2:$A$1300, ""(?i)"" &amp; $E$1), 
  R"&amp;"EGEXMATCH(RawData_Ensembles!$A$2:$A$1300, ""(?i)"" &amp; $B15)
)"),0.298470861122682)</f>
        <v>0.2984708611</v>
      </c>
      <c r="G15" s="88">
        <f>IFERROR(__xludf.DUMMYFUNCTION("FILTER(
  RawData_Ensembles!$B$2:$B$1300, 
  REGEXMATCH(RawData_Ensembles!$A$2:$A$1300, ""(?i)(_|^)"" &amp; $A$1 &amp; ""(_|$)""), 
  REGEXMATCH(RawData_Ensembles!$A$2:$A$1300, ""(?i)"" &amp; $A12), 
  REGEXMATCH(RawData_Ensembles!$A$2:$A$1300, ""(?i)"" &amp; $G$1), 
  R"&amp;"EGEXMATCH(RawData_Ensembles!$A$2:$A$1300, ""(?i)"" &amp; $B15)
)"),0.461325404240384)</f>
        <v>0.4613254042</v>
      </c>
      <c r="H15" s="88">
        <f>IFERROR(__xludf.DUMMYFUNCTION("FILTER(
  RawData_Ensembles!$C$2:$G$1300, 
  REGEXMATCH(RawData_Ensembles!$A$2:$A$1300, ""(?i)(_|^)"" &amp; $A$1 &amp; ""(_|$)""), 
  REGEXMATCH(RawData_Ensembles!$A$2:$A$1300, ""(?i)"" &amp; $A12), 
  REGEXMATCH(RawData_Ensembles!$A$2:$A$1300, ""(?i)"" &amp; $G$1), 
  R"&amp;"EGEXMATCH(RawData_Ensembles!$A$2:$A$1300, ""(?i)"" &amp; $B15)
)"),0.292607316920123)</f>
        <v>0.2926073169</v>
      </c>
      <c r="I15" s="11"/>
      <c r="J15" s="11"/>
      <c r="K15" s="11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</row>
    <row r="16">
      <c r="A16" s="84" t="s">
        <v>248</v>
      </c>
      <c r="B16" s="26" t="s">
        <v>24</v>
      </c>
      <c r="C16" s="93" t="str">
        <f>IFERROR(__xludf.DUMMYFUNCTION("FILTER(
    RawData_SemEval!$B$2:$B$800, 
    REGEXMATCH(RawData_SemEval!$A$2:$A$800, ""(?i)(_|^)"" &amp; $A$1 &amp; ""(_|$)""), 
    REGEXMATCH(RawData_SemEval!$A$2:$A$800, ""(?i)"" &amp; $A16), 
    REGEXMATCH(RawData_SemEval!$A$2:$A$800, ""(?i)"" &amp; $C$1),
NOT(REGE"&amp;"XMATCH(RawData_SemEval!$A$2:$A$800, ""(?i)complete"")), 
    NOT(REGEXMATCH(RawData_SemEval!$A$2:$A$800, ""(?i)ensemble""))
  )"),"")</f>
        <v/>
      </c>
      <c r="D16" s="93" t="str">
        <f>IFERROR(__xludf.DUMMYFUNCTION("FILTER(RawData_SemEval!$E$2:$E$800, 
  REGEXMATCH(RawData_SemEval!$A$2:$A$800, ""(?i)(_|^)"" &amp; $A$1 &amp; ""(_|$)""), 
  REGEXMATCH(RawData_SemEval!$A$2:$A$800, ""(?i)"" &amp; $A16), 
  REGEXMATCH(RawData_SemEval!$A$2:$A$800, ""(?i)"" &amp; $C$1), 
NOT(REGEXMATCH(Raw"&amp;"Data_SemEval!$A$2:$A$800, ""(?i)complete"")), 
  NOT(REGEXMATCH(RawData_SemEval!$A$2:$A$800,  ""(?i)ensemble""))
)"),"")</f>
        <v/>
      </c>
      <c r="E16" s="88">
        <f>IFERROR(__xludf.DUMMYFUNCTION("FILTER(
    RawData_SemEval!$B$2:$B$800, 
    REGEXMATCH(RawData_SemEval!$A$2:$A$800, ""(?i)(_|^)"" &amp; $A$1 &amp; ""(_|$)""), 
    REGEXMATCH(RawData_SemEval!$A$2:$A$800, ""(?i)"" &amp; $A16), 
    REGEXMATCH(RawData_SemEval!$A$2:$A$800, ""(?i)"" &amp; $E$1),
NOT(REGE"&amp;"XMATCH(RawData_SemEval!$A$2:$A$800, ""(?i)complete"")), 
    NOT(REGEXMATCH(RawData_SemEval!$A$2:$A$800, ""(?i)ensemble""))
  )"),0.523713880855986)</f>
        <v>0.5237138809</v>
      </c>
      <c r="F16" s="88">
        <f>IFERROR(__xludf.DUMMYFUNCTION("FILTER(RawData_SemEval!$E$2:$E$800, 
  REGEXMATCH(RawData_SemEval!$A$2:$A$800, ""(?i)(_|^)"" &amp; $A$1 &amp; ""(_|$)""), 
  REGEXMATCH(RawData_SemEval!$A$2:$A$800, ""(?i)"" &amp; $A16), 
  REGEXMATCH(RawData_SemEval!$A$2:$A$800, ""(?i)"" &amp; $E$1), 
NOT(REGEXMATCH(Raw"&amp;"Data_SemEval!$A$2:$A$800, ""(?i)complete"")), 
  NOT(REGEXMATCH(RawData_SemEval!$A$2:$A$800,  ""(?i)ensemble""))
)"),0.298182340601368)</f>
        <v>0.2981823406</v>
      </c>
      <c r="G16" s="88">
        <f>IFERROR(__xludf.DUMMYFUNCTION("FILTER(
    RawData_SemEval!$B$2:$B$800, 
    REGEXMATCH(RawData_SemEval!$A$2:$A$800, ""(?i)(_|^)"" &amp; $A$1 &amp; ""(_|$)""), 
    REGEXMATCH(RawData_SemEval!$A$2:$A$800, ""(?i)"" &amp; $A16), 
    REGEXMATCH(RawData_SemEval!$A$2:$A$800, ""(?i)"" &amp; $G$1),
NOT(REGE"&amp;"XMATCH(RawData_SemEval!$A$2:$A$800, ""(?i)complete"")), 
    NOT(REGEXMATCH(RawData_SemEval!$A$2:$A$800, ""(?i)ensemble""))
  )"),0.475694995063416)</f>
        <v>0.4756949951</v>
      </c>
      <c r="H16" s="88">
        <f>IFERROR(__xludf.DUMMYFUNCTION("FILTER(RawData_SemEval!$E$2:$E$800, 
  REGEXMATCH(RawData_SemEval!$A$2:$A$800, ""(?i)(_|^)"" &amp; $A$1 &amp; ""(_|$)""), 
  REGEXMATCH(RawData_SemEval!$A$2:$A$800, ""(?i)"" &amp; $A16), 
  REGEXMATCH(RawData_SemEval!$A$2:$A$800, ""(?i)"" &amp; $G$1), 
NOT(REGEXMATCH(Raw"&amp;"Data_SemEval!$A$2:$A$800, ""(?i)complete"")), 
  NOT(REGEXMATCH(RawData_SemEval!$A$2:$A$800,  ""(?i)ensemble""))
)"),0.255848749114133)</f>
        <v>0.2558487491</v>
      </c>
    </row>
    <row r="17">
      <c r="A17" s="84"/>
      <c r="B17" s="26"/>
      <c r="C17" s="93" t="str">
        <f>IFERROR(__xludf.DUMMYFUNCTION("""("" &amp; 
TEXT(FILTER(RawData_SemEval!$C$2:$C$800, REGEXMATCH(RawData_SemEval!$A$2:$A$800, ""(?i)(_|^)"" &amp; $A$1 &amp; ""(_|$)""), REGEXMATCH(RawData_SemEval!$A$2:$A$800, ""(?i)"" &amp; $A16), REGEXMATCH(RawData_SemEval!$A$2:$A$800, ""(?i)"" &amp; $C$1),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$A16), REGEXMATCH(RawData_SemEval!$A$2:$A$800, ""(?i)"" &amp; $C$1), NOT(REGEXMATCH(RawData_SemEval!$A$2:$A$800, ""(?i)complete"")), NOT(REGEXMATCH(RawData_SemEval!$A$2:$A$800, ""(?i)ensemble""))), ""0.00"") &amp;"&amp;" 
"")"""),"(0.00, 0.00)")</f>
        <v>(0.00, 0.00)</v>
      </c>
      <c r="D17" s="93" t="str">
        <f>IFERROR(__xludf.DUMMYFUNCTION("""("" &amp; 
TEXT(FILTER(RawData_SemEval!$F$2:$F$800, REGEXMATCH(RawData_SemEval!$A$2:$A$800, ""(?i)(_|^)"" &amp; $A$1 &amp; ""(_|$)""), REGEXMATCH(RawData_SemEval!$A$2:$A$800, ""(?i)"" &amp; $A16), REGEXMATCH(RawData_SemEval!$A$2:$A$800, ""(?i)"" &amp; $C$1),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$A16), REGEXMATCH(RawData_SemEval!$A$2:$A$800, ""(?i)"" &amp; $C$1), NOT(REGEXMATCH(RawData_SemEval!$A$2:$A$800, ""(?i)complete"")), NOT(REGEXMATCH(RawData_SemEval!$A$2:$A$800, ""(?i)ensemble""))), ""0.00"") &amp;"&amp;" 
"")"""),"(0.00, 0.00)")</f>
        <v>(0.00, 0.00)</v>
      </c>
      <c r="E17" s="89" t="str">
        <f>IFERROR(__xludf.DUMMYFUNCTION("""("" &amp; 
TEXT(FILTER(RawData_SemEval!$C$2:$C$800, REGEXMATCH(RawData_SemEval!$A$2:$A$800, ""(?i)(_|^)"" &amp; $A$1 &amp; ""(_|$)""), REGEXMATCH(RawData_SemEval!$A$2:$A$800, ""(?i)"" &amp; $A16), REGEXMATCH(RawData_SemEval!$A$2:$A$800, ""(?i)"" &amp; $E$1),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$A16), REGEXMATCH(RawData_SemEval!$A$2:$A$800, ""(?i)"" &amp; $E$1), NOT(REGEXMATCH(RawData_SemEval!$A$2:$A$800, ""(?i)complete"")), NOT(REGEXMATCH(RawData_SemEval!$A$2:$A$800, ""(?i)ensemble""))), ""0.00"") &amp;"&amp;" 
"")"""),"(0.48, 0.56)")</f>
        <v>(0.48, 0.56)</v>
      </c>
      <c r="F17" s="89" t="str">
        <f>IFERROR(__xludf.DUMMYFUNCTION("""("" &amp; 
TEXT(FILTER(RawData_SemEval!$F$2:$F$800, REGEXMATCH(RawData_SemEval!$A$2:$A$800, ""(?i)(_|^)"" &amp; $A$1 &amp; ""(_|$)""), REGEXMATCH(RawData_SemEval!$A$2:$A$800, ""(?i)"" &amp; $A16), REGEXMATCH(RawData_SemEval!$A$2:$A$800, ""(?i)"" &amp; $E$1),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$A16), REGEXMATCH(RawData_SemEval!$A$2:$A$800, ""(?i)"" &amp; $E$1), NOT(REGEXMATCH(RawData_SemEval!$A$2:$A$800, ""(?i)complete"")), NOT(REGEXMATCH(RawData_SemEval!$A$2:$A$800, ""(?i)ensemble""))), ""0.00"") &amp;"&amp;" 
"")"""),"(0.26, 0.34)")</f>
        <v>(0.26, 0.34)</v>
      </c>
      <c r="G17" s="89" t="str">
        <f>IFERROR(__xludf.DUMMYFUNCTION("""("" &amp; 
TEXT(FILTER(RawData_SemEval!$C$2:$C$800, REGEXMATCH(RawData_SemEval!$A$2:$A$800, ""(?i)(_|^)"" &amp; $A$1 &amp; ""(_|$)""), REGEXMATCH(RawData_SemEval!$A$2:$A$800, ""(?i)"" &amp; $A16), REGEXMATCH(RawData_SemEval!$A$2:$A$800, ""(?i)"" &amp; $G$1),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$A16), REGEXMATCH(RawData_SemEval!$A$2:$A$800, ""(?i)"" &amp; $G$1), NOT(REGEXMATCH(RawData_SemEval!$A$2:$A$800, ""(?i)complete"")), NOT(REGEXMATCH(RawData_SemEval!$A$2:$A$800, ""(?i)ensemble""))), ""0.00"") &amp;"&amp;" 
"")"""),"(0.43, 0.52)")</f>
        <v>(0.43, 0.52)</v>
      </c>
      <c r="H17" s="89" t="str">
        <f>IFERROR(__xludf.DUMMYFUNCTION("""("" &amp; 
TEXT(FILTER(RawData_SemEval!$F$2:$F$800, REGEXMATCH(RawData_SemEval!$A$2:$A$800, ""(?i)(_|^)"" &amp; $A$1 &amp; ""(_|$)""), REGEXMATCH(RawData_SemEval!$A$2:$A$800, ""(?i)"" &amp; $A16), REGEXMATCH(RawData_SemEval!$A$2:$A$800, ""(?i)"" &amp; $G$1),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$A16), REGEXMATCH(RawData_SemEval!$A$2:$A$800, ""(?i)"" &amp; $G$1), NOT(REGEXMATCH(RawData_SemEval!$A$2:$A$800, ""(?i)complete"")), NOT(REGEXMATCH(RawData_SemEval!$A$2:$A$800, ""(?i)ensemble""))), ""0.00"") &amp;"&amp;" 
"")"""),"(0.22, 0.30)")</f>
        <v>(0.22, 0.30)</v>
      </c>
    </row>
    <row r="18">
      <c r="A18" s="84"/>
      <c r="B18" s="26" t="s">
        <v>74</v>
      </c>
      <c r="C18" s="93" t="str">
        <f>IFERROR(__xludf.DUMMYFUNCTION("FILTER(
  RawData_Ensembles!$B$2:$B$1300, 
  REGEXMATCH(RawData_Ensembles!$A$2:$A$1300, ""(?i)(_|^)"" &amp; $A$1 &amp; ""(_|$)""), 
  REGEXMATCH(RawData_Ensembles!$A$2:$A$1300, ""(?i)"" &amp; $A16), 
  REGEXMATCH(RawData_Ensembles!$A$2:$A$1300, ""(?i)"" &amp; $C$1), 
NOT"&amp;"(REGEXMATCH(RawData_Ensembles!$A$2:$A$1300, ""(?i)complete"")), 
  REGEXMATCH(RawData_Ensembles!$A$2:$A$1300, ""(?i)"" &amp; $B18)
)"),"")</f>
        <v/>
      </c>
      <c r="D18" s="93" t="str">
        <f>IFERROR(__xludf.DUMMYFUNCTION("FILTER(
  RawData_Ensembles!$C$2:$C$1300, 
  REGEXMATCH(RawData_Ensembles!$A$2:$A$1300, ""(?i)(_|^)"" &amp; $A$1 &amp; ""(_|$)""), 
  REGEXMATCH(RawData_Ensembles!$A$2:$A$1300, ""(?i)"" &amp; $A16), 
  REGEXMATCH(RawData_Ensembles!$A$2:$A$1300, ""(?i)"" &amp; $C$1), 
NOT"&amp;"(REGEXMATCH(RawData_Ensembles!$A$2:$A$1300, ""(?i)complete"")), 
  REGEXMATCH(RawData_Ensembles!$A$2:$A$1300, ""(?i)"" &amp; $B18)
)"),"")</f>
        <v/>
      </c>
      <c r="E18" s="88">
        <f>IFERROR(__xludf.DUMMYFUNCTION("FILTER(
  RawData_Ensembles!$B$2:$B$1300, 
  REGEXMATCH(RawData_Ensembles!$A$2:$A$1300, ""(?i)(_|^)"" &amp; $A$1 &amp; ""(_|$)""), 
  REGEXMATCH(RawData_Ensembles!$A$2:$A$1300, ""(?i)"" &amp; $A16), 
  REGEXMATCH(RawData_Ensembles!$A$2:$A$1300, ""(?i)"" &amp; $E$1), 
NOT"&amp;"(REGEXMATCH(RawData_Ensembles!$A$2:$A$1300, ""(?i)complete"")), 
  REGEXMATCH(RawData_Ensembles!$A$2:$A$1300, ""(?i)"" &amp; $B18)
)"),0.50664803033224)</f>
        <v>0.5066480303</v>
      </c>
      <c r="F18" s="88">
        <f>IFERROR(__xludf.DUMMYFUNCTION("FILTER(
  RawData_Ensembles!$C$2:$C$1300, 
  REGEXMATCH(RawData_Ensembles!$A$2:$A$1300, ""(?i)(_|^)"" &amp; $A$1 &amp; ""(_|$)""), 
  REGEXMATCH(RawData_Ensembles!$A$2:$A$1300, ""(?i)"" &amp; $A16), 
  REGEXMATCH(RawData_Ensembles!$A$2:$A$1300, ""(?i)"" &amp; $E$1), 
NOT"&amp;"(REGEXMATCH(RawData_Ensembles!$A$2:$A$1300, ""(?i)complete"")), 
  REGEXMATCH(RawData_Ensembles!$A$2:$A$1300, ""(?i)"" &amp; $B18)
)"),0.317835762977463)</f>
        <v>0.317835763</v>
      </c>
      <c r="G18" s="88">
        <f>IFERROR(__xludf.DUMMYFUNCTION("FILTER(
  RawData_Ensembles!$B$2:$B$1300, 
  REGEXMATCH(RawData_Ensembles!$A$2:$A$1300, ""(?i)(_|^)"" &amp; $A$1 &amp; ""(_|$)""), 
  REGEXMATCH(RawData_Ensembles!$A$2:$A$1300, ""(?i)"" &amp; $A16), 
  REGEXMATCH(RawData_Ensembles!$A$2:$A$1300, ""(?i)"" &amp; $G$1), 
NOT"&amp;"(REGEXMATCH(RawData_Ensembles!$A$2:$A$1300, ""(?i)complete"")), 
  REGEXMATCH(RawData_Ensembles!$A$2:$A$1300, ""(?i)"" &amp; $B18)
)"),0.481231925968768)</f>
        <v>0.481231926</v>
      </c>
      <c r="H18" s="88">
        <f>IFERROR(__xludf.DUMMYFUNCTION("FILTER(
  RawData_Ensembles!$C$2:$G$1300, 
  REGEXMATCH(RawData_Ensembles!$A$2:$A$1300, ""(?i)(_|^)"" &amp; $A$1 &amp; ""(_|$)""), 
  REGEXMATCH(RawData_Ensembles!$A$2:$A$1300, ""(?i)"" &amp; $A16), 
  REGEXMATCH(RawData_Ensembles!$A$2:$A$1300, ""(?i)"" &amp; $G$1), 
NOT"&amp;"(REGEXMATCH(RawData_Ensembles!$A$2:$A$1300, ""(?i)complete"")), 
  REGEXMATCH(RawData_Ensembles!$A$2:$A$1300, ""(?i)"" &amp; $B18)
)"),0.270836945330872)</f>
        <v>0.2708369453</v>
      </c>
      <c r="I18" s="11"/>
      <c r="J18" s="11"/>
      <c r="K18" s="11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</row>
    <row r="19">
      <c r="A19" s="84"/>
      <c r="B19" s="91" t="s">
        <v>75</v>
      </c>
      <c r="C19" s="93" t="str">
        <f>IFERROR(__xludf.DUMMYFUNCTION("FILTER(
  RawData_Ensembles!$B$2:$B$1300, 
  REGEXMATCH(RawData_Ensembles!$A$2:$A$1300, ""(?i)(_|^)"" &amp; $A$1 &amp; ""(_|$)""), 
  REGEXMATCH(RawData_Ensembles!$A$2:$A$1300, ""(?i)"" &amp; $A16), 
  REGEXMATCH(RawData_Ensembles!$A$2:$A$1300, ""(?i)"" &amp; $C$1), 
NOT"&amp;"(REGEXMATCH(RawData_Ensembles!$A$2:$A$1300, ""(?i)complete"")), 
  REGEXMATCH(RawData_Ensembles!$A$2:$A$1300, ""(?i)"" &amp; $B19)
)"),"")</f>
        <v/>
      </c>
      <c r="D19" s="93" t="str">
        <f>IFERROR(__xludf.DUMMYFUNCTION("FILTER(
  RawData_Ensembles!$C$2:$C$1300, 
  REGEXMATCH(RawData_Ensembles!$A$2:$A$1300, ""(?i)(_|^)"" &amp; $A$1 &amp; ""(_|$)""), 
  REGEXMATCH(RawData_Ensembles!$A$2:$A$1300, ""(?i)"" &amp; $A16), 
  REGEXMATCH(RawData_Ensembles!$A$2:$A$1300, ""(?i)"" &amp; $C$1), 
NOT"&amp;"(REGEXMATCH(RawData_Ensembles!$A$2:$A$1300, ""(?i)complete"")), 
  REGEXMATCH(RawData_Ensembles!$A$2:$A$1300, ""(?i)"" &amp; $B19)
)"),"")</f>
        <v/>
      </c>
      <c r="E19" s="88">
        <f>IFERROR(__xludf.DUMMYFUNCTION("FILTER(
  RawData_Ensembles!$B$2:$B$1300, 
  REGEXMATCH(RawData_Ensembles!$A$2:$A$1300, ""(?i)(_|^)"" &amp; $A$1 &amp; ""(_|$)""), 
  REGEXMATCH(RawData_Ensembles!$A$2:$A$1300, ""(?i)"" &amp; $A16), 
  REGEXMATCH(RawData_Ensembles!$A$2:$A$1300, ""(?i)"" &amp; $E$1), 
NOT"&amp;"(REGEXMATCH(RawData_Ensembles!$A$2:$A$1300, ""(?i)complete"")), 
  REGEXMATCH(RawData_Ensembles!$A$2:$A$1300, ""(?i)"" &amp; $B19)
)"),0.534146263093631)</f>
        <v>0.5341462631</v>
      </c>
      <c r="F19" s="88">
        <f>IFERROR(__xludf.DUMMYFUNCTION("FILTER(
  RawData_Ensembles!$C$2:$C$1300, 
  REGEXMATCH(RawData_Ensembles!$A$2:$A$1300, ""(?i)(_|^)"" &amp; $A$1 &amp; ""(_|$)""), 
  REGEXMATCH(RawData_Ensembles!$A$2:$A$1300, ""(?i)"" &amp; $A16), 
  REGEXMATCH(RawData_Ensembles!$A$2:$A$1300, ""(?i)"" &amp; $E$1), 
NOT"&amp;"(REGEXMATCH(RawData_Ensembles!$A$2:$A$1300, ""(?i)complete"")), 
  REGEXMATCH(RawData_Ensembles!$A$2:$A$1300, ""(?i)"" &amp; $B19)
)"),0.289004450340482)</f>
        <v>0.2890044503</v>
      </c>
      <c r="G19" s="88">
        <f>IFERROR(__xludf.DUMMYFUNCTION("FILTER(
  RawData_Ensembles!$B$2:$B$1300, 
  REGEXMATCH(RawData_Ensembles!$A$2:$A$1300, ""(?i)(_|^)"" &amp; $A$1 &amp; ""(_|$)""), 
  REGEXMATCH(RawData_Ensembles!$A$2:$A$1300, ""(?i)"" &amp; $A16), 
  REGEXMATCH(RawData_Ensembles!$A$2:$A$1300, ""(?i)"" &amp; $G$1), 
NOT"&amp;"(REGEXMATCH(RawData_Ensembles!$A$2:$A$1300, ""(?i)complete"")), 
  REGEXMATCH(RawData_Ensembles!$A$2:$A$1300, ""(?i)"" &amp; $B19)
)"),0.500070689544373)</f>
        <v>0.5000706895</v>
      </c>
      <c r="H19" s="88">
        <f>IFERROR(__xludf.DUMMYFUNCTION("FILTER(
  RawData_Ensembles!$C$2:$G$1300, 
  REGEXMATCH(RawData_Ensembles!$A$2:$A$1300, ""(?i)(_|^)"" &amp; $A$1 &amp; ""(_|$)""), 
  REGEXMATCH(RawData_Ensembles!$A$2:$A$1300, ""(?i)"" &amp; $A16), 
  REGEXMATCH(RawData_Ensembles!$A$2:$A$1300, ""(?i)"" &amp; $G$1), 
NOT"&amp;"(REGEXMATCH(RawData_Ensembles!$A$2:$A$1300, ""(?i)complete"")), 
  REGEXMATCH(RawData_Ensembles!$A$2:$A$1300, ""(?i)"" &amp; $B19)
)"),0.276499321641022)</f>
        <v>0.2764993216</v>
      </c>
      <c r="I19" s="11"/>
      <c r="J19" s="11"/>
      <c r="K19" s="11"/>
      <c r="L19" s="11"/>
    </row>
    <row r="20">
      <c r="A20" s="84" t="s">
        <v>389</v>
      </c>
      <c r="B20" s="26" t="s">
        <v>28</v>
      </c>
      <c r="C20" s="93" t="str">
        <f>IFERROR(__xludf.DUMMYFUNCTION("FILTER(
    RawData_SemEval!$B$2:$B$800, 
    REGEXMATCH(RawData_SemEval!$A$2:$A$800, ""(?i)(_|^)"" &amp; $A$1 &amp; ""(_|$)""), 
    REGEXMATCH(RawData_SemEval!$A$2:$A$800, ""(?i)"" &amp; $A20), 
    REGEXMATCH(RawData_SemEval!$A$2:$A$800, ""(?i)"" &amp; $C$1),
    NOT("&amp;"REGEXMATCH(RawData_SemEval!$A$2:$A$800, ""(?i)ensemble""))
  )"),"")</f>
        <v/>
      </c>
      <c r="D20" s="93" t="str">
        <f>IFERROR(__xludf.DUMMYFUNCTION("FILTER(RawData_SemEval!$E$2:$E$800, 
  REGEXMATCH(RawData_SemEval!$A$2:$A$800, ""(?i)(_|^)"" &amp; $A$1 &amp; ""(_|$)""), 
  REGEXMATCH(RawData_SemEval!$A$2:$A$800, ""(?i)"" &amp; $A20), 
  REGEXMATCH(RawData_SemEval!$A$2:$A$800, ""(?i)"" &amp; $C$1), 
  NOT(REGEXMATCH(R"&amp;"awData_SemEval!$A$2:$A$800,  ""(?i)ensemble""))
)"),"")</f>
        <v/>
      </c>
      <c r="E20" s="88">
        <f>IFERROR(__xludf.DUMMYFUNCTION("FILTER(
    RawData_SemEval!$B$2:$B$800, 
    REGEXMATCH(RawData_SemEval!$A$2:$A$800, ""(?i)(_|^)"" &amp; $A$1 &amp; ""(_|$)""), 
    REGEXMATCH(RawData_SemEval!$A$2:$A$800, ""(?i)"" &amp; $A20), 
    REGEXMATCH(RawData_SemEval!$A$2:$A$800, ""(?i)"" &amp; $E$1),
    NOT("&amp;"REGEXMATCH(RawData_SemEval!$A$2:$A$800, ""(?i)ensemble""))
  )"),0.493213067926225)</f>
        <v>0.4932130679</v>
      </c>
      <c r="F20" s="88">
        <f>IFERROR(__xludf.DUMMYFUNCTION("FILTER(RawData_SemEval!$E$2:$E$800, 
  REGEXMATCH(RawData_SemEval!$A$2:$A$800, ""(?i)(_|^)"" &amp; $A$1 &amp; ""(_|$)""), 
  REGEXMATCH(RawData_SemEval!$A$2:$A$800, ""(?i)"" &amp; $A20), 
  REGEXMATCH(RawData_SemEval!$A$2:$A$800, ""(?i)"" &amp; $E$1), 
  NOT(REGEXMATCH(R"&amp;"awData_SemEval!$A$2:$A$800,  ""(?i)ensemble""))
)"),0.274709964596806)</f>
        <v>0.2747099646</v>
      </c>
      <c r="G20" s="88">
        <f>IFERROR(__xludf.DUMMYFUNCTION("FILTER(
    RawData_SemEval!$B$2:$B$800, 
    REGEXMATCH(RawData_SemEval!$A$2:$A$800, ""(?i)(_|^)"" &amp; $A$1 &amp; ""(_|$)""), 
    REGEXMATCH(RawData_SemEval!$A$2:$A$800, ""(?i)"" &amp; $A20), 
    REGEXMATCH(RawData_SemEval!$A$2:$A$800, ""(?i)"" &amp; $G$1),
    NOT("&amp;"REGEXMATCH(RawData_SemEval!$A$2:$A$800, ""(?i)ensemble""))
  )"),0.430385701433069)</f>
        <v>0.4303857014</v>
      </c>
      <c r="H20" s="88">
        <f>IFERROR(__xludf.DUMMYFUNCTION("FILTER(RawData_SemEval!$E$2:$E$800, 
  REGEXMATCH(RawData_SemEval!$A$2:$A$800, ""(?i)(_|^)"" &amp; $A$1 &amp; ""(_|$)""), 
  REGEXMATCH(RawData_SemEval!$A$2:$A$800, ""(?i)"" &amp; $A20), 
  REGEXMATCH(RawData_SemEval!$A$2:$A$800, ""(?i)"" &amp; $G$1), 
  NOT(REGEXMATCH(R"&amp;"awData_SemEval!$A$2:$A$800,  ""(?i)ensemble""))
)"),0.246254129631052)</f>
        <v>0.2462541296</v>
      </c>
    </row>
    <row r="21">
      <c r="A21" s="84"/>
      <c r="B21" s="26"/>
      <c r="C21" s="93" t="str">
        <f>IFERROR(__xludf.DUMMYFUNCTION("""("" &amp; 
TEXT(FILTER(RawData_SemEval!$C$2:$C$800, REGEXMATCH(RawData_SemEval!$A$2:$A$800, ""(?i)(_|^)"" &amp; $A$1 &amp; ""(_|$)""), REGEXMATCH(RawData_SemEval!$A$2:$A$800, ""(?i)"" &amp; $A20),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$A20), REGEXMA"&amp;"TCH(RawData_SemEval!$A$2:$A$800, ""(?i)"" &amp; $C$1), NOT(REGEXMATCH(RawData_SemEval!$A$2:$A$800, ""(?i)ensemble""))), ""0.00"") &amp; 
"")"""),"(0.00, 0.00)")</f>
        <v>(0.00, 0.00)</v>
      </c>
      <c r="D21" s="93" t="str">
        <f>IFERROR(__xludf.DUMMYFUNCTION("""("" &amp; 
TEXT(FILTER(RawData_SemEval!$F$2:$F$800, REGEXMATCH(RawData_SemEval!$A$2:$A$800, ""(?i)(_|^)"" &amp; $A$1 &amp; ""(_|$)""), REGEXMATCH(RawData_SemEval!$A$2:$A$800, ""(?i)"" &amp; $A20),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$A20), REGEXMA"&amp;"TCH(RawData_SemEval!$A$2:$A$800, ""(?i)"" &amp; $C$1), NOT(REGEXMATCH(RawData_SemEval!$A$2:$A$800, ""(?i)ensemble""))), ""0.00"") &amp; 
"")"""),"(0.00, 0.00)")</f>
        <v>(0.00, 0.00)</v>
      </c>
      <c r="E21" s="89" t="str">
        <f>IFERROR(__xludf.DUMMYFUNCTION("""("" &amp; 
TEXT(FILTER(RawData_SemEval!$C$2:$C$800, REGEXMATCH(RawData_SemEval!$A$2:$A$800, ""(?i)(_|^)"" &amp; $A$1 &amp; ""(_|$)""), REGEXMATCH(RawData_SemEval!$A$2:$A$800, ""(?i)"" &amp; $A20),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$A20), REGEXMA"&amp;"TCH(RawData_SemEval!$A$2:$A$800, ""(?i)"" &amp; $E$1), NOT(REGEXMATCH(RawData_SemEval!$A$2:$A$800, ""(?i)ensemble""))), ""0.00"") &amp; 
"")"""),"(0.45, 0.54)")</f>
        <v>(0.45, 0.54)</v>
      </c>
      <c r="F21" s="89" t="str">
        <f>IFERROR(__xludf.DUMMYFUNCTION("""("" &amp; 
TEXT(FILTER(RawData_SemEval!$F$2:$F$800, REGEXMATCH(RawData_SemEval!$A$2:$A$800, ""(?i)(_|^)"" &amp; $A$1 &amp; ""(_|$)""), REGEXMATCH(RawData_SemEval!$A$2:$A$800, ""(?i)"" &amp; $A20),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$A20), REGEXMA"&amp;"TCH(RawData_SemEval!$A$2:$A$800, ""(?i)"" &amp; $E$1), NOT(REGEXMATCH(RawData_SemEval!$A$2:$A$800, ""(?i)ensemble""))), ""0.00"") &amp; 
"")"""),"(0.24, 0.32)")</f>
        <v>(0.24, 0.32)</v>
      </c>
      <c r="G21" s="89" t="str">
        <f>IFERROR(__xludf.DUMMYFUNCTION("""("" &amp; 
TEXT(FILTER(RawData_SemEval!$C$2:$C$800, REGEXMATCH(RawData_SemEval!$A$2:$A$800, ""(?i)(_|^)"" &amp; $A$1 &amp; ""(_|$)""), REGEXMATCH(RawData_SemEval!$A$2:$A$800, ""(?i)"" &amp; $A20),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$A20), REGEXMA"&amp;"TCH(RawData_SemEval!$A$2:$A$800, ""(?i)"" &amp; $G$1), NOT(REGEXMATCH(RawData_SemEval!$A$2:$A$800, ""(?i)ensemble""))), ""0.00"") &amp; 
"")"""),"(0.38, 0.48)")</f>
        <v>(0.38, 0.48)</v>
      </c>
      <c r="H21" s="89" t="str">
        <f>IFERROR(__xludf.DUMMYFUNCTION("""("" &amp; 
TEXT(FILTER(RawData_SemEval!$F$2:$F$800, REGEXMATCH(RawData_SemEval!$A$2:$A$800, ""(?i)(_|^)"" &amp; $A$1 &amp; ""(_|$)""), REGEXMATCH(RawData_SemEval!$A$2:$A$800, ""(?i)"" &amp; $A20),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$A20), REGEXMA"&amp;"TCH(RawData_SemEval!$A$2:$A$800, ""(?i)"" &amp; $G$1), NOT(REGEXMATCH(RawData_SemEval!$A$2:$A$800, ""(?i)ensemble""))), ""0.00"") &amp; 
"")"""),"(0.21, 0.29)")</f>
        <v>(0.21, 0.29)</v>
      </c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</row>
    <row r="22">
      <c r="A22" s="84"/>
      <c r="B22" s="26" t="s">
        <v>74</v>
      </c>
      <c r="C22" s="93" t="str">
        <f>IFERROR(__xludf.DUMMYFUNCTION("FILTER(
  RawData_Ensembles!$B$2:$B$1300, 
  REGEXMATCH(RawData_Ensembles!$A$2:$A$1300, ""(?i)(_|^)"" &amp; $A$1 &amp; ""(_|$)""), 
  REGEXMATCH(RawData_Ensembles!$A$2:$A$1300, ""(?i)"" &amp; $A20), 
  REGEXMATCH(RawData_Ensembles!$A$2:$A$1300, ""(?i)"" &amp; $C$1), 
  R"&amp;"EGEXMATCH(RawData_Ensembles!$A$2:$A$1300, ""(?i)"" &amp; $B22)
)"),"")</f>
        <v/>
      </c>
      <c r="D22" s="93" t="str">
        <f>IFERROR(__xludf.DUMMYFUNCTION("FILTER(
  RawData_Ensembles!$C$2:$C$1300, 
  REGEXMATCH(RawData_Ensembles!$A$2:$A$1300, ""(?i)(_|^)"" &amp; $A$1 &amp; ""(_|$)""), 
  REGEXMATCH(RawData_Ensembles!$A$2:$A$1300, ""(?i)"" &amp; $A20), 
  REGEXMATCH(RawData_Ensembles!$A$2:$A$1300, ""(?i)"" &amp; $C$1), 
  R"&amp;"EGEXMATCH(RawData_Ensembles!$A$2:$A$1300, ""(?i)"" &amp; $B22)
)"),"")</f>
        <v/>
      </c>
      <c r="E22" s="88">
        <f>IFERROR(__xludf.DUMMYFUNCTION("FILTER(
  RawData_Ensembles!$B$2:$B$1300, 
  REGEXMATCH(RawData_Ensembles!$A$2:$A$1300, ""(?i)(_|^)"" &amp; $A$1 &amp; ""(_|$)""), 
  REGEXMATCH(RawData_Ensembles!$A$2:$A$1300, ""(?i)"" &amp; $A20), 
  REGEXMATCH(RawData_Ensembles!$A$2:$A$1300, ""(?i)"" &amp; $E$1), 
  R"&amp;"EGEXMATCH(RawData_Ensembles!$A$2:$A$1300, ""(?i)"" &amp; $B22)
)"),0.480727459674828)</f>
        <v>0.4807274597</v>
      </c>
      <c r="F22" s="88">
        <f>IFERROR(__xludf.DUMMYFUNCTION("FILTER(
  RawData_Ensembles!$C$2:$C$1300, 
  REGEXMATCH(RawData_Ensembles!$A$2:$A$1300, ""(?i)(_|^)"" &amp; $A$1 &amp; ""(_|$)""), 
  REGEXMATCH(RawData_Ensembles!$A$2:$A$1300, ""(?i)"" &amp; $A20), 
  REGEXMATCH(RawData_Ensembles!$A$2:$A$1300, ""(?i)"" &amp; $E$1), 
  R"&amp;"EGEXMATCH(RawData_Ensembles!$A$2:$A$1300, ""(?i)"" &amp; $B22)
)"),0.27905048168206)</f>
        <v>0.2790504817</v>
      </c>
      <c r="G22" s="88">
        <f>IFERROR(__xludf.DUMMYFUNCTION("FILTER(
  RawData_Ensembles!$B$2:$B$1300, 
  REGEXMATCH(RawData_Ensembles!$A$2:$A$1300, ""(?i)(_|^)"" &amp; $A$1 &amp; ""(_|$)""), 
  REGEXMATCH(RawData_Ensembles!$A$2:$A$1300, ""(?i)"" &amp; $A20), 
  REGEXMATCH(RawData_Ensembles!$A$2:$A$1300, ""(?i)"" &amp; $G$1), 
  R"&amp;"EGEXMATCH(RawData_Ensembles!$A$2:$A$1300, ""(?i)"" &amp; $B22)
)"),0.439685752843647)</f>
        <v>0.4396857528</v>
      </c>
      <c r="H22" s="88">
        <f>IFERROR(__xludf.DUMMYFUNCTION("FILTER(
  RawData_Ensembles!$C$2:$G$1300, 
  REGEXMATCH(RawData_Ensembles!$A$2:$A$1300, ""(?i)(_|^)"" &amp; $A$1 &amp; ""(_|$)""), 
  REGEXMATCH(RawData_Ensembles!$A$2:$A$1300, ""(?i)"" &amp; $A20), 
  REGEXMATCH(RawData_Ensembles!$A$2:$A$1300, ""(?i)"" &amp; $G$1), 
  R"&amp;"EGEXMATCH(RawData_Ensembles!$A$2:$A$1300, ""(?i)"" &amp; $B22)
)"),0.240783755156224)</f>
        <v>0.2407837552</v>
      </c>
      <c r="I22" s="11"/>
      <c r="J22" s="11"/>
      <c r="K22" s="11"/>
      <c r="L22" s="11"/>
    </row>
    <row r="23">
      <c r="A23" s="84"/>
      <c r="B23" s="91" t="s">
        <v>75</v>
      </c>
      <c r="C23" s="93" t="str">
        <f>IFERROR(__xludf.DUMMYFUNCTION("FILTER(
  RawData_Ensembles!$B$2:$B$1300, 
  REGEXMATCH(RawData_Ensembles!$A$2:$A$1300, ""(?i)(_|^)"" &amp; $A$1 &amp; ""(_|$)""), 
  REGEXMATCH(RawData_Ensembles!$A$2:$A$1300, ""(?i)"" &amp; $A20), 
  REGEXMATCH(RawData_Ensembles!$A$2:$A$1300, ""(?i)"" &amp; $C$1), 
  R"&amp;"EGEXMATCH(RawData_Ensembles!$A$2:$A$1300, ""(?i)"" &amp; $B23)
)"),"")</f>
        <v/>
      </c>
      <c r="D23" s="93" t="str">
        <f>IFERROR(__xludf.DUMMYFUNCTION("FILTER(
  RawData_Ensembles!$C$2:$C$1300, 
  REGEXMATCH(RawData_Ensembles!$A$2:$A$1300, ""(?i)(_|^)"" &amp; $A$1 &amp; ""(_|$)""), 
  REGEXMATCH(RawData_Ensembles!$A$2:$A$1300, ""(?i)"" &amp; $A20), 
  REGEXMATCH(RawData_Ensembles!$A$2:$A$1300, ""(?i)"" &amp; $C$1), 
  R"&amp;"EGEXMATCH(RawData_Ensembles!$A$2:$A$1300, ""(?i)"" &amp; $B23)
)"),"")</f>
        <v/>
      </c>
      <c r="E23" s="88">
        <f>IFERROR(__xludf.DUMMYFUNCTION("FILTER(
  RawData_Ensembles!$B$2:$B$1300, 
  REGEXMATCH(RawData_Ensembles!$A$2:$A$1300, ""(?i)(_|^)"" &amp; $A$1 &amp; ""(_|$)""), 
  REGEXMATCH(RawData_Ensembles!$A$2:$A$1300, ""(?i)"" &amp; $A20), 
  REGEXMATCH(RawData_Ensembles!$A$2:$A$1300, ""(?i)"" &amp; $E$1), 
  R"&amp;"EGEXMATCH(RawData_Ensembles!$A$2:$A$1300, ""(?i)"" &amp; $B23)
)"),0.504200769990243)</f>
        <v>0.50420077</v>
      </c>
      <c r="F23" s="88">
        <f>IFERROR(__xludf.DUMMYFUNCTION("FILTER(
  RawData_Ensembles!$C$2:$C$1300, 
  REGEXMATCH(RawData_Ensembles!$A$2:$A$1300, ""(?i)(_|^)"" &amp; $A$1 &amp; ""(_|$)""), 
  REGEXMATCH(RawData_Ensembles!$A$2:$A$1300, ""(?i)"" &amp; $A20), 
  REGEXMATCH(RawData_Ensembles!$A$2:$A$1300, ""(?i)"" &amp; $E$1), 
  R"&amp;"EGEXMATCH(RawData_Ensembles!$A$2:$A$1300, ""(?i)"" &amp; $B23)
)"),0.27062473262759)</f>
        <v>0.2706247326</v>
      </c>
      <c r="G23" s="88">
        <f>IFERROR(__xludf.DUMMYFUNCTION("FILTER(
  RawData_Ensembles!$B$2:$B$1300, 
  REGEXMATCH(RawData_Ensembles!$A$2:$A$1300, ""(?i)(_|^)"" &amp; $A$1 &amp; ""(_|$)""), 
  REGEXMATCH(RawData_Ensembles!$A$2:$A$1300, ""(?i)"" &amp; $A20), 
  REGEXMATCH(RawData_Ensembles!$A$2:$A$1300, ""(?i)"" &amp; $G$1), 
  R"&amp;"EGEXMATCH(RawData_Ensembles!$A$2:$A$1300, ""(?i)"" &amp; $B23)
)"),0.445890366942998)</f>
        <v>0.4458903669</v>
      </c>
      <c r="H23" s="88">
        <f>IFERROR(__xludf.DUMMYFUNCTION("FILTER(
  RawData_Ensembles!$C$2:$G$1300, 
  REGEXMATCH(RawData_Ensembles!$A$2:$A$1300, ""(?i)(_|^)"" &amp; $A$1 &amp; ""(_|$)""), 
  REGEXMATCH(RawData_Ensembles!$A$2:$A$1300, ""(?i)"" &amp; $A20), 
  REGEXMATCH(RawData_Ensembles!$A$2:$A$1300, ""(?i)"" &amp; $G$1), 
  R"&amp;"EGEXMATCH(RawData_Ensembles!$A$2:$A$1300, ""(?i)"" &amp; $B23)
)"),0.264374655801185)</f>
        <v>0.2643746558</v>
      </c>
      <c r="I23" s="11"/>
      <c r="J23" s="11"/>
      <c r="K23" s="11"/>
      <c r="L23" s="11"/>
    </row>
    <row r="24">
      <c r="A24" s="84" t="s">
        <v>115</v>
      </c>
      <c r="B24" s="26" t="s">
        <v>22</v>
      </c>
      <c r="C24" s="93" t="str">
        <f>IFERROR(__xludf.DUMMYFUNCTION("FILTER(
    RawData_SemEval!$B$2:$B$800, 
    REGEXMATCH(RawData_SemEval!$A$2:$A$800, ""(?i)(_|^)"" &amp; $A$1 &amp; ""(_|$)""), 
    REGEXMATCH(RawData_SemEval!$A$2:$A$800, ""(?i)"" &amp; $A24), 
    REGEXMATCH(RawData_SemEval!$A$2:$A$800, ""(?i)"" &amp; $C$1),
    NOT("&amp;"REGEXMATCH(RawData_SemEval!$A$2:$A$800, ""(?i)ensemble""))
  )"),"")</f>
        <v/>
      </c>
      <c r="D24" s="93" t="str">
        <f>IFERROR(__xludf.DUMMYFUNCTION("FILTER(RawData_SemEval!$E$2:$E$800, 
  REGEXMATCH(RawData_SemEval!$A$2:$A$800, ""(?i)(_|^)"" &amp; $A$1 &amp; ""(_|$)""), 
  REGEXMATCH(RawData_SemEval!$A$2:$A$800, ""(?i)"" &amp; $A24), 
  REGEXMATCH(RawData_SemEval!$A$2:$A$800, ""(?i)"" &amp; $C$1), 
  NOT(REGEXMATCH(R"&amp;"awData_SemEval!$A$2:$A$800,  ""(?i)ensemble""))
)"),"")</f>
        <v/>
      </c>
      <c r="E24" s="88">
        <f>IFERROR(__xludf.DUMMYFUNCTION("FILTER(
    RawData_SemEval!$B$2:$B$800, 
    REGEXMATCH(RawData_SemEval!$A$2:$A$800, ""(?i)(_|^)"" &amp; $A$1 &amp; ""(_|$)""), 
    REGEXMATCH(RawData_SemEval!$A$2:$A$800, ""(?i)"" &amp; $A24), 
    REGEXMATCH(RawData_SemEval!$A$2:$A$800, ""(?i)"" &amp; $E$1),
    NOT("&amp;"REGEXMATCH(RawData_SemEval!$A$2:$A$800, ""(?i)ensemble""))
  )"),0.507974487500803)</f>
        <v>0.5079744875</v>
      </c>
      <c r="F24" s="88">
        <f>IFERROR(__xludf.DUMMYFUNCTION("FILTER(RawData_SemEval!$E$2:$E$800, 
  REGEXMATCH(RawData_SemEval!$A$2:$A$800, ""(?i)(_|^)"" &amp; $A$1 &amp; ""(_|$)""), 
  REGEXMATCH(RawData_SemEval!$A$2:$A$800, ""(?i)"" &amp; $A24), 
  REGEXMATCH(RawData_SemEval!$A$2:$A$800, ""(?i)"" &amp; $E$1), 
  NOT(REGEXMATCH(R"&amp;"awData_SemEval!$A$2:$A$800,  ""(?i)ensemble""))
)"),0.302492234036768)</f>
        <v>0.302492234</v>
      </c>
      <c r="G24" s="88">
        <f>IFERROR(__xludf.DUMMYFUNCTION("FILTER(
    RawData_SemEval!$B$2:$B$800, 
    REGEXMATCH(RawData_SemEval!$A$2:$A$800, ""(?i)(_|^)"" &amp; $A$1 &amp; ""(_|$)""), 
    REGEXMATCH(RawData_SemEval!$A$2:$A$800, ""(?i)"" &amp; $A24), 
    REGEXMATCH(RawData_SemEval!$A$2:$A$800, ""(?i)"" &amp; $G$1),
    NOT("&amp;"REGEXMATCH(RawData_SemEval!$A$2:$A$800, ""(?i)ensemble""))
  )"),0.413172598162071)</f>
        <v>0.4131725982</v>
      </c>
      <c r="H24" s="88">
        <f>IFERROR(__xludf.DUMMYFUNCTION("FILTER(RawData_SemEval!$E$2:$E$800, 
  REGEXMATCH(RawData_SemEval!$A$2:$A$800, ""(?i)(_|^)"" &amp; $A$1 &amp; ""(_|$)""), 
  REGEXMATCH(RawData_SemEval!$A$2:$A$800, ""(?i)"" &amp; $A24), 
  REGEXMATCH(RawData_SemEval!$A$2:$A$800, ""(?i)"" &amp; $G$1), 
  NOT(REGEXMATCH(R"&amp;"awData_SemEval!$A$2:$A$800,  ""(?i)ensemble""))
)"),0.238469869626549)</f>
        <v>0.2384698696</v>
      </c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</row>
    <row r="25">
      <c r="A25" s="84"/>
      <c r="B25" s="26"/>
      <c r="C25" s="93" t="str">
        <f>IFERROR(__xludf.DUMMYFUNCTION("""("" &amp; 
TEXT(FILTER(RawData_SemEval!$C$2:$C$800, REGEXMATCH(RawData_SemEval!$A$2:$A$800, ""(?i)(_|^)"" &amp; $A$1 &amp; ""(_|$)""), REGEXMATCH(RawData_SemEval!$A$2:$A$800, ""(?i)"" &amp; $A24),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$A24), REGEXMA"&amp;"TCH(RawData_SemEval!$A$2:$A$800, ""(?i)"" &amp; $C$1), NOT(REGEXMATCH(RawData_SemEval!$A$2:$A$800, ""(?i)ensemble""))), ""0.00"") &amp; 
"")"""),"(0.00, 0.00)")</f>
        <v>(0.00, 0.00)</v>
      </c>
      <c r="D25" s="93" t="str">
        <f>IFERROR(__xludf.DUMMYFUNCTION("""("" &amp; 
TEXT(FILTER(RawData_SemEval!$F$2:$F$800, REGEXMATCH(RawData_SemEval!$A$2:$A$800, ""(?i)(_|^)"" &amp; $A$1 &amp; ""(_|$)""), REGEXMATCH(RawData_SemEval!$A$2:$A$800, ""(?i)"" &amp; $A24),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$A24), REGEXMA"&amp;"TCH(RawData_SemEval!$A$2:$A$800, ""(?i)"" &amp; $C$1), NOT(REGEXMATCH(RawData_SemEval!$A$2:$A$800, ""(?i)ensemble""))), ""0.00"") &amp; 
"")"""),"(0.00, 0.00)")</f>
        <v>(0.00, 0.00)</v>
      </c>
      <c r="E25" s="89" t="str">
        <f>IFERROR(__xludf.DUMMYFUNCTION("""("" &amp; 
TEXT(FILTER(RawData_SemEval!$C$2:$C$800, REGEXMATCH(RawData_SemEval!$A$2:$A$800, ""(?i)(_|^)"" &amp; $A$1 &amp; ""(_|$)""), REGEXMATCH(RawData_SemEval!$A$2:$A$800, ""(?i)"" &amp; $A24),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$A24), REGEXMA"&amp;"TCH(RawData_SemEval!$A$2:$A$800, ""(?i)"" &amp; $E$1), NOT(REGEXMATCH(RawData_SemEval!$A$2:$A$800, ""(?i)ensemble""))), ""0.00"") &amp; 
"")"""),"(0.46, 0.55)")</f>
        <v>(0.46, 0.55)</v>
      </c>
      <c r="F25" s="89" t="str">
        <f>IFERROR(__xludf.DUMMYFUNCTION("""("" &amp; 
TEXT(FILTER(RawData_SemEval!$F$2:$F$800, REGEXMATCH(RawData_SemEval!$A$2:$A$800, ""(?i)(_|^)"" &amp; $A$1 &amp; ""(_|$)""), REGEXMATCH(RawData_SemEval!$A$2:$A$800, ""(?i)"" &amp; $A24),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$A24), REGEXMA"&amp;"TCH(RawData_SemEval!$A$2:$A$800, ""(?i)"" &amp; $E$1), NOT(REGEXMATCH(RawData_SemEval!$A$2:$A$800, ""(?i)ensemble""))), ""0.00"") &amp; 
"")"""),"(0.26, 0.34)")</f>
        <v>(0.26, 0.34)</v>
      </c>
      <c r="G25" s="89" t="str">
        <f>IFERROR(__xludf.DUMMYFUNCTION("""("" &amp; 
TEXT(FILTER(RawData_SemEval!$C$2:$C$800, REGEXMATCH(RawData_SemEval!$A$2:$A$800, ""(?i)(_|^)"" &amp; $A$1 &amp; ""(_|$)""), REGEXMATCH(RawData_SemEval!$A$2:$A$800, ""(?i)"" &amp; $A24),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$A24), REGEXMA"&amp;"TCH(RawData_SemEval!$A$2:$A$800, ""(?i)"" &amp; $G$1), NOT(REGEXMATCH(RawData_SemEval!$A$2:$A$800, ""(?i)ensemble""))), ""0.00"") &amp; 
"")"""),"(0.37, 0.46)")</f>
        <v>(0.37, 0.46)</v>
      </c>
      <c r="H25" s="89" t="str">
        <f>IFERROR(__xludf.DUMMYFUNCTION("""("" &amp; 
TEXT(FILTER(RawData_SemEval!$F$2:$F$800, REGEXMATCH(RawData_SemEval!$A$2:$A$800, ""(?i)(_|^)"" &amp; $A$1 &amp; ""(_|$)""), REGEXMATCH(RawData_SemEval!$A$2:$A$800, ""(?i)"" &amp; $A24),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$A24), REGEXMA"&amp;"TCH(RawData_SemEval!$A$2:$A$800, ""(?i)"" &amp; $G$1), NOT(REGEXMATCH(RawData_SemEval!$A$2:$A$800, ""(?i)ensemble""))), ""0.00"") &amp; 
"")"""),"(0.20, 0.28)")</f>
        <v>(0.20, 0.28)</v>
      </c>
    </row>
    <row r="26">
      <c r="A26" s="84"/>
      <c r="B26" s="26" t="s">
        <v>74</v>
      </c>
      <c r="C26" s="93" t="str">
        <f>IFERROR(__xludf.DUMMYFUNCTION("FILTER(
  RawData_Ensembles!$B$2:$B$1300, 
  REGEXMATCH(RawData_Ensembles!$A$2:$A$1300, ""(?i)(_|^)"" &amp; $A$1 &amp; ""(_|$)""), 
  REGEXMATCH(RawData_Ensembles!$A$2:$A$1300, ""(?i)"" &amp; $A24), 
  REGEXMATCH(RawData_Ensembles!$A$2:$A$1300, ""(?i)"" &amp; $C$1), 
  R"&amp;"EGEXMATCH(RawData_Ensembles!$A$2:$A$1300, ""(?i)"" &amp; $B26)
)"),"")</f>
        <v/>
      </c>
      <c r="D26" s="93" t="str">
        <f>IFERROR(__xludf.DUMMYFUNCTION("FILTER(
  RawData_Ensembles!$C$2:$C$1300, 
  REGEXMATCH(RawData_Ensembles!$A$2:$A$1300, ""(?i)(_|^)"" &amp; $A$1 &amp; ""(_|$)""), 
  REGEXMATCH(RawData_Ensembles!$A$2:$A$1300, ""(?i)"" &amp; $A24), 
  REGEXMATCH(RawData_Ensembles!$A$2:$A$1300, ""(?i)"" &amp; $C$1), 
  R"&amp;"EGEXMATCH(RawData_Ensembles!$A$2:$A$1300, ""(?i)"" &amp; $B26)
)"),"")</f>
        <v/>
      </c>
      <c r="E26" s="88">
        <f>IFERROR(__xludf.DUMMYFUNCTION("FILTER(
  RawData_Ensembles!$B$2:$B$1300, 
  REGEXMATCH(RawData_Ensembles!$A$2:$A$1300, ""(?i)(_|^)"" &amp; $A$1 &amp; ""(_|$)""), 
  REGEXMATCH(RawData_Ensembles!$A$2:$A$1300, ""(?i)"" &amp; $A24), 
  REGEXMATCH(RawData_Ensembles!$A$2:$A$1300, ""(?i)"" &amp; $E$1), 
  R"&amp;"EGEXMATCH(RawData_Ensembles!$A$2:$A$1300, ""(?i)"" &amp; $B26)
)"),0.507441681125891)</f>
        <v>0.5074416811</v>
      </c>
      <c r="F26" s="88">
        <f>IFERROR(__xludf.DUMMYFUNCTION("FILTER(
  RawData_Ensembles!$C$2:$C$1300, 
  REGEXMATCH(RawData_Ensembles!$A$2:$A$1300, ""(?i)(_|^)"" &amp; $A$1 &amp; ""(_|$)""), 
  REGEXMATCH(RawData_Ensembles!$A$2:$A$1300, ""(?i)"" &amp; $A24), 
  REGEXMATCH(RawData_Ensembles!$A$2:$A$1300, ""(?i)"" &amp; $E$1), 
  R"&amp;"EGEXMATCH(RawData_Ensembles!$A$2:$A$1300, ""(?i)"" &amp; $B26)
)"),0.317826123494139)</f>
        <v>0.3178261235</v>
      </c>
      <c r="G26" s="88">
        <f>IFERROR(__xludf.DUMMYFUNCTION("FILTER(
  RawData_Ensembles!$B$2:$B$1300, 
  REGEXMATCH(RawData_Ensembles!$A$2:$A$1300, ""(?i)(_|^)"" &amp; $A$1 &amp; ""(_|$)""), 
  REGEXMATCH(RawData_Ensembles!$A$2:$A$1300, ""(?i)"" &amp; $A24), 
  REGEXMATCH(RawData_Ensembles!$A$2:$A$1300, ""(?i)"" &amp; $G$1), 
  R"&amp;"EGEXMATCH(RawData_Ensembles!$A$2:$A$1300, ""(?i)"" &amp; $B26)
)"),0.411731251204935)</f>
        <v>0.4117312512</v>
      </c>
      <c r="H26" s="88">
        <f>IFERROR(__xludf.DUMMYFUNCTION("FILTER(
  RawData_Ensembles!$C$2:$G$1300, 
  REGEXMATCH(RawData_Ensembles!$A$2:$A$1300, ""(?i)(_|^)"" &amp; $A$1 &amp; ""(_|$)""), 
  REGEXMATCH(RawData_Ensembles!$A$2:$A$1300, ""(?i)"" &amp; $A24), 
  REGEXMATCH(RawData_Ensembles!$A$2:$A$1300, ""(?i)"" &amp; $G$1), 
  R"&amp;"EGEXMATCH(RawData_Ensembles!$A$2:$A$1300, ""(?i)"" &amp; $B26)
)"),0.248670627617996)</f>
        <v>0.2486706276</v>
      </c>
      <c r="I26" s="11"/>
      <c r="J26" s="11"/>
      <c r="K26" s="11"/>
      <c r="L26" s="11"/>
    </row>
    <row r="27">
      <c r="A27" s="84"/>
      <c r="B27" s="91" t="s">
        <v>75</v>
      </c>
      <c r="C27" s="93" t="str">
        <f>IFERROR(__xludf.DUMMYFUNCTION("FILTER(
  RawData_Ensembles!$B$2:$B$1300, 
  REGEXMATCH(RawData_Ensembles!$A$2:$A$1300, ""(?i)(_|^)"" &amp; $A$1 &amp; ""(_|$)""), 
  REGEXMATCH(RawData_Ensembles!$A$2:$A$1300, ""(?i)"" &amp; $A24), 
  REGEXMATCH(RawData_Ensembles!$A$2:$A$1300, ""(?i)"" &amp; $C$1), 
  R"&amp;"EGEXMATCH(RawData_Ensembles!$A$2:$A$1300, ""(?i)"" &amp; $B27)
)"),"")</f>
        <v/>
      </c>
      <c r="D27" s="93" t="str">
        <f>IFERROR(__xludf.DUMMYFUNCTION("FILTER(
  RawData_Ensembles!$C$2:$C$1300, 
  REGEXMATCH(RawData_Ensembles!$A$2:$A$1300, ""(?i)(_|^)"" &amp; $A$1 &amp; ""(_|$)""), 
  REGEXMATCH(RawData_Ensembles!$A$2:$A$1300, ""(?i)"" &amp; $A24), 
  REGEXMATCH(RawData_Ensembles!$A$2:$A$1300, ""(?i)"" &amp; $C$1), 
  R"&amp;"EGEXMATCH(RawData_Ensembles!$A$2:$A$1300, ""(?i)"" &amp; $B27)
)"),"")</f>
        <v/>
      </c>
      <c r="E27" s="88">
        <f>IFERROR(__xludf.DUMMYFUNCTION("FILTER(
  RawData_Ensembles!$B$2:$B$1300, 
  REGEXMATCH(RawData_Ensembles!$A$2:$A$1300, ""(?i)(_|^)"" &amp; $A$1 &amp; ""(_|$)""), 
  REGEXMATCH(RawData_Ensembles!$A$2:$A$1300, ""(?i)"" &amp; $A24), 
  REGEXMATCH(RawData_Ensembles!$A$2:$A$1300, ""(?i)"" &amp; $E$1), 
  R"&amp;"EGEXMATCH(RawData_Ensembles!$A$2:$A$1300, ""(?i)"" &amp; $B27)
)"),0.524845622214043)</f>
        <v>0.5248456222</v>
      </c>
      <c r="F27" s="88">
        <f>IFERROR(__xludf.DUMMYFUNCTION("FILTER(
  RawData_Ensembles!$C$2:$C$1300, 
  REGEXMATCH(RawData_Ensembles!$A$2:$A$1300, ""(?i)(_|^)"" &amp; $A$1 &amp; ""(_|$)""), 
  REGEXMATCH(RawData_Ensembles!$A$2:$A$1300, ""(?i)"" &amp; $A24), 
  REGEXMATCH(RawData_Ensembles!$A$2:$A$1300, ""(?i)"" &amp; $E$1), 
  R"&amp;"EGEXMATCH(RawData_Ensembles!$A$2:$A$1300, ""(?i)"" &amp; $B27)
)"),0.303132292808406)</f>
        <v>0.3031322928</v>
      </c>
      <c r="G27" s="88">
        <f>IFERROR(__xludf.DUMMYFUNCTION("FILTER(
  RawData_Ensembles!$B$2:$B$1300, 
  REGEXMATCH(RawData_Ensembles!$A$2:$A$1300, ""(?i)(_|^)"" &amp; $A$1 &amp; ""(_|$)""), 
  REGEXMATCH(RawData_Ensembles!$A$2:$A$1300, ""(?i)"" &amp; $A24), 
  REGEXMATCH(RawData_Ensembles!$A$2:$A$1300, ""(?i)"" &amp; $G$1), 
  R"&amp;"EGEXMATCH(RawData_Ensembles!$A$2:$A$1300, ""(?i)"" &amp; $B27)
)"),0.43582440950862)</f>
        <v>0.4358244095</v>
      </c>
      <c r="H27" s="88">
        <f>IFERROR(__xludf.DUMMYFUNCTION("FILTER(
  RawData_Ensembles!$C$2:$G$1300, 
  REGEXMATCH(RawData_Ensembles!$A$2:$A$1300, ""(?i)(_|^)"" &amp; $A$1 &amp; ""(_|$)""), 
  REGEXMATCH(RawData_Ensembles!$A$2:$A$1300, ""(?i)"" &amp; $A24), 
  REGEXMATCH(RawData_Ensembles!$A$2:$A$1300, ""(?i)"" &amp; $G$1), 
  R"&amp;"EGEXMATCH(RawData_Ensembles!$A$2:$A$1300, ""(?i)"" &amp; $B27)
)"),0.250657282438659)</f>
        <v>0.2506572824</v>
      </c>
      <c r="I27" s="11"/>
      <c r="J27" s="11"/>
      <c r="K27" s="11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</row>
    <row r="28">
      <c r="A28" s="84" t="s">
        <v>676</v>
      </c>
      <c r="B28" s="26" t="s">
        <v>25</v>
      </c>
      <c r="C28" s="93" t="str">
        <f>IFERROR(__xludf.DUMMYFUNCTION("FILTER(
    RawData_SemEval!$B$2:$B$800, 
    REGEXMATCH(RawData_SemEval!$A$2:$A$800, ""(?i)(_|^)"" &amp; $A$1 &amp; ""(_|$)""), 
    REGEXMATCH(RawData_SemEval!$A$2:$A$800, ""(?i)"" &amp; $A28), 
    REGEXMATCH(RawData_SemEval!$A$2:$A$800, ""(?i)"" &amp; $C$1),
NOT(REGE"&amp;"XMATCH(RawData_SemEval!$A$2:$A$800, ""(?i)complete"")), 
    NOT(REGEXMATCH(RawData_SemEval!$A$2:$A$800, ""(?i)ensemble""))
  )"),"")</f>
        <v/>
      </c>
      <c r="D28" s="93" t="str">
        <f>IFERROR(__xludf.DUMMYFUNCTION("FILTER(RawData_SemEval!$E$2:$E$800, 
  REGEXMATCH(RawData_SemEval!$A$2:$A$800, ""(?i)(_|^)"" &amp; $A$1 &amp; ""(_|$)""), 
  REGEXMATCH(RawData_SemEval!$A$2:$A$800, ""(?i)"" &amp; $A28), 
  REGEXMATCH(RawData_SemEval!$A$2:$A$800, ""(?i)"" &amp; $C$1), 
NOT(REGEXMATCH(Raw"&amp;"Data_SemEval!$A$2:$A$800, ""(?i)complete"")), 
  NOT(REGEXMATCH(RawData_SemEval!$A$2:$A$800,  ""(?i)ensemble""))
)"),"")</f>
        <v/>
      </c>
      <c r="E28" s="88">
        <f>IFERROR(__xludf.DUMMYFUNCTION("FILTER(
    RawData_SemEval!$B$2:$B$800, 
    REGEXMATCH(RawData_SemEval!$A$2:$A$800, ""(?i)(_|^)"" &amp; $A$1 &amp; ""(_|$)""), 
    REGEXMATCH(RawData_SemEval!$A$2:$A$800, ""(?i)"" &amp; $A28), 
    REGEXMATCH(RawData_SemEval!$A$2:$A$800, ""(?i)"" &amp; $E$1),
NOT(REGE"&amp;"XMATCH(RawData_SemEval!$A$2:$A$800, ""(?i)complete"")), 
    NOT(REGEXMATCH(RawData_SemEval!$A$2:$A$800, ""(?i)ensemble""))
  )"),0.499797384486858)</f>
        <v>0.4997973845</v>
      </c>
      <c r="F28" s="88">
        <f>IFERROR(__xludf.DUMMYFUNCTION("FILTER(RawData_SemEval!$E$2:$E$800, 
  REGEXMATCH(RawData_SemEval!$A$2:$A$800, ""(?i)(_|^)"" &amp; $A$1 &amp; ""(_|$)""), 
  REGEXMATCH(RawData_SemEval!$A$2:$A$800, ""(?i)"" &amp; $A28), 
  REGEXMATCH(RawData_SemEval!$A$2:$A$800, ""(?i)"" &amp; $E$1), 
NOT(REGEXMATCH(Raw"&amp;"Data_SemEval!$A$2:$A$800, ""(?i)complete"")), 
  NOT(REGEXMATCH(RawData_SemEval!$A$2:$A$800,  ""(?i)ensemble""))
)"),0.275172661886022)</f>
        <v>0.2751726619</v>
      </c>
      <c r="G28" s="88">
        <f>IFERROR(__xludf.DUMMYFUNCTION("FILTER(
    RawData_SemEval!$B$2:$B$800, 
    REGEXMATCH(RawData_SemEval!$A$2:$A$800, ""(?i)(_|^)"" &amp; $A$1 &amp; ""(_|$)""), 
    REGEXMATCH(RawData_SemEval!$A$2:$A$800, ""(?i)"" &amp; $A28), 
    REGEXMATCH(RawData_SemEval!$A$2:$A$800, ""(?i)"" &amp; $G$1),
NOT(REGE"&amp;"XMATCH(RawData_SemEval!$A$2:$A$800, ""(?i)complete"")), 
    NOT(REGEXMATCH(RawData_SemEval!$A$2:$A$800, ""(?i)ensemble""))
  )"),0.447556318827371)</f>
        <v>0.4475563188</v>
      </c>
      <c r="H28" s="88">
        <f>IFERROR(__xludf.DUMMYFUNCTION("FILTER(RawData_SemEval!$E$2:$E$800, 
  REGEXMATCH(RawData_SemEval!$A$2:$A$800, ""(?i)(_|^)"" &amp; $A$1 &amp; ""(_|$)""), 
  REGEXMATCH(RawData_SemEval!$A$2:$A$800, ""(?i)"" &amp; $A28), 
  REGEXMATCH(RawData_SemEval!$A$2:$A$800, ""(?i)"" &amp; $G$1), 
NOT(REGEXMATCH(Raw"&amp;"Data_SemEval!$A$2:$A$800, ""(?i)complete"")), 
  NOT(REGEXMATCH(RawData_SemEval!$A$2:$A$800,  ""(?i)ensemble""))
)"),0.260569443848998)</f>
        <v>0.2605694438</v>
      </c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</row>
    <row r="29">
      <c r="A29" s="84"/>
      <c r="B29" s="26"/>
      <c r="C29" s="93" t="str">
        <f>IFERROR(__xludf.DUMMYFUNCTION("""("" &amp; 
TEXT(FILTER(RawData_SemEval!$C$2:$C$800, REGEXMATCH(RawData_SemEval!$A$2:$A$800, ""(?i)(_|^)"" &amp; $A$1 &amp; ""(_|$)""), REGEXMATCH(RawData_SemEval!$A$2:$A$800, ""(?i)"" &amp; $A28), REGEXMATCH(RawData_SemEval!$A$2:$A$800, ""(?i)"" &amp; $C$1),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$A28), REGEXMATCH(RawData_SemEval!$A$2:$A$800, ""(?i)"" &amp; $C$1), NOT(REGEXMATCH(RawData_SemEval!$A$2:$A$800, ""(?i)complete"")), NOT(REGEXMATCH(RawData_SemEval!$A$2:$A$800, ""(?i)ensemble""))), ""0.00"") &amp;"&amp;" 
"")"""),"(0.00, 0.00)")</f>
        <v>(0.00, 0.00)</v>
      </c>
      <c r="D29" s="93" t="str">
        <f>IFERROR(__xludf.DUMMYFUNCTION("""("" &amp; 
TEXT(FILTER(RawData_SemEval!$F$2:$F$800, REGEXMATCH(RawData_SemEval!$A$2:$A$800, ""(?i)(_|^)"" &amp; $A$1 &amp; ""(_|$)""), REGEXMATCH(RawData_SemEval!$A$2:$A$800, ""(?i)"" &amp; $A28), REGEXMATCH(RawData_SemEval!$A$2:$A$800, ""(?i)"" &amp; $C$1),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$A28), REGEXMATCH(RawData_SemEval!$A$2:$A$800, ""(?i)"" &amp; $C$1), NOT(REGEXMATCH(RawData_SemEval!$A$2:$A$800, ""(?i)complete"")), NOT(REGEXMATCH(RawData_SemEval!$A$2:$A$800, ""(?i)ensemble""))), ""0.00"") &amp;"&amp;" 
"")"""),"(0.00, 0.00)")</f>
        <v>(0.00, 0.00)</v>
      </c>
      <c r="E29" s="89" t="str">
        <f>IFERROR(__xludf.DUMMYFUNCTION("""("" &amp; 
TEXT(FILTER(RawData_SemEval!$C$2:$C$800, REGEXMATCH(RawData_SemEval!$A$2:$A$800, ""(?i)(_|^)"" &amp; $A$1 &amp; ""(_|$)""), REGEXMATCH(RawData_SemEval!$A$2:$A$800, ""(?i)"" &amp; $A28), REGEXMATCH(RawData_SemEval!$A$2:$A$800, ""(?i)"" &amp; $E$1),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$A28), REGEXMATCH(RawData_SemEval!$A$2:$A$800, ""(?i)"" &amp; $E$1), NOT(REGEXMATCH(RawData_SemEval!$A$2:$A$800, ""(?i)complete"")), NOT(REGEXMATCH(RawData_SemEval!$A$2:$A$800, ""(?i)ensemble""))), ""0.00"") &amp;"&amp;" 
"")"""),"(0.45, 0.55)")</f>
        <v>(0.45, 0.55)</v>
      </c>
      <c r="F29" s="89" t="str">
        <f>IFERROR(__xludf.DUMMYFUNCTION("""("" &amp; 
TEXT(FILTER(RawData_SemEval!$F$2:$F$800, REGEXMATCH(RawData_SemEval!$A$2:$A$800, ""(?i)(_|^)"" &amp; $A$1 &amp; ""(_|$)""), REGEXMATCH(RawData_SemEval!$A$2:$A$800, ""(?i)"" &amp; $A28), REGEXMATCH(RawData_SemEval!$A$2:$A$800, ""(?i)"" &amp; $E$1),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$A28), REGEXMATCH(RawData_SemEval!$A$2:$A$800, ""(?i)"" &amp; $E$1), NOT(REGEXMATCH(RawData_SemEval!$A$2:$A$800, ""(?i)complete"")), NOT(REGEXMATCH(RawData_SemEval!$A$2:$A$800, ""(?i)ensemble""))), ""0.00"") &amp;"&amp;" 
"")"""),"(0.24, 0.32)")</f>
        <v>(0.24, 0.32)</v>
      </c>
      <c r="G29" s="89" t="str">
        <f>IFERROR(__xludf.DUMMYFUNCTION("""("" &amp; 
TEXT(FILTER(RawData_SemEval!$C$2:$C$800, REGEXMATCH(RawData_SemEval!$A$2:$A$800, ""(?i)(_|^)"" &amp; $A$1 &amp; ""(_|$)""), REGEXMATCH(RawData_SemEval!$A$2:$A$800, ""(?i)"" &amp; $A28), REGEXMATCH(RawData_SemEval!$A$2:$A$800, ""(?i)"" &amp; $G$1),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$A28), REGEXMATCH(RawData_SemEval!$A$2:$A$800, ""(?i)"" &amp; $G$1), NOT(REGEXMATCH(RawData_SemEval!$A$2:$A$800, ""(?i)complete"")), NOT(REGEXMATCH(RawData_SemEval!$A$2:$A$800, ""(?i)ensemble""))), ""0.00"") &amp;"&amp;" 
"")"""),"(0.40, 0.49)")</f>
        <v>(0.40, 0.49)</v>
      </c>
      <c r="H29" s="89" t="str">
        <f>IFERROR(__xludf.DUMMYFUNCTION("""("" &amp; 
TEXT(FILTER(RawData_SemEval!$F$2:$F$800, REGEXMATCH(RawData_SemEval!$A$2:$A$800, ""(?i)(_|^)"" &amp; $A$1 &amp; ""(_|$)""), REGEXMATCH(RawData_SemEval!$A$2:$A$800, ""(?i)"" &amp; $A28), REGEXMATCH(RawData_SemEval!$A$2:$A$800, ""(?i)"" &amp; $G$1),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$A28), REGEXMATCH(RawData_SemEval!$A$2:$A$800, ""(?i)"" &amp; $G$1), NOT(REGEXMATCH(RawData_SemEval!$A$2:$A$800, ""(?i)complete"")), NOT(REGEXMATCH(RawData_SemEval!$A$2:$A$800, ""(?i)ensemble""))), ""0.00"") &amp;"&amp;" 
"")"""),"(0.22, 0.30)")</f>
        <v>(0.22, 0.30)</v>
      </c>
    </row>
    <row r="30">
      <c r="A30" s="84"/>
      <c r="B30" s="26" t="s">
        <v>74</v>
      </c>
      <c r="C30" s="93" t="str">
        <f>IFERROR(__xludf.DUMMYFUNCTION("FILTER(
  RawData_Ensembles!$B$2:$B$1300, 
  REGEXMATCH(RawData_Ensembles!$A$2:$A$1300, ""(?i)(_|^)"" &amp; $A$1 &amp; ""(_|$)""), 
  REGEXMATCH(RawData_Ensembles!$A$2:$A$1300, ""(?i)"" &amp; $A28), 
  REGEXMATCH(RawData_Ensembles!$A$2:$A$1300, ""(?i)"" &amp; $C$1), 
NOT"&amp;"(REGEXMATCH(RawData_Ensembles!$A$2:$A$1300, ""(?i)complete"")), 
  REGEXMATCH(RawData_Ensembles!$A$2:$A$1300, ""(?i)"" &amp; $B30)
)"),"")</f>
        <v/>
      </c>
      <c r="D30" s="93" t="str">
        <f>IFERROR(__xludf.DUMMYFUNCTION("FILTER(
  RawData_Ensembles!$C$2:$C$1300, 
  REGEXMATCH(RawData_Ensembles!$A$2:$A$1300, ""(?i)(_|^)"" &amp; $A$1 &amp; ""(_|$)""), 
  REGEXMATCH(RawData_Ensembles!$A$2:$A$1300, ""(?i)"" &amp; $A28), 
  REGEXMATCH(RawData_Ensembles!$A$2:$A$1300, ""(?i)"" &amp; $C$1), 
NOT"&amp;"(REGEXMATCH(RawData_Ensembles!$A$2:$A$1300, ""(?i)complete"")), 
  REGEXMATCH(RawData_Ensembles!$A$2:$A$1300, ""(?i)"" &amp; $B30)
)"),"")</f>
        <v/>
      </c>
      <c r="E30" s="88">
        <f>IFERROR(__xludf.DUMMYFUNCTION("FILTER(
  RawData_Ensembles!$B$2:$B$1300, 
  REGEXMATCH(RawData_Ensembles!$A$2:$A$1300, ""(?i)(_|^)"" &amp; $A$1 &amp; ""(_|$)""), 
  REGEXMATCH(RawData_Ensembles!$A$2:$A$1300, ""(?i)"" &amp; $A28), 
  REGEXMATCH(RawData_Ensembles!$A$2:$A$1300, ""(?i)"" &amp; $E$1), 
NOT"&amp;"(REGEXMATCH(RawData_Ensembles!$A$2:$A$1300, ""(?i)complete"")), 
  REGEXMATCH(RawData_Ensembles!$A$2:$A$1300, ""(?i)"" &amp; $B30)
)"),0.495932138037401)</f>
        <v>0.495932138</v>
      </c>
      <c r="F30" s="88">
        <f>IFERROR(__xludf.DUMMYFUNCTION("FILTER(
  RawData_Ensembles!$C$2:$C$1300, 
  REGEXMATCH(RawData_Ensembles!$A$2:$A$1300, ""(?i)(_|^)"" &amp; $A$1 &amp; ""(_|$)""), 
  REGEXMATCH(RawData_Ensembles!$A$2:$A$1300, ""(?i)"" &amp; $A28), 
  REGEXMATCH(RawData_Ensembles!$A$2:$A$1300, ""(?i)"" &amp; $E$1), 
NOT"&amp;"(REGEXMATCH(RawData_Ensembles!$A$2:$A$1300, ""(?i)complete"")), 
  REGEXMATCH(RawData_Ensembles!$A$2:$A$1300, ""(?i)"" &amp; $B30)
)"),0.284237107921318)</f>
        <v>0.2842371079</v>
      </c>
      <c r="G30" s="88">
        <f>IFERROR(__xludf.DUMMYFUNCTION("FILTER(
  RawData_Ensembles!$B$2:$B$1300, 
  REGEXMATCH(RawData_Ensembles!$A$2:$A$1300, ""(?i)(_|^)"" &amp; $A$1 &amp; ""(_|$)""), 
  REGEXMATCH(RawData_Ensembles!$A$2:$A$1300, ""(?i)"" &amp; $A28), 
  REGEXMATCH(RawData_Ensembles!$A$2:$A$1300, ""(?i)"" &amp; $G$1), 
NOT"&amp;"(REGEXMATCH(RawData_Ensembles!$A$2:$A$1300, ""(?i)complete"")), 
  REGEXMATCH(RawData_Ensembles!$A$2:$A$1300, ""(?i)"" &amp; $B30)
)"),0.445585992954414)</f>
        <v>0.445585993</v>
      </c>
      <c r="H30" s="88">
        <f>IFERROR(__xludf.DUMMYFUNCTION("FILTER(
  RawData_Ensembles!$C$2:$G$1300, 
  REGEXMATCH(RawData_Ensembles!$A$2:$A$1300, ""(?i)(_|^)"" &amp; $A$1 &amp; ""(_|$)""), 
  REGEXMATCH(RawData_Ensembles!$A$2:$A$1300, ""(?i)"" &amp; $A28), 
  REGEXMATCH(RawData_Ensembles!$A$2:$A$1300, ""(?i)"" &amp; $G$1), 
NOT"&amp;"(REGEXMATCH(RawData_Ensembles!$A$2:$A$1300, ""(?i)complete"")), 
  REGEXMATCH(RawData_Ensembles!$A$2:$A$1300, ""(?i)"" &amp; $B30)
)"),0.26677124045545)</f>
        <v>0.2667712405</v>
      </c>
      <c r="I30" s="11"/>
      <c r="J30" s="11"/>
      <c r="K30" s="11"/>
      <c r="L30" s="11"/>
    </row>
    <row r="31">
      <c r="A31" s="84"/>
      <c r="B31" s="91" t="s">
        <v>75</v>
      </c>
      <c r="C31" s="93" t="str">
        <f>IFERROR(__xludf.DUMMYFUNCTION("FILTER(
  RawData_Ensembles!$B$2:$B$1300, 
  REGEXMATCH(RawData_Ensembles!$A$2:$A$1300, ""(?i)(_|^)"" &amp; $A$1 &amp; ""(_|$)""), 
  REGEXMATCH(RawData_Ensembles!$A$2:$A$1300, ""(?i)"" &amp; $A28), 
  REGEXMATCH(RawData_Ensembles!$A$2:$A$1300, ""(?i)"" &amp; $C$1), 
NOT"&amp;"(REGEXMATCH(RawData_Ensembles!$A$2:$A$1300, ""(?i)complete"")), 
  REGEXMATCH(RawData_Ensembles!$A$2:$A$1300, ""(?i)"" &amp; $B31)
)"),"")</f>
        <v/>
      </c>
      <c r="D31" s="93" t="str">
        <f>IFERROR(__xludf.DUMMYFUNCTION("FILTER(
  RawData_Ensembles!$C$2:$C$1300, 
  REGEXMATCH(RawData_Ensembles!$A$2:$A$1300, ""(?i)(_|^)"" &amp; $A$1 &amp; ""(_|$)""), 
  REGEXMATCH(RawData_Ensembles!$A$2:$A$1300, ""(?i)"" &amp; $A28), 
  REGEXMATCH(RawData_Ensembles!$A$2:$A$1300, ""(?i)"" &amp; $C$1), 
NOT"&amp;"(REGEXMATCH(RawData_Ensembles!$A$2:$A$1300, ""(?i)complete"")), 
  REGEXMATCH(RawData_Ensembles!$A$2:$A$1300, ""(?i)"" &amp; $B31)
)"),"")</f>
        <v/>
      </c>
      <c r="E31" s="88">
        <f>IFERROR(__xludf.DUMMYFUNCTION("FILTER(
  RawData_Ensembles!$B$2:$B$1300, 
  REGEXMATCH(RawData_Ensembles!$A$2:$A$1300, ""(?i)(_|^)"" &amp; $A$1 &amp; ""(_|$)""), 
  REGEXMATCH(RawData_Ensembles!$A$2:$A$1300, ""(?i)"" &amp; $A28), 
  REGEXMATCH(RawData_Ensembles!$A$2:$A$1300, ""(?i)"" &amp; $E$1), 
NOT"&amp;"(REGEXMATCH(RawData_Ensembles!$A$2:$A$1300, ""(?i)complete"")), 
  REGEXMATCH(RawData_Ensembles!$A$2:$A$1300, ""(?i)"" &amp; $B31)
)"),0.524958082852819)</f>
        <v>0.5249580829</v>
      </c>
      <c r="F31" s="88">
        <f>IFERROR(__xludf.DUMMYFUNCTION("FILTER(
  RawData_Ensembles!$C$2:$C$1300, 
  REGEXMATCH(RawData_Ensembles!$A$2:$A$1300, ""(?i)(_|^)"" &amp; $A$1 &amp; ""(_|$)""), 
  REGEXMATCH(RawData_Ensembles!$A$2:$A$1300, ""(?i)"" &amp; $A28), 
  REGEXMATCH(RawData_Ensembles!$A$2:$A$1300, ""(?i)"" &amp; $E$1), 
NOT"&amp;"(REGEXMATCH(RawData_Ensembles!$A$2:$A$1300, ""(?i)complete"")), 
  REGEXMATCH(RawData_Ensembles!$A$2:$A$1300, ""(?i)"" &amp; $B31)
)"),0.280268943831696)</f>
        <v>0.2802689438</v>
      </c>
      <c r="G31" s="88">
        <f>IFERROR(__xludf.DUMMYFUNCTION("FILTER(
  RawData_Ensembles!$B$2:$B$1300, 
  REGEXMATCH(RawData_Ensembles!$A$2:$A$1300, ""(?i)(_|^)"" &amp; $A$1 &amp; ""(_|$)""), 
  REGEXMATCH(RawData_Ensembles!$A$2:$A$1300, ""(?i)"" &amp; $A28), 
  REGEXMATCH(RawData_Ensembles!$A$2:$A$1300, ""(?i)"" &amp; $G$1), 
NOT"&amp;"(REGEXMATCH(RawData_Ensembles!$A$2:$A$1300, ""(?i)complete"")), 
  REGEXMATCH(RawData_Ensembles!$A$2:$A$1300, ""(?i)"" &amp; $B31)
)"),0.464364582785635)</f>
        <v>0.4643645828</v>
      </c>
      <c r="H31" s="88">
        <f>IFERROR(__xludf.DUMMYFUNCTION("FILTER(
  RawData_Ensembles!$C$2:$G$1300, 
  REGEXMATCH(RawData_Ensembles!$A$2:$A$1300, ""(?i)(_|^)"" &amp; $A$1 &amp; ""(_|$)""), 
  REGEXMATCH(RawData_Ensembles!$A$2:$A$1300, ""(?i)"" &amp; $A28), 
  REGEXMATCH(RawData_Ensembles!$A$2:$A$1300, ""(?i)"" &amp; $G$1), 
NOT"&amp;"(REGEXMATCH(RawData_Ensembles!$A$2:$A$1300, ""(?i)complete"")), 
  REGEXMATCH(RawData_Ensembles!$A$2:$A$1300, ""(?i)"" &amp; $B31)
)"),0.27088219922228)</f>
        <v>0.2708821992</v>
      </c>
      <c r="I31" s="11"/>
      <c r="J31" s="11"/>
      <c r="K31" s="11"/>
      <c r="L31" s="11"/>
    </row>
    <row r="32">
      <c r="A32" s="84" t="s">
        <v>876</v>
      </c>
      <c r="B32" s="26" t="s">
        <v>29</v>
      </c>
      <c r="C32" s="93" t="str">
        <f>IFERROR(__xludf.DUMMYFUNCTION("FILTER(
    RawData_SemEval!$B$2:$B$800, 
    REGEXMATCH(RawData_SemEval!$A$2:$A$800, ""(?i)(_|^)"" &amp; $A$1 &amp; ""(_|$)""), 
    REGEXMATCH(RawData_SemEval!$A$2:$A$800, ""(?i)"" &amp; $A32), 
    REGEXMATCH(RawData_SemEval!$A$2:$A$800, ""(?i)"" &amp; $C$1),
    NOT("&amp;"REGEXMATCH(RawData_SemEval!$A$2:$A$800, ""(?i)ensemble""))
  )"),"")</f>
        <v/>
      </c>
      <c r="D32" s="93" t="str">
        <f>IFERROR(__xludf.DUMMYFUNCTION("FILTER(RawData_SemEval!$E$2:$E$800, 
  REGEXMATCH(RawData_SemEval!$A$2:$A$800, ""(?i)(_|^)"" &amp; $A$1 &amp; ""(_|$)""), 
  REGEXMATCH(RawData_SemEval!$A$2:$A$800, ""(?i)"" &amp; $A32), 
  REGEXMATCH(RawData_SemEval!$A$2:$A$800, ""(?i)"" &amp; $C$1), 
  NOT(REGEXMATCH(R"&amp;"awData_SemEval!$A$2:$A$800,  ""(?i)ensemble""))
)"),"")</f>
        <v/>
      </c>
      <c r="E32" s="88">
        <f>IFERROR(__xludf.DUMMYFUNCTION("FILTER(
    RawData_SemEval!$B$2:$B$800, 
    REGEXMATCH(RawData_SemEval!$A$2:$A$800, ""(?i)(_|^)"" &amp; $A$1 &amp; ""(_|$)""), 
    REGEXMATCH(RawData_SemEval!$A$2:$A$800, ""(?i)"" &amp; $A32), 
    REGEXMATCH(RawData_SemEval!$A$2:$A$800, ""(?i)"" &amp; $E$1),
    NOT("&amp;"REGEXMATCH(RawData_SemEval!$A$2:$A$800, ""(?i)ensemble""))
  )"),0.506004639804639)</f>
        <v>0.5060046398</v>
      </c>
      <c r="F32" s="88">
        <f>IFERROR(__xludf.DUMMYFUNCTION("FILTER(RawData_SemEval!$E$2:$E$800, 
  REGEXMATCH(RawData_SemEval!$A$2:$A$800, ""(?i)(_|^)"" &amp; $A$1 &amp; ""(_|$)""), 
  REGEXMATCH(RawData_SemEval!$A$2:$A$800, ""(?i)"" &amp; $A32), 
  REGEXMATCH(RawData_SemEval!$A$2:$A$800, ""(?i)"" &amp; $E$1), 
  NOT(REGEXMATCH(R"&amp;"awData_SemEval!$A$2:$A$800,  ""(?i)ensemble""))
)"),0.278838425519599)</f>
        <v>0.2788384255</v>
      </c>
      <c r="G32" s="88">
        <f>IFERROR(__xludf.DUMMYFUNCTION("FILTER(
    RawData_SemEval!$B$2:$B$800, 
    REGEXMATCH(RawData_SemEval!$A$2:$A$800, ""(?i)(_|^)"" &amp; $A$1 &amp; ""(_|$)""), 
    REGEXMATCH(RawData_SemEval!$A$2:$A$800, ""(?i)"" &amp; $A32), 
    REGEXMATCH(RawData_SemEval!$A$2:$A$800, ""(?i)"" &amp; $G$1),
    NOT("&amp;"REGEXMATCH(RawData_SemEval!$A$2:$A$800, ""(?i)ensemble""))
  )"),0.387901176016965)</f>
        <v>0.387901176</v>
      </c>
      <c r="H32" s="88">
        <f>IFERROR(__xludf.DUMMYFUNCTION("FILTER(RawData_SemEval!$E$2:$E$800, 
  REGEXMATCH(RawData_SemEval!$A$2:$A$800, ""(?i)(_|^)"" &amp; $A$1 &amp; ""(_|$)""), 
  REGEXMATCH(RawData_SemEval!$A$2:$A$800, ""(?i)"" &amp; $A32), 
  REGEXMATCH(RawData_SemEval!$A$2:$A$800, ""(?i)"" &amp; $G$1), 
  NOT(REGEXMATCH(R"&amp;"awData_SemEval!$A$2:$A$800,  ""(?i)ensemble""))
)"),0.233524755451476)</f>
        <v>0.2335247555</v>
      </c>
    </row>
    <row r="33">
      <c r="A33" s="84"/>
      <c r="B33" s="26"/>
      <c r="C33" s="93" t="str">
        <f>IFERROR(__xludf.DUMMYFUNCTION("""("" &amp; 
TEXT(FILTER(RawData_SemEval!$C$2:$C$800, REGEXMATCH(RawData_SemEval!$A$2:$A$800, ""(?i)(_|^)"" &amp; $A$1 &amp; ""(_|$)""), REGEXMATCH(RawData_SemEval!$A$2:$A$800, ""(?i)"" &amp; $A32),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$A32), REGEXMA"&amp;"TCH(RawData_SemEval!$A$2:$A$800, ""(?i)"" &amp; $C$1), NOT(REGEXMATCH(RawData_SemEval!$A$2:$A$800, ""(?i)ensemble""))), ""0.00"") &amp; 
"")"""),"(0.00, 0.00)")</f>
        <v>(0.00, 0.00)</v>
      </c>
      <c r="D33" s="93" t="str">
        <f>IFERROR(__xludf.DUMMYFUNCTION("""("" &amp; 
TEXT(FILTER(RawData_SemEval!$F$2:$F$800, REGEXMATCH(RawData_SemEval!$A$2:$A$800, ""(?i)(_|^)"" &amp; $A$1 &amp; ""(_|$)""), REGEXMATCH(RawData_SemEval!$A$2:$A$800, ""(?i)"" &amp; $A32),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$A32), REGEXMA"&amp;"TCH(RawData_SemEval!$A$2:$A$800, ""(?i)"" &amp; $C$1), NOT(REGEXMATCH(RawData_SemEval!$A$2:$A$800, ""(?i)ensemble""))), ""0.00"") &amp; 
"")"""),"(0.00, 0.00)")</f>
        <v>(0.00, 0.00)</v>
      </c>
      <c r="E33" s="89" t="str">
        <f>IFERROR(__xludf.DUMMYFUNCTION("""("" &amp; 
TEXT(FILTER(RawData_SemEval!$C$2:$C$800, REGEXMATCH(RawData_SemEval!$A$2:$A$800, ""(?i)(_|^)"" &amp; $A$1 &amp; ""(_|$)""), REGEXMATCH(RawData_SemEval!$A$2:$A$800, ""(?i)"" &amp; $A32),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$A32), REGEXMA"&amp;"TCH(RawData_SemEval!$A$2:$A$800, ""(?i)"" &amp; $E$1), NOT(REGEXMATCH(RawData_SemEval!$A$2:$A$800, ""(?i)ensemble""))), ""0.00"") &amp; 
"")"""),"(0.46, 0.55)")</f>
        <v>(0.46, 0.55)</v>
      </c>
      <c r="F33" s="89" t="str">
        <f>IFERROR(__xludf.DUMMYFUNCTION("""("" &amp; 
TEXT(FILTER(RawData_SemEval!$F$2:$F$800, REGEXMATCH(RawData_SemEval!$A$2:$A$800, ""(?i)(_|^)"" &amp; $A$1 &amp; ""(_|$)""), REGEXMATCH(RawData_SemEval!$A$2:$A$800, ""(?i)"" &amp; $A32),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$A32), REGEXMA"&amp;"TCH(RawData_SemEval!$A$2:$A$800, ""(?i)"" &amp; $E$1), NOT(REGEXMATCH(RawData_SemEval!$A$2:$A$800, ""(?i)ensemble""))), ""0.00"") &amp; 
"")"""),"(0.24, 0.32)")</f>
        <v>(0.24, 0.32)</v>
      </c>
      <c r="G33" s="89" t="str">
        <f>IFERROR(__xludf.DUMMYFUNCTION("""("" &amp; 
TEXT(FILTER(RawData_SemEval!$C$2:$C$800, REGEXMATCH(RawData_SemEval!$A$2:$A$800, ""(?i)(_|^)"" &amp; $A$1 &amp; ""(_|$)""), REGEXMATCH(RawData_SemEval!$A$2:$A$800, ""(?i)"" &amp; $A32),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$A32), REGEXMA"&amp;"TCH(RawData_SemEval!$A$2:$A$800, ""(?i)"" &amp; $G$1), NOT(REGEXMATCH(RawData_SemEval!$A$2:$A$800, ""(?i)ensemble""))), ""0.00"") &amp; 
"")"""),"(0.34, 0.43)")</f>
        <v>(0.34, 0.43)</v>
      </c>
      <c r="H33" s="89" t="str">
        <f>IFERROR(__xludf.DUMMYFUNCTION("""("" &amp; 
TEXT(FILTER(RawData_SemEval!$F$2:$F$800, REGEXMATCH(RawData_SemEval!$A$2:$A$800, ""(?i)(_|^)"" &amp; $A$1 &amp; ""(_|$)""), REGEXMATCH(RawData_SemEval!$A$2:$A$800, ""(?i)"" &amp; $A32),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$A32), REGEXMA"&amp;"TCH(RawData_SemEval!$A$2:$A$800, ""(?i)"" &amp; $G$1), NOT(REGEXMATCH(RawData_SemEval!$A$2:$A$800, ""(?i)ensemble""))), ""0.00"") &amp; 
"")"""),"(0.20, 0.27)")</f>
        <v>(0.20, 0.27)</v>
      </c>
    </row>
    <row r="34">
      <c r="A34" s="84"/>
      <c r="B34" s="26" t="s">
        <v>74</v>
      </c>
      <c r="C34" s="93" t="str">
        <f>IFERROR(__xludf.DUMMYFUNCTION("FILTER(
  RawData_Ensembles!$B$2:$B$1300, 
  REGEXMATCH(RawData_Ensembles!$A$2:$A$1300, ""(?i)(_|^)"" &amp; $A$1 &amp; ""(_|$)""), 
  REGEXMATCH(RawData_Ensembles!$A$2:$A$1300, ""(?i)"" &amp; $A32), 
  REGEXMATCH(RawData_Ensembles!$A$2:$A$1300, ""(?i)"" &amp; $C$1), 
  R"&amp;"EGEXMATCH(RawData_Ensembles!$A$2:$A$1300, ""(?i)"" &amp; $B34)
)"),"")</f>
        <v/>
      </c>
      <c r="D34" s="93" t="str">
        <f>IFERROR(__xludf.DUMMYFUNCTION("FILTER(
  RawData_Ensembles!$C$2:$C$1300, 
  REGEXMATCH(RawData_Ensembles!$A$2:$A$1300, ""(?i)(_|^)"" &amp; $A$1 &amp; ""(_|$)""), 
  REGEXMATCH(RawData_Ensembles!$A$2:$A$1300, ""(?i)"" &amp; $A32), 
  REGEXMATCH(RawData_Ensembles!$A$2:$A$1300, ""(?i)"" &amp; $C$1), 
  R"&amp;"EGEXMATCH(RawData_Ensembles!$A$2:$A$1300, ""(?i)"" &amp; $B34)
)"),"")</f>
        <v/>
      </c>
      <c r="E34" s="88">
        <f>IFERROR(__xludf.DUMMYFUNCTION("FILTER(
  RawData_Ensembles!$B$2:$B$1300, 
  REGEXMATCH(RawData_Ensembles!$A$2:$A$1300, ""(?i)(_|^)"" &amp; $A$1 &amp; ""(_|$)""), 
  REGEXMATCH(RawData_Ensembles!$A$2:$A$1300, ""(?i)"" &amp; $A32), 
  REGEXMATCH(RawData_Ensembles!$A$2:$A$1300, ""(?i)"" &amp; $E$1), 
  R"&amp;"EGEXMATCH(RawData_Ensembles!$A$2:$A$1300, ""(?i)"" &amp; $B34)
)"),0.501661204292783)</f>
        <v>0.5016612043</v>
      </c>
      <c r="F34" s="88">
        <f>IFERROR(__xludf.DUMMYFUNCTION("FILTER(
  RawData_Ensembles!$C$2:$C$1300, 
  REGEXMATCH(RawData_Ensembles!$A$2:$A$1300, ""(?i)(_|^)"" &amp; $A$1 &amp; ""(_|$)""), 
  REGEXMATCH(RawData_Ensembles!$A$2:$A$1300, ""(?i)"" &amp; $A32), 
  REGEXMATCH(RawData_Ensembles!$A$2:$A$1300, ""(?i)"" &amp; $E$1), 
  R"&amp;"EGEXMATCH(RawData_Ensembles!$A$2:$A$1300, ""(?i)"" &amp; $B34)
)"),0.303534477218687)</f>
        <v>0.3035344772</v>
      </c>
      <c r="G34" s="88">
        <f>IFERROR(__xludf.DUMMYFUNCTION("FILTER(
  RawData_Ensembles!$B$2:$B$1300, 
  REGEXMATCH(RawData_Ensembles!$A$2:$A$1300, ""(?i)(_|^)"" &amp; $A$1 &amp; ""(_|$)""), 
  REGEXMATCH(RawData_Ensembles!$A$2:$A$1300, ""(?i)"" &amp; $A32), 
  REGEXMATCH(RawData_Ensembles!$A$2:$A$1300, ""(?i)"" &amp; $G$1), 
  R"&amp;"EGEXMATCH(RawData_Ensembles!$A$2:$A$1300, ""(?i)"" &amp; $B34)
)"),0.36799048904312)</f>
        <v>0.367990489</v>
      </c>
      <c r="H34" s="88">
        <f>IFERROR(__xludf.DUMMYFUNCTION("FILTER(
  RawData_Ensembles!$C$2:$G$1300, 
  REGEXMATCH(RawData_Ensembles!$A$2:$A$1300, ""(?i)(_|^)"" &amp; $A$1 &amp; ""(_|$)""), 
  REGEXMATCH(RawData_Ensembles!$A$2:$A$1300, ""(?i)"" &amp; $A32), 
  REGEXMATCH(RawData_Ensembles!$A$2:$A$1300, ""(?i)"" &amp; $G$1), 
  R"&amp;"EGEXMATCH(RawData_Ensembles!$A$2:$A$1300, ""(?i)"" &amp; $B34)
)"),0.228800439326755)</f>
        <v>0.2288004393</v>
      </c>
      <c r="I34" s="11"/>
      <c r="J34" s="11"/>
      <c r="K34" s="11"/>
      <c r="L34" s="11"/>
    </row>
    <row r="35">
      <c r="A35" s="98"/>
      <c r="B35" s="51" t="s">
        <v>75</v>
      </c>
      <c r="C35" s="93" t="str">
        <f>IFERROR(__xludf.DUMMYFUNCTION("FILTER(
  RawData_Ensembles!$B$2:$B$1300, 
  REGEXMATCH(RawData_Ensembles!$A$2:$A$1300, ""(?i)(_|^)"" &amp; $A$1 &amp; ""(_|$)""), 
  REGEXMATCH(RawData_Ensembles!$A$2:$A$1300, ""(?i)"" &amp; $A32), 
  REGEXMATCH(RawData_Ensembles!$A$2:$A$1300, ""(?i)"" &amp; $C$1), 
  R"&amp;"EGEXMATCH(RawData_Ensembles!$A$2:$A$1300, ""(?i)"" &amp; $B35)
)"),"")</f>
        <v/>
      </c>
      <c r="D35" s="93" t="str">
        <f>IFERROR(__xludf.DUMMYFUNCTION("FILTER(
  RawData_Ensembles!$C$2:$C$1300, 
  REGEXMATCH(RawData_Ensembles!$A$2:$A$1300, ""(?i)(_|^)"" &amp; $A$1 &amp; ""(_|$)""), 
  REGEXMATCH(RawData_Ensembles!$A$2:$A$1300, ""(?i)"" &amp; $A32), 
  REGEXMATCH(RawData_Ensembles!$A$2:$A$1300, ""(?i)"" &amp; $C$1), 
  R"&amp;"EGEXMATCH(RawData_Ensembles!$A$2:$A$1300, ""(?i)"" &amp; $B35)
)"),"")</f>
        <v/>
      </c>
      <c r="E35" s="88">
        <f>IFERROR(__xludf.DUMMYFUNCTION("FILTER(
  RawData_Ensembles!$B$2:$B$1300, 
  REGEXMATCH(RawData_Ensembles!$A$2:$A$1300, ""(?i)(_|^)"" &amp; $A$1 &amp; ""(_|$)""), 
  REGEXMATCH(RawData_Ensembles!$A$2:$A$1300, ""(?i)"" &amp; $A32), 
  REGEXMATCH(RawData_Ensembles!$A$2:$A$1300, ""(?i)"" &amp; $E$1), 
  R"&amp;"EGEXMATCH(RawData_Ensembles!$A$2:$A$1300, ""(?i)"" &amp; $B35)
)"),0.524787493208545)</f>
        <v>0.5247874932</v>
      </c>
      <c r="F35" s="88">
        <f>IFERROR(__xludf.DUMMYFUNCTION("FILTER(
  RawData_Ensembles!$C$2:$C$1300, 
  REGEXMATCH(RawData_Ensembles!$A$2:$A$1300, ""(?i)(_|^)"" &amp; $A$1 &amp; ""(_|$)""), 
  REGEXMATCH(RawData_Ensembles!$A$2:$A$1300, ""(?i)"" &amp; $A32), 
  REGEXMATCH(RawData_Ensembles!$A$2:$A$1300, ""(?i)"" &amp; $E$1), 
  R"&amp;"EGEXMATCH(RawData_Ensembles!$A$2:$A$1300, ""(?i)"" &amp; $B35)
)"),0.27080165673283)</f>
        <v>0.2708016567</v>
      </c>
      <c r="G35" s="88">
        <f>IFERROR(__xludf.DUMMYFUNCTION("FILTER(
  RawData_Ensembles!$B$2:$B$1300, 
  REGEXMATCH(RawData_Ensembles!$A$2:$A$1300, ""(?i)(_|^)"" &amp; $A$1 &amp; ""(_|$)""), 
  REGEXMATCH(RawData_Ensembles!$A$2:$A$1300, ""(?i)"" &amp; $A32), 
  REGEXMATCH(RawData_Ensembles!$A$2:$A$1300, ""(?i)"" &amp; $G$1), 
  R"&amp;"EGEXMATCH(RawData_Ensembles!$A$2:$A$1300, ""(?i)"" &amp; $B35)
)"),0.414318430107903)</f>
        <v>0.4143184301</v>
      </c>
      <c r="H35" s="88">
        <f>IFERROR(__xludf.DUMMYFUNCTION("FILTER(
  RawData_Ensembles!$C$2:$G$1300, 
  REGEXMATCH(RawData_Ensembles!$A$2:$A$1300, ""(?i)(_|^)"" &amp; $A$1 &amp; ""(_|$)""), 
  REGEXMATCH(RawData_Ensembles!$A$2:$A$1300, ""(?i)"" &amp; $A32), 
  REGEXMATCH(RawData_Ensembles!$A$2:$A$1300, ""(?i)"" &amp; $G$1), 
  R"&amp;"EGEXMATCH(RawData_Ensembles!$A$2:$A$1300, ""(?i)"" &amp; $B35)
)"),0.247441335093156)</f>
        <v>0.2474413351</v>
      </c>
      <c r="I35" s="11"/>
      <c r="J35" s="11"/>
      <c r="K35" s="11"/>
      <c r="L35" s="11"/>
    </row>
    <row r="36">
      <c r="A36" s="26" t="s">
        <v>1123</v>
      </c>
      <c r="B36" s="43" t="s">
        <v>21</v>
      </c>
      <c r="C36" s="88">
        <f>IFERROR(__xludf.DUMMYFUNCTION("FILTER(
    RawData_SemEval!$B$2:$B$800, 
    REGEXMATCH(RawData_SemEval!$A$2:$A$800, ""(?i)(_|^)"" &amp; $A$1 &amp; ""(_|$)""), 
    REGEXMATCH(RawData_SemEval!$A$2:$A$800, ""(?i)"" &amp; $A36), 
    REGEXMATCH(RawData_SemEval!$A$2:$A$800, ""(?i)"" &amp; $C$1),
    NOT("&amp;"REGEXMATCH(RawData_SemEval!$A$2:$A$800, ""(?i)ensemble""))
  )"),0.107663177173703)</f>
        <v>0.1076631772</v>
      </c>
      <c r="D36" s="88">
        <f>IFERROR(__xludf.DUMMYFUNCTION("FILTER(RawData_SemEval!$E$2:$E$800, 
  REGEXMATCH(RawData_SemEval!$A$2:$A$800, ""(?i)(_|^)"" &amp; $A$1 &amp; ""(_|$)""), 
  REGEXMATCH(RawData_SemEval!$A$2:$A$800, ""(?i)"" &amp; $A36), 
  REGEXMATCH(RawData_SemEval!$A$2:$A$800, ""(?i)"" &amp; $C$1), 
  NOT(REGEXMATCH(R"&amp;"awData_SemEval!$A$2:$A$800,  ""(?i)ensemble""))
)"),0.049053364179679)</f>
        <v>0.04905336418</v>
      </c>
      <c r="E36" s="88">
        <f>IFERROR(__xludf.DUMMYFUNCTION("FILTER(
    RawData_SemEval!$B$2:$B$800, 
    REGEXMATCH(RawData_SemEval!$A$2:$A$800, ""(?i)(_|^)"" &amp; $A$1 &amp; ""(_|$)""), 
    REGEXMATCH(RawData_SemEval!$A$2:$A$800, ""(?i)"" &amp; $A36), 
    REGEXMATCH(RawData_SemEval!$A$2:$A$800, ""(?i)"" &amp; $E$1),
    NOT("&amp;"REGEXMATCH(RawData_SemEval!$A$2:$A$800, ""(?i)ensemble""))
  )"),0.17067633506844)</f>
        <v>0.1706763351</v>
      </c>
      <c r="F36" s="88">
        <f>IFERROR(__xludf.DUMMYFUNCTION("FILTER(RawData_SemEval!$E$2:$E$800, 
  REGEXMATCH(RawData_SemEval!$A$2:$A$800, ""(?i)(_|^)"" &amp; $A$1 &amp; ""(_|$)""), 
  REGEXMATCH(RawData_SemEval!$A$2:$A$800, ""(?i)"" &amp; $A36), 
  REGEXMATCH(RawData_SemEval!$A$2:$A$800, ""(?i)"" &amp; $E$1), 
  NOT(REGEXMATCH(R"&amp;"awData_SemEval!$A$2:$A$800,  ""(?i)ensemble""))
)"),0.087106689801426)</f>
        <v>0.0871066898</v>
      </c>
      <c r="G36" s="88">
        <f>IFERROR(__xludf.DUMMYFUNCTION("FILTER(
    RawData_SemEval!$B$2:$B$800, 
    REGEXMATCH(RawData_SemEval!$A$2:$A$800, ""(?i)(_|^)"" &amp; $A$1 &amp; ""(_|$)""), 
    REGEXMATCH(RawData_SemEval!$A$2:$A$800, ""(?i)"" &amp; $A36), 
    REGEXMATCH(RawData_SemEval!$A$2:$A$800, ""(?i)"" &amp; $G$1),
    NOT("&amp;"REGEXMATCH(RawData_SemEval!$A$2:$A$800, ""(?i)ensemble""))
  )"),0.386661612184486)</f>
        <v>0.3866616122</v>
      </c>
      <c r="H36" s="88">
        <f>IFERROR(__xludf.DUMMYFUNCTION("FILTER(RawData_SemEval!$E$2:$E$800, 
  REGEXMATCH(RawData_SemEval!$A$2:$A$800, ""(?i)(_|^)"" &amp; $A$1 &amp; ""(_|$)""), 
  REGEXMATCH(RawData_SemEval!$A$2:$A$800, ""(?i)"" &amp; $A36), 
  REGEXMATCH(RawData_SemEval!$A$2:$A$800, ""(?i)"" &amp; $G$1), 
  NOT(REGEXMATCH(R"&amp;"awData_SemEval!$A$2:$A$800,  ""(?i)ensemble""))
)"),0.200154216124963)</f>
        <v>0.2001542161</v>
      </c>
    </row>
    <row r="37">
      <c r="A37" s="26"/>
      <c r="B37" s="43"/>
      <c r="C37" s="89" t="str">
        <f>IFERROR(__xludf.DUMMYFUNCTION("""("" &amp; 
TEXT(FILTER(RawData_SemEval!$C$2:$C$800, REGEXMATCH(RawData_SemEval!$A$2:$A$800, ""(?i)(_|^)"" &amp; $A$1 &amp; ""(_|$)""), REGEXMATCH(RawData_SemEval!$A$2:$A$800, ""(?i)"" &amp; $A36),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$A36), REGEXMA"&amp;"TCH(RawData_SemEval!$A$2:$A$800, ""(?i)"" &amp; $C$1), NOT(REGEXMATCH(RawData_SemEval!$A$2:$A$800, ""(?i)ensemble""))), ""0.00"") &amp; 
"")"""),"(0.08, 0.14)")</f>
        <v>(0.08, 0.14)</v>
      </c>
      <c r="D37" s="89" t="str">
        <f>IFERROR(__xludf.DUMMYFUNCTION("""("" &amp; 
TEXT(FILTER(RawData_SemEval!$F$2:$F$800, REGEXMATCH(RawData_SemEval!$A$2:$A$800, ""(?i)(_|^)"" &amp; $A$1 &amp; ""(_|$)""), REGEXMATCH(RawData_SemEval!$A$2:$A$800, ""(?i)"" &amp; $A36),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$A36), REGEXMA"&amp;"TCH(RawData_SemEval!$A$2:$A$800, ""(?i)"" &amp; $C$1), NOT(REGEXMATCH(RawData_SemEval!$A$2:$A$800, ""(?i)ensemble""))), ""0.00"") &amp; 
"")"""),"(0.03, 0.07)")</f>
        <v>(0.03, 0.07)</v>
      </c>
      <c r="E37" s="89" t="str">
        <f>IFERROR(__xludf.DUMMYFUNCTION("""("" &amp; 
TEXT(FILTER(RawData_SemEval!$C$2:$C$800, REGEXMATCH(RawData_SemEval!$A$2:$A$800, ""(?i)(_|^)"" &amp; $A$1 &amp; ""(_|$)""), REGEXMATCH(RawData_SemEval!$A$2:$A$800, ""(?i)"" &amp; $A36),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$A36), REGEXMA"&amp;"TCH(RawData_SemEval!$A$2:$A$800, ""(?i)"" &amp; $E$1), NOT(REGEXMATCH(RawData_SemEval!$A$2:$A$800, ""(?i)ensemble""))), ""0.00"") &amp; 
"")"""),"(0.14, 0.21)")</f>
        <v>(0.14, 0.21)</v>
      </c>
      <c r="F37" s="89" t="str">
        <f>IFERROR(__xludf.DUMMYFUNCTION("""("" &amp; 
TEXT(FILTER(RawData_SemEval!$F$2:$F$800, REGEXMATCH(RawData_SemEval!$A$2:$A$800, ""(?i)(_|^)"" &amp; $A$1 &amp; ""(_|$)""), REGEXMATCH(RawData_SemEval!$A$2:$A$800, ""(?i)"" &amp; $A36),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$A36), REGEXMA"&amp;"TCH(RawData_SemEval!$A$2:$A$800, ""(?i)"" &amp; $E$1), NOT(REGEXMATCH(RawData_SemEval!$A$2:$A$800, ""(?i)ensemble""))), ""0.00"") &amp; 
"")"""),"(0.06, 0.11)")</f>
        <v>(0.06, 0.11)</v>
      </c>
      <c r="G37" s="89" t="str">
        <f>IFERROR(__xludf.DUMMYFUNCTION("""("" &amp; 
TEXT(FILTER(RawData_SemEval!$C$2:$C$800, REGEXMATCH(RawData_SemEval!$A$2:$A$800, ""(?i)(_|^)"" &amp; $A$1 &amp; ""(_|$)""), REGEXMATCH(RawData_SemEval!$A$2:$A$800, ""(?i)"" &amp; $A36),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$A36), REGEXMA"&amp;"TCH(RawData_SemEval!$A$2:$A$800, ""(?i)"" &amp; $G$1), NOT(REGEXMATCH(RawData_SemEval!$A$2:$A$800, ""(?i)ensemble""))), ""0.00"") &amp; 
"")"""),"(0.36, 0.42)")</f>
        <v>(0.36, 0.42)</v>
      </c>
      <c r="H37" s="89" t="str">
        <f>IFERROR(__xludf.DUMMYFUNCTION("""("" &amp; 
TEXT(FILTER(RawData_SemEval!$F$2:$F$800, REGEXMATCH(RawData_SemEval!$A$2:$A$800, ""(?i)(_|^)"" &amp; $A$1 &amp; ""(_|$)""), REGEXMATCH(RawData_SemEval!$A$2:$A$800, ""(?i)"" &amp; $A36),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$A36), REGEXMA"&amp;"TCH(RawData_SemEval!$A$2:$A$800, ""(?i)"" &amp; $G$1), NOT(REGEXMATCH(RawData_SemEval!$A$2:$A$800, ""(?i)ensemble""))), ""0.00"") &amp; 
"")"""),"(0.17, 0.22)")</f>
        <v>(0.17, 0.22)</v>
      </c>
    </row>
    <row r="38">
      <c r="A38" s="26"/>
      <c r="B38" s="43" t="s">
        <v>74</v>
      </c>
      <c r="C38" s="88">
        <f>IFERROR(__xludf.DUMMYFUNCTION("FILTER(
  RawData_Ensembles!$B$2:$B$1300, 
  REGEXMATCH(RawData_Ensembles!$A$2:$A$1300, ""(?i)(_|^)"" &amp; $A$1 &amp; ""(_|$)""), 
  REGEXMATCH(RawData_Ensembles!$A$2:$A$1300, ""(?i)"" &amp; $A36), 
  REGEXMATCH(RawData_Ensembles!$A$2:$A$1300, ""(?i)"" &amp; $C$1), 
  R"&amp;"EGEXMATCH(RawData_Ensembles!$A$2:$A$1300, ""(?i)"" &amp; $B38)
)"),0.119838056680161)</f>
        <v>0.1198380567</v>
      </c>
      <c r="D38" s="88">
        <f>IFERROR(__xludf.DUMMYFUNCTION("FILTER(
  RawData_Ensembles!$C$2:$C$1300, 
  REGEXMATCH(RawData_Ensembles!$A$2:$A$1300, ""(?i)(_|^)"" &amp; $A$1 &amp; ""(_|$)""), 
  REGEXMATCH(RawData_Ensembles!$A$2:$A$1300, ""(?i)"" &amp; $A36), 
  REGEXMATCH(RawData_Ensembles!$A$2:$A$1300, ""(?i)"" &amp; $C$1), 
  R"&amp;"EGEXMATCH(RawData_Ensembles!$A$2:$A$1300, ""(?i)"" &amp; $B38)
)"),0.053653364179679)</f>
        <v>0.05365336418</v>
      </c>
      <c r="E38" s="88">
        <f>IFERROR(__xludf.DUMMYFUNCTION("FILTER(
  RawData_Ensembles!$B$2:$B$1300, 
  REGEXMATCH(RawData_Ensembles!$A$2:$A$1300, ""(?i)(_|^)"" &amp; $A$1 &amp; ""(_|$)""), 
  REGEXMATCH(RawData_Ensembles!$A$2:$A$1300, ""(?i)"" &amp; $A36), 
  REGEXMATCH(RawData_Ensembles!$A$2:$A$1300, ""(?i)"" &amp; $E$1), 
  R"&amp;"EGEXMATCH(RawData_Ensembles!$A$2:$A$1300, ""(?i)"" &amp; $B38)
)"),0.165413533834586)</f>
        <v>0.1654135338</v>
      </c>
      <c r="F38" s="88">
        <f>IFERROR(__xludf.DUMMYFUNCTION("FILTER(
  RawData_Ensembles!$C$2:$C$1300, 
  REGEXMATCH(RawData_Ensembles!$A$2:$A$1300, ""(?i)(_|^)"" &amp; $A$1 &amp; ""(_|$)""), 
  REGEXMATCH(RawData_Ensembles!$A$2:$A$1300, ""(?i)"" &amp; $A36), 
  REGEXMATCH(RawData_Ensembles!$A$2:$A$1300, ""(?i)"" &amp; $E$1), 
  R"&amp;"EGEXMATCH(RawData_Ensembles!$A$2:$A$1300, ""(?i)"" &amp; $B38)
)"),0.086707152496626)</f>
        <v>0.0867071525</v>
      </c>
      <c r="G38" s="88">
        <f>IFERROR(__xludf.DUMMYFUNCTION("FILTER(
  RawData_Ensembles!$B$2:$B$1300, 
  REGEXMATCH(RawData_Ensembles!$A$2:$A$1300, ""(?i)(_|^)"" &amp; $A$1 &amp; ""(_|$)""), 
  REGEXMATCH(RawData_Ensembles!$A$2:$A$1300, ""(?i)"" &amp; $A36), 
  REGEXMATCH(RawData_Ensembles!$A$2:$A$1300, ""(?i)"" &amp; $G$1), 
  R"&amp;"EGEXMATCH(RawData_Ensembles!$A$2:$A$1300, ""(?i)"" &amp; $B38)
)"),0.407992749490725)</f>
        <v>0.4079927495</v>
      </c>
      <c r="H38" s="88">
        <f>IFERROR(__xludf.DUMMYFUNCTION("FILTER(
  RawData_Ensembles!$C$2:$G$1300, 
  REGEXMATCH(RawData_Ensembles!$A$2:$A$1300, ""(?i)(_|^)"" &amp; $A$1 &amp; ""(_|$)""), 
  REGEXMATCH(RawData_Ensembles!$A$2:$A$1300, ""(?i)"" &amp; $A36), 
  REGEXMATCH(RawData_Ensembles!$A$2:$A$1300, ""(?i)"" &amp; $G$1), 
  R"&amp;"EGEXMATCH(RawData_Ensembles!$A$2:$A$1300, ""(?i)"" &amp; $B38)
)"),0.215943611885055)</f>
        <v>0.2159436119</v>
      </c>
      <c r="I38" s="11"/>
      <c r="J38" s="11"/>
      <c r="K38" s="11"/>
      <c r="L38" s="11"/>
    </row>
    <row r="39">
      <c r="A39" s="84"/>
      <c r="B39" s="51" t="s">
        <v>75</v>
      </c>
      <c r="C39" s="88">
        <f>IFERROR(__xludf.DUMMYFUNCTION("FILTER(
  RawData_Ensembles!$B$2:$B$1300, 
  REGEXMATCH(RawData_Ensembles!$A$2:$A$1300, ""(?i)(_|^)"" &amp; $A$1 &amp; ""(_|$)""), 
  REGEXMATCH(RawData_Ensembles!$A$2:$A$1300, ""(?i)"" &amp; $A36), 
  REGEXMATCH(RawData_Ensembles!$A$2:$A$1300, ""(?i)"" &amp; $C$1), 
  R"&amp;"EGEXMATCH(RawData_Ensembles!$A$2:$A$1300, ""(?i)"" &amp; $B39)
)"),0.130168369642053)</f>
        <v>0.1301683696</v>
      </c>
      <c r="D39" s="88">
        <f>IFERROR(__xludf.DUMMYFUNCTION("FILTER(
  RawData_Ensembles!$C$2:$C$1300, 
  REGEXMATCH(RawData_Ensembles!$A$2:$A$1300, ""(?i)(_|^)"" &amp; $A$1 &amp; ""(_|$)""), 
  REGEXMATCH(RawData_Ensembles!$A$2:$A$1300, ""(?i)"" &amp; $A36), 
  REGEXMATCH(RawData_Ensembles!$A$2:$A$1300, ""(?i)"" &amp; $C$1), 
  R"&amp;"EGEXMATCH(RawData_Ensembles!$A$2:$A$1300, ""(?i)"" &amp; $B39)
)"),0.061834072360388)</f>
        <v>0.06183407236</v>
      </c>
      <c r="E39" s="88">
        <f>IFERROR(__xludf.DUMMYFUNCTION("FILTER(
  RawData_Ensembles!$B$2:$B$1300, 
  REGEXMATCH(RawData_Ensembles!$A$2:$A$1300, ""(?i)(_|^)"" &amp; $A$1 &amp; ""(_|$)""), 
  REGEXMATCH(RawData_Ensembles!$A$2:$A$1300, ""(?i)"" &amp; $A36), 
  REGEXMATCH(RawData_Ensembles!$A$2:$A$1300, ""(?i)"" &amp; $E$1), 
  R"&amp;"EGEXMATCH(RawData_Ensembles!$A$2:$A$1300, ""(?i)"" &amp; $B39)
)"),0.223828802776171)</f>
        <v>0.2238288028</v>
      </c>
      <c r="F39" s="88">
        <f>IFERROR(__xludf.DUMMYFUNCTION("FILTER(
  RawData_Ensembles!$C$2:$C$1300, 
  REGEXMATCH(RawData_Ensembles!$A$2:$A$1300, ""(?i)(_|^)"" &amp; $A$1 &amp; ""(_|$)""), 
  REGEXMATCH(RawData_Ensembles!$A$2:$A$1300, ""(?i)"" &amp; $A36), 
  REGEXMATCH(RawData_Ensembles!$A$2:$A$1300, ""(?i)"" &amp; $E$1), 
  R"&amp;"EGEXMATCH(RawData_Ensembles!$A$2:$A$1300, ""(?i)"" &amp; $B39)
)"),0.117261685682738)</f>
        <v>0.1172616857</v>
      </c>
      <c r="G39" s="88">
        <f>IFERROR(__xludf.DUMMYFUNCTION("FILTER(
  RawData_Ensembles!$B$2:$B$1300, 
  REGEXMATCH(RawData_Ensembles!$A$2:$A$1300, ""(?i)(_|^)"" &amp; $A$1 &amp; ""(_|$)""), 
  REGEXMATCH(RawData_Ensembles!$A$2:$A$1300, ""(?i)"" &amp; $A36), 
  REGEXMATCH(RawData_Ensembles!$A$2:$A$1300, ""(?i)"" &amp; $G$1), 
  R"&amp;"EGEXMATCH(RawData_Ensembles!$A$2:$A$1300, ""(?i)"" &amp; $B39)
)"),0.391872949362827)</f>
        <v>0.3918729494</v>
      </c>
      <c r="H39" s="88">
        <f>IFERROR(__xludf.DUMMYFUNCTION("FILTER(
  RawData_Ensembles!$C$2:$G$1300, 
  REGEXMATCH(RawData_Ensembles!$A$2:$A$1300, ""(?i)(_|^)"" &amp; $A$1 &amp; ""(_|$)""), 
  REGEXMATCH(RawData_Ensembles!$A$2:$A$1300, ""(?i)"" &amp; $A36), 
  REGEXMATCH(RawData_Ensembles!$A$2:$A$1300, ""(?i)"" &amp; $G$1), 
  R"&amp;"EGEXMATCH(RawData_Ensembles!$A$2:$A$1300, ""(?i)"" &amp; $B39)
)"),0.199987658436434)</f>
        <v>0.1999876584</v>
      </c>
      <c r="I39" s="11"/>
      <c r="J39" s="11"/>
      <c r="K39" s="11"/>
      <c r="L39" s="11"/>
    </row>
    <row r="40">
      <c r="A40" s="84" t="s">
        <v>1347</v>
      </c>
      <c r="B40" s="26" t="s">
        <v>26</v>
      </c>
      <c r="C40" s="88">
        <f>IFERROR(__xludf.DUMMYFUNCTION("FILTER(
    RawData_SemEval!$B$2:$B$800, 
    REGEXMATCH(RawData_SemEval!$A$2:$A$800, ""(?i)(_|^)"" &amp; $A$1 &amp; ""(_|$)""), 
    REGEXMATCH(RawData_SemEval!$A$2:$A$800, ""(?i)"" &amp; $A40), 
    REGEXMATCH(RawData_SemEval!$A$2:$A$800, ""(?i)"" &amp; $C$1),
    NOT("&amp;"REGEXMATCH(RawData_SemEval!$A$2:$A$800, ""(?i)ensemble""))
  )"),0.053231630357946)</f>
        <v>0.05323163036</v>
      </c>
      <c r="D40" s="88">
        <f>IFERROR(__xludf.DUMMYFUNCTION("FILTER(RawData_SemEval!$E$2:$E$800, 
  REGEXMATCH(RawData_SemEval!$A$2:$A$800, ""(?i)(_|^)"" &amp; $A$1 &amp; ""(_|$)""), 
  REGEXMATCH(RawData_SemEval!$A$2:$A$800, ""(?i)"" &amp; $A40), 
  REGEXMATCH(RawData_SemEval!$A$2:$A$800, ""(?i)"" &amp; $C$1), 
  NOT(REGEXMATCH(R"&amp;"awData_SemEval!$A$2:$A$800,  ""(?i)ensemble""))
)"),0.026355581260844)</f>
        <v>0.02635558126</v>
      </c>
      <c r="E40" s="88">
        <f>IFERROR(__xludf.DUMMYFUNCTION("FILTER(
    RawData_SemEval!$B$2:$B$800, 
    REGEXMATCH(RawData_SemEval!$A$2:$A$800, ""(?i)(_|^)"" &amp; $A$1 &amp; ""(_|$)""), 
    REGEXMATCH(RawData_SemEval!$A$2:$A$800, ""(?i)"" &amp; $A40), 
    REGEXMATCH(RawData_SemEval!$A$2:$A$800, ""(?i)"" &amp; $E$1),
    NOT("&amp;"REGEXMATCH(RawData_SemEval!$A$2:$A$800, ""(?i)ensemble""))
  )"),0.255187902448428)</f>
        <v>0.2551879024</v>
      </c>
      <c r="F40" s="88">
        <f>IFERROR(__xludf.DUMMYFUNCTION("FILTER(RawData_SemEval!$E$2:$E$800, 
  REGEXMATCH(RawData_SemEval!$A$2:$A$800, ""(?i)(_|^)"" &amp; $A$1 &amp; ""(_|$)""), 
  REGEXMATCH(RawData_SemEval!$A$2:$A$800, ""(?i)"" &amp; $A40), 
  REGEXMATCH(RawData_SemEval!$A$2:$A$800, ""(?i)"" &amp; $E$1), 
  NOT(REGEXMATCH(R"&amp;"awData_SemEval!$A$2:$A$800,  ""(?i)ensemble""))
)"),0.125488533980639)</f>
        <v>0.125488534</v>
      </c>
      <c r="G40" s="88">
        <f>IFERROR(__xludf.DUMMYFUNCTION("FILTER(
    RawData_SemEval!$B$2:$B$800, 
    REGEXMATCH(RawData_SemEval!$A$2:$A$800, ""(?i)(_|^)"" &amp; $A$1 &amp; ""(_|$)""), 
    REGEXMATCH(RawData_SemEval!$A$2:$A$800, ""(?i)"" &amp; $A40), 
    REGEXMATCH(RawData_SemEval!$A$2:$A$800, ""(?i)"" &amp; $G$1),
    NOT("&amp;"REGEXMATCH(RawData_SemEval!$A$2:$A$800, ""(?i)ensemble""))
  )"),0.381269392078906)</f>
        <v>0.3812693921</v>
      </c>
      <c r="H40" s="88">
        <f>IFERROR(__xludf.DUMMYFUNCTION("FILTER(RawData_SemEval!$E$2:$E$800, 
  REGEXMATCH(RawData_SemEval!$A$2:$A$800, ""(?i)(_|^)"" &amp; $A$1 &amp; ""(_|$)""), 
  REGEXMATCH(RawData_SemEval!$A$2:$A$800, ""(?i)"" &amp; $A40), 
  REGEXMATCH(RawData_SemEval!$A$2:$A$800, ""(?i)"" &amp; $G$1), 
  NOT(REGEXMATCH(R"&amp;"awData_SemEval!$A$2:$A$800,  ""(?i)ensemble""))
)"),0.213641884382488)</f>
        <v>0.2136418844</v>
      </c>
    </row>
    <row r="41">
      <c r="A41" s="84"/>
      <c r="B41" s="26"/>
      <c r="C41" s="89" t="str">
        <f>IFERROR(__xludf.DUMMYFUNCTION("""("" &amp; 
TEXT(FILTER(RawData_SemEval!$C$2:$C$800, REGEXMATCH(RawData_SemEval!$A$2:$A$800, ""(?i)(_|^)"" &amp; $A$1 &amp; ""(_|$)""), REGEXMATCH(RawData_SemEval!$A$2:$A$800, ""(?i)"" &amp; $A40),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$A40), REGEXMA"&amp;"TCH(RawData_SemEval!$A$2:$A$800, ""(?i)"" &amp; $C$1), NOT(REGEXMATCH(RawData_SemEval!$A$2:$A$800, ""(?i)ensemble""))), ""0.00"") &amp; 
"")"""),"(0.03, 0.08)")</f>
        <v>(0.03, 0.08)</v>
      </c>
      <c r="D41" s="89" t="str">
        <f>IFERROR(__xludf.DUMMYFUNCTION("""("" &amp; 
TEXT(FILTER(RawData_SemEval!$F$2:$F$800, REGEXMATCH(RawData_SemEval!$A$2:$A$800, ""(?i)(_|^)"" &amp; $A$1 &amp; ""(_|$)""), REGEXMATCH(RawData_SemEval!$A$2:$A$800, ""(?i)"" &amp; $A40),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$A40), REGEXMA"&amp;"TCH(RawData_SemEval!$A$2:$A$800, ""(?i)"" &amp; $C$1), NOT(REGEXMATCH(RawData_SemEval!$A$2:$A$800, ""(?i)ensemble""))), ""0.00"") &amp; 
"")"""),"(0.01, 0.04)")</f>
        <v>(0.01, 0.04)</v>
      </c>
      <c r="E41" s="89" t="str">
        <f>IFERROR(__xludf.DUMMYFUNCTION("""("" &amp; 
TEXT(FILTER(RawData_SemEval!$C$2:$C$800, REGEXMATCH(RawData_SemEval!$A$2:$A$800, ""(?i)(_|^)"" &amp; $A$1 &amp; ""(_|$)""), REGEXMATCH(RawData_SemEval!$A$2:$A$800, ""(?i)"" &amp; $A40),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$A40), REGEXMA"&amp;"TCH(RawData_SemEval!$A$2:$A$800, ""(?i)"" &amp; $E$1), NOT(REGEXMATCH(RawData_SemEval!$A$2:$A$800, ""(?i)ensemble""))), ""0.00"") &amp; 
"")"""),"(0.22, 0.30)")</f>
        <v>(0.22, 0.30)</v>
      </c>
      <c r="F41" s="89" t="str">
        <f>IFERROR(__xludf.DUMMYFUNCTION("""("" &amp; 
TEXT(FILTER(RawData_SemEval!$F$2:$F$800, REGEXMATCH(RawData_SemEval!$A$2:$A$800, ""(?i)(_|^)"" &amp; $A$1 &amp; ""(_|$)""), REGEXMATCH(RawData_SemEval!$A$2:$A$800, ""(?i)"" &amp; $A40),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$A40), REGEXMA"&amp;"TCH(RawData_SemEval!$A$2:$A$800, ""(?i)"" &amp; $E$1), NOT(REGEXMATCH(RawData_SemEval!$A$2:$A$800, ""(?i)ensemble""))), ""0.00"") &amp; 
"")"""),"(0.10, 0.15)")</f>
        <v>(0.10, 0.15)</v>
      </c>
      <c r="G41" s="89" t="str">
        <f>IFERROR(__xludf.DUMMYFUNCTION("""("" &amp; 
TEXT(FILTER(RawData_SemEval!$C$2:$C$800, REGEXMATCH(RawData_SemEval!$A$2:$A$800, ""(?i)(_|^)"" &amp; $A$1 &amp; ""(_|$)""), REGEXMATCH(RawData_SemEval!$A$2:$A$800, ""(?i)"" &amp; $A40),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$A40), REGEXMA"&amp;"TCH(RawData_SemEval!$A$2:$A$800, ""(?i)"" &amp; $G$1), NOT(REGEXMATCH(RawData_SemEval!$A$2:$A$800, ""(?i)ensemble""))), ""0.00"") &amp; 
"")"""),"(0.35, 0.42)")</f>
        <v>(0.35, 0.42)</v>
      </c>
      <c r="H41" s="89" t="str">
        <f>IFERROR(__xludf.DUMMYFUNCTION("""("" &amp; 
TEXT(FILTER(RawData_SemEval!$F$2:$F$800, REGEXMATCH(RawData_SemEval!$A$2:$A$800, ""(?i)(_|^)"" &amp; $A$1 &amp; ""(_|$)""), REGEXMATCH(RawData_SemEval!$A$2:$A$800, ""(?i)"" &amp; $A40),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$A40), REGEXMA"&amp;"TCH(RawData_SemEval!$A$2:$A$800, ""(?i)"" &amp; $G$1), NOT(REGEXMATCH(RawData_SemEval!$A$2:$A$800, ""(?i)ensemble""))), ""0.00"") &amp; 
"")"""),"(0.19, 0.24)")</f>
        <v>(0.19, 0.24)</v>
      </c>
    </row>
    <row r="42">
      <c r="A42" s="84"/>
      <c r="B42" s="26" t="s">
        <v>74</v>
      </c>
      <c r="C42" s="88">
        <f>IFERROR(__xludf.DUMMYFUNCTION("FILTER(
  RawData_Ensembles!$B$2:$B$1300, 
  REGEXMATCH(RawData_Ensembles!$A$2:$A$1300, ""(?i)(_|^)"" &amp; $A$1 &amp; ""(_|$)""), 
  REGEXMATCH(RawData_Ensembles!$A$2:$A$1300, ""(?i)"" &amp; $A40), 
  REGEXMATCH(RawData_Ensembles!$A$2:$A$1300, ""(?i)"" &amp; $C$1), 
  R"&amp;"EGEXMATCH(RawData_Ensembles!$A$2:$A$1300, ""(?i)"" &amp; $B42)
)"),0.039811066126855)</f>
        <v>0.03981106613</v>
      </c>
      <c r="D42" s="88">
        <f>IFERROR(__xludf.DUMMYFUNCTION("FILTER(
  RawData_Ensembles!$C$2:$C$1300, 
  REGEXMATCH(RawData_Ensembles!$A$2:$A$1300, ""(?i)(_|^)"" &amp; $A$1 &amp; ""(_|$)""), 
  REGEXMATCH(RawData_Ensembles!$A$2:$A$1300, ""(?i)"" &amp; $A40), 
  REGEXMATCH(RawData_Ensembles!$A$2:$A$1300, ""(?i)"" &amp; $C$1), 
  R"&amp;"EGEXMATCH(RawData_Ensembles!$A$2:$A$1300, ""(?i)"" &amp; $B42)
)"),0.020242914979757)</f>
        <v>0.02024291498</v>
      </c>
      <c r="E42" s="88">
        <f>IFERROR(__xludf.DUMMYFUNCTION("FILTER(
  RawData_Ensembles!$B$2:$B$1300, 
  REGEXMATCH(RawData_Ensembles!$A$2:$A$1300, ""(?i)(_|^)"" &amp; $A$1 &amp; ""(_|$)""), 
  REGEXMATCH(RawData_Ensembles!$A$2:$A$1300, ""(?i)"" &amp; $A40), 
  REGEXMATCH(RawData_Ensembles!$A$2:$A$1300, ""(?i)"" &amp; $E$1), 
  R"&amp;"EGEXMATCH(RawData_Ensembles!$A$2:$A$1300, ""(?i)"" &amp; $B42)
)"),0.247252747252747)</f>
        <v>0.2472527473</v>
      </c>
      <c r="F42" s="88">
        <f>IFERROR(__xludf.DUMMYFUNCTION("FILTER(
  RawData_Ensembles!$C$2:$C$1300, 
  REGEXMATCH(RawData_Ensembles!$A$2:$A$1300, ""(?i)(_|^)"" &amp; $A$1 &amp; ""(_|$)""), 
  REGEXMATCH(RawData_Ensembles!$A$2:$A$1300, ""(?i)"" &amp; $A40), 
  REGEXMATCH(RawData_Ensembles!$A$2:$A$1300, ""(?i)"" &amp; $E$1), 
  R"&amp;"EGEXMATCH(RawData_Ensembles!$A$2:$A$1300, ""(?i)"" &amp; $B42)
)"),0.119111882269777)</f>
        <v>0.1191118823</v>
      </c>
      <c r="G42" s="88">
        <f>IFERROR(__xludf.DUMMYFUNCTION("FILTER(
  RawData_Ensembles!$B$2:$B$1300, 
  REGEXMATCH(RawData_Ensembles!$A$2:$A$1300, ""(?i)(_|^)"" &amp; $A$1 &amp; ""(_|$)""), 
  REGEXMATCH(RawData_Ensembles!$A$2:$A$1300, ""(?i)"" &amp; $A40), 
  REGEXMATCH(RawData_Ensembles!$A$2:$A$1300, ""(?i)"" &amp; $G$1), 
  R"&amp;"EGEXMATCH(RawData_Ensembles!$A$2:$A$1300, ""(?i)"" &amp; $B42)
)"),0.410005783689994)</f>
        <v>0.4100057837</v>
      </c>
      <c r="H42" s="88">
        <f>IFERROR(__xludf.DUMMYFUNCTION("FILTER(
  RawData_Ensembles!$C$2:$G$1300, 
  REGEXMATCH(RawData_Ensembles!$A$2:$A$1300, ""(?i)(_|^)"" &amp; $A$1 &amp; ""(_|$)""), 
  REGEXMATCH(RawData_Ensembles!$A$2:$A$1300, ""(?i)"" &amp; $A40), 
  REGEXMATCH(RawData_Ensembles!$A$2:$A$1300, ""(?i)"" &amp; $G$1), 
  R"&amp;"EGEXMATCH(RawData_Ensembles!$A$2:$A$1300, ""(?i)"" &amp; $B42)
)"),0.236429749402136)</f>
        <v>0.2364297494</v>
      </c>
      <c r="I42" s="11"/>
      <c r="J42" s="11"/>
      <c r="K42" s="11"/>
      <c r="L42" s="11"/>
    </row>
    <row r="43">
      <c r="A43" s="84"/>
      <c r="B43" s="91" t="s">
        <v>75</v>
      </c>
      <c r="C43" s="88">
        <f>IFERROR(__xludf.DUMMYFUNCTION("FILTER(
  RawData_Ensembles!$B$2:$B$1300, 
  REGEXMATCH(RawData_Ensembles!$A$2:$A$1300, ""(?i)(_|^)"" &amp; $A$1 &amp; ""(_|$)""), 
  REGEXMATCH(RawData_Ensembles!$A$2:$A$1300, ""(?i)"" &amp; $A40), 
  REGEXMATCH(RawData_Ensembles!$A$2:$A$1300, ""(?i)"" &amp; $C$1), 
  R"&amp;"EGEXMATCH(RawData_Ensembles!$A$2:$A$1300, ""(?i)"" &amp; $B43)
)"),0.094415525994473)</f>
        <v>0.09441552599</v>
      </c>
      <c r="D43" s="88">
        <f>IFERROR(__xludf.DUMMYFUNCTION("FILTER(
  RawData_Ensembles!$C$2:$C$1300, 
  REGEXMATCH(RawData_Ensembles!$A$2:$A$1300, ""(?i)(_|^)"" &amp; $A$1 &amp; ""(_|$)""), 
  REGEXMATCH(RawData_Ensembles!$A$2:$A$1300, ""(?i)"" &amp; $A40), 
  REGEXMATCH(RawData_Ensembles!$A$2:$A$1300, ""(?i)"" &amp; $C$1), 
  R"&amp;"EGEXMATCH(RawData_Ensembles!$A$2:$A$1300, ""(?i)"" &amp; $B43)
)"),0.048452492177188)</f>
        <v>0.04845249218</v>
      </c>
      <c r="E43" s="88">
        <f>IFERROR(__xludf.DUMMYFUNCTION("FILTER(
  RawData_Ensembles!$B$2:$B$1300, 
  REGEXMATCH(RawData_Ensembles!$A$2:$A$1300, ""(?i)(_|^)"" &amp; $A$1 &amp; ""(_|$)""), 
  REGEXMATCH(RawData_Ensembles!$A$2:$A$1300, ""(?i)"" &amp; $A40), 
  REGEXMATCH(RawData_Ensembles!$A$2:$A$1300, ""(?i)"" &amp; $E$1), 
  R"&amp;"EGEXMATCH(RawData_Ensembles!$A$2:$A$1300, ""(?i)"" &amp; $B43)
)"),0.330104106419895)</f>
        <v>0.3301041064</v>
      </c>
      <c r="F43" s="88">
        <f>IFERROR(__xludf.DUMMYFUNCTION("FILTER(
  RawData_Ensembles!$C$2:$C$1300, 
  REGEXMATCH(RawData_Ensembles!$A$2:$A$1300, ""(?i)(_|^)"" &amp; $A$1 &amp; ""(_|$)""), 
  REGEXMATCH(RawData_Ensembles!$A$2:$A$1300, ""(?i)"" &amp; $A40), 
  REGEXMATCH(RawData_Ensembles!$A$2:$A$1300, ""(?i)"" &amp; $E$1), 
  R"&amp;"EGEXMATCH(RawData_Ensembles!$A$2:$A$1300, ""(?i)"" &amp; $B43)
)"),0.164367211735632)</f>
        <v>0.1643672117</v>
      </c>
      <c r="G43" s="88">
        <f>IFERROR(__xludf.DUMMYFUNCTION("FILTER(
  RawData_Ensembles!$B$2:$B$1300, 
  REGEXMATCH(RawData_Ensembles!$A$2:$A$1300, ""(?i)(_|^)"" &amp; $A$1 &amp; ""(_|$)""), 
  REGEXMATCH(RawData_Ensembles!$A$2:$A$1300, ""(?i)"" &amp; $A40), 
  REGEXMATCH(RawData_Ensembles!$A$2:$A$1300, ""(?i)"" &amp; $G$1), 
  R"&amp;"EGEXMATCH(RawData_Ensembles!$A$2:$A$1300, ""(?i)"" &amp; $B43)
)"),0.375564853500076)</f>
        <v>0.3755648535</v>
      </c>
      <c r="H43" s="88">
        <f>IFERROR(__xludf.DUMMYFUNCTION("FILTER(
  RawData_Ensembles!$C$2:$G$1300, 
  REGEXMATCH(RawData_Ensembles!$A$2:$A$1300, ""(?i)(_|^)"" &amp; $A$1 &amp; ""(_|$)""), 
  REGEXMATCH(RawData_Ensembles!$A$2:$A$1300, ""(?i)"" &amp; $A40), 
  REGEXMATCH(RawData_Ensembles!$A$2:$A$1300, ""(?i)"" &amp; $G$1), 
  R"&amp;"EGEXMATCH(RawData_Ensembles!$A$2:$A$1300, ""(?i)"" &amp; $B43)
)"),0.21217810856358)</f>
        <v>0.2121781086</v>
      </c>
      <c r="I43" s="11"/>
      <c r="J43" s="11"/>
      <c r="K43" s="11"/>
      <c r="L43" s="11"/>
    </row>
    <row r="44">
      <c r="A44" s="84" t="s">
        <v>1537</v>
      </c>
      <c r="B44" s="26" t="s">
        <v>20</v>
      </c>
      <c r="C44" s="88">
        <f>IFERROR(__xludf.DUMMYFUNCTION("FILTER(
    RawData_SemEval!$B$2:$B$800, 
    REGEXMATCH(RawData_SemEval!$A$2:$A$800, ""(?i)(_|^)"" &amp; $A$1 &amp; ""(_|$)""), 
    REGEXMATCH(RawData_SemEval!$A$2:$A$800, ""(?i)"" &amp; $A44), 
    REGEXMATCH(RawData_SemEval!$A$2:$A$800, ""(?i)"" &amp; $C$1),
    NOT("&amp;"REGEXMATCH(RawData_SemEval!$A$2:$A$800, ""(?i)ensemble""))
  )"),0.061765240023134)</f>
        <v>0.06176524002</v>
      </c>
      <c r="D44" s="88">
        <f>IFERROR(__xludf.DUMMYFUNCTION("FILTER(RawData_SemEval!$E$2:$E$800, 
  REGEXMATCH(RawData_SemEval!$A$2:$A$800, ""(?i)(_|^)"" &amp; $A$1 &amp; ""(_|$)""), 
  REGEXMATCH(RawData_SemEval!$A$2:$A$800, ""(?i)"" &amp; $A44), 
  REGEXMATCH(RawData_SemEval!$A$2:$A$800, ""(?i)"" &amp; $C$1), 
  NOT(REGEXMATCH(R"&amp;"awData_SemEval!$A$2:$A$800,  ""(?i)ensemble""))
)"),0.029348708309234)</f>
        <v>0.02934870831</v>
      </c>
      <c r="E44" s="88">
        <f>IFERROR(__xludf.DUMMYFUNCTION("FILTER(
    RawData_SemEval!$B$2:$B$800, 
    REGEXMATCH(RawData_SemEval!$A$2:$A$800, ""(?i)(_|^)"" &amp; $A$1 &amp; ""(_|$)""), 
    REGEXMATCH(RawData_SemEval!$A$2:$A$800, ""(?i)"" &amp; $A44), 
    REGEXMATCH(RawData_SemEval!$A$2:$A$800, ""(?i)"" &amp; $E$1),
    NOT("&amp;"REGEXMATCH(RawData_SemEval!$A$2:$A$800, ""(?i)ensemble""))
  )"),0.256158582353319)</f>
        <v>0.2561585824</v>
      </c>
      <c r="F44" s="88">
        <f>IFERROR(__xludf.DUMMYFUNCTION("FILTER(RawData_SemEval!$E$2:$E$800, 
  REGEXMATCH(RawData_SemEval!$A$2:$A$800, ""(?i)(_|^)"" &amp; $A$1 &amp; ""(_|$)""), 
  REGEXMATCH(RawData_SemEval!$A$2:$A$800, ""(?i)"" &amp; $A44), 
  REGEXMATCH(RawData_SemEval!$A$2:$A$800, ""(?i)"" &amp; $E$1), 
  NOT(REGEXMATCH(R"&amp;"awData_SemEval!$A$2:$A$800,  ""(?i)ensemble""))
)"),0.104719207692891)</f>
        <v>0.1047192077</v>
      </c>
      <c r="G44" s="88">
        <f>IFERROR(__xludf.DUMMYFUNCTION("FILTER(
    RawData_SemEval!$B$2:$B$800, 
    REGEXMATCH(RawData_SemEval!$A$2:$A$800, ""(?i)(_|^)"" &amp; $A$1 &amp; ""(_|$)""), 
    REGEXMATCH(RawData_SemEval!$A$2:$A$800, ""(?i)"" &amp; $A44), 
    REGEXMATCH(RawData_SemEval!$A$2:$A$800, ""(?i)"" &amp; $G$1),
    NOT("&amp;"REGEXMATCH(RawData_SemEval!$A$2:$A$800, ""(?i)ensemble""))
  )"),0.183951176893282)</f>
        <v>0.1839511769</v>
      </c>
      <c r="H44" s="88">
        <f>IFERROR(__xludf.DUMMYFUNCTION("FILTER(RawData_SemEval!$E$2:$E$800, 
  REGEXMATCH(RawData_SemEval!$A$2:$A$800, ""(?i)(_|^)"" &amp; $A$1 &amp; ""(_|$)""), 
  REGEXMATCH(RawData_SemEval!$A$2:$A$800, ""(?i)"" &amp; $A44), 
  REGEXMATCH(RawData_SemEval!$A$2:$A$800, ""(?i)"" &amp; $G$1), 
  NOT(REGEXMATCH(R"&amp;"awData_SemEval!$A$2:$A$800,  ""(?i)ensemble""))
)"),0.076478375942546)</f>
        <v>0.07647837594</v>
      </c>
    </row>
    <row r="45">
      <c r="A45" s="84"/>
      <c r="B45" s="26"/>
      <c r="C45" s="89" t="str">
        <f>IFERROR(__xludf.DUMMYFUNCTION("""("" &amp; 
TEXT(FILTER(RawData_SemEval!$C$2:$C$800, REGEXMATCH(RawData_SemEval!$A$2:$A$800, ""(?i)(_|^)"" &amp; $A$1 &amp; ""(_|$)""), REGEXMATCH(RawData_SemEval!$A$2:$A$800, ""(?i)"" &amp; $A44),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$A44), REGEXMA"&amp;"TCH(RawData_SemEval!$A$2:$A$800, ""(?i)"" &amp; $C$1), NOT(REGEXMATCH(RawData_SemEval!$A$2:$A$800, ""(?i)ensemble""))), ""0.00"") &amp; 
"")"""),"(0.04, 0.09)")</f>
        <v>(0.04, 0.09)</v>
      </c>
      <c r="D45" s="89" t="str">
        <f>IFERROR(__xludf.DUMMYFUNCTION("""("" &amp; 
TEXT(FILTER(RawData_SemEval!$F$2:$F$800, REGEXMATCH(RawData_SemEval!$A$2:$A$800, ""(?i)(_|^)"" &amp; $A$1 &amp; ""(_|$)""), REGEXMATCH(RawData_SemEval!$A$2:$A$800, ""(?i)"" &amp; $A44),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$A44), REGEXMA"&amp;"TCH(RawData_SemEval!$A$2:$A$800, ""(?i)"" &amp; $C$1), NOT(REGEXMATCH(RawData_SemEval!$A$2:$A$800, ""(?i)ensemble""))), ""0.00"") &amp; 
"")"""),"(0.01, 0.05)")</f>
        <v>(0.01, 0.05)</v>
      </c>
      <c r="E45" s="89" t="str">
        <f>IFERROR(__xludf.DUMMYFUNCTION("""("" &amp; 
TEXT(FILTER(RawData_SemEval!$C$2:$C$800, REGEXMATCH(RawData_SemEval!$A$2:$A$800, ""(?i)(_|^)"" &amp; $A$1 &amp; ""(_|$)""), REGEXMATCH(RawData_SemEval!$A$2:$A$800, ""(?i)"" &amp; $A44),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$A44), REGEXMA"&amp;"TCH(RawData_SemEval!$A$2:$A$800, ""(?i)"" &amp; $E$1), NOT(REGEXMATCH(RawData_SemEval!$A$2:$A$800, ""(?i)ensemble""))), ""0.00"") &amp; 
"")"""),"(0.22, 0.29)")</f>
        <v>(0.22, 0.29)</v>
      </c>
      <c r="F45" s="89" t="str">
        <f>IFERROR(__xludf.DUMMYFUNCTION("""("" &amp; 
TEXT(FILTER(RawData_SemEval!$F$2:$F$800, REGEXMATCH(RawData_SemEval!$A$2:$A$800, ""(?i)(_|^)"" &amp; $A$1 &amp; ""(_|$)""), REGEXMATCH(RawData_SemEval!$A$2:$A$800, ""(?i)"" &amp; $A44),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$A44), REGEXMA"&amp;"TCH(RawData_SemEval!$A$2:$A$800, ""(?i)"" &amp; $E$1), NOT(REGEXMATCH(RawData_SemEval!$A$2:$A$800, ""(?i)ensemble""))), ""0.00"") &amp; 
"")"""),"(0.08, 0.13)")</f>
        <v>(0.08, 0.13)</v>
      </c>
      <c r="G45" s="89" t="str">
        <f>IFERROR(__xludf.DUMMYFUNCTION("""("" &amp; 
TEXT(FILTER(RawData_SemEval!$C$2:$C$800, REGEXMATCH(RawData_SemEval!$A$2:$A$800, ""(?i)(_|^)"" &amp; $A$1 &amp; ""(_|$)""), REGEXMATCH(RawData_SemEval!$A$2:$A$800, ""(?i)"" &amp; $A44),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$A44), REGEXMA"&amp;"TCH(RawData_SemEval!$A$2:$A$800, ""(?i)"" &amp; $G$1), NOT(REGEXMATCH(RawData_SemEval!$A$2:$A$800, ""(?i)ensemble""))), ""0.00"") &amp; 
"")"""),"(0.15, 0.22)")</f>
        <v>(0.15, 0.22)</v>
      </c>
      <c r="H45" s="89" t="str">
        <f>IFERROR(__xludf.DUMMYFUNCTION("""("" &amp; 
TEXT(FILTER(RawData_SemEval!$F$2:$F$800, REGEXMATCH(RawData_SemEval!$A$2:$A$800, ""(?i)(_|^)"" &amp; $A$1 &amp; ""(_|$)""), REGEXMATCH(RawData_SemEval!$A$2:$A$800, ""(?i)"" &amp; $A44),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$A44), REGEXMA"&amp;"TCH(RawData_SemEval!$A$2:$A$800, ""(?i)"" &amp; $G$1), NOT(REGEXMATCH(RawData_SemEval!$A$2:$A$800, ""(?i)ensemble""))), ""0.00"") &amp; 
"")"""),"(0.06, 0.10)")</f>
        <v>(0.06, 0.10)</v>
      </c>
    </row>
    <row r="46">
      <c r="A46" s="84"/>
      <c r="B46" s="26" t="s">
        <v>74</v>
      </c>
      <c r="C46" s="88">
        <f>IFERROR(__xludf.DUMMYFUNCTION("FILTER(
  RawData_Ensembles!$B$2:$B$1300, 
  REGEXMATCH(RawData_Ensembles!$A$2:$A$1300, ""(?i)(_|^)"" &amp; $A$1 &amp; ""(_|$)""), 
  REGEXMATCH(RawData_Ensembles!$A$2:$A$1300, ""(?i)"" &amp; $A44), 
  REGEXMATCH(RawData_Ensembles!$A$2:$A$1300, ""(?i)"" &amp; $C$1), 
  R"&amp;"EGEXMATCH(RawData_Ensembles!$A$2:$A$1300, ""(?i)"" &amp; $B46)
)"),0.043454790823211)</f>
        <v>0.04345479082</v>
      </c>
      <c r="D46" s="88">
        <f>IFERROR(__xludf.DUMMYFUNCTION("FILTER(
  RawData_Ensembles!$C$2:$C$1300, 
  REGEXMATCH(RawData_Ensembles!$A$2:$A$1300, ""(?i)(_|^)"" &amp; $A$1 &amp; ""(_|$)""), 
  REGEXMATCH(RawData_Ensembles!$A$2:$A$1300, ""(?i)"" &amp; $A44), 
  REGEXMATCH(RawData_Ensembles!$A$2:$A$1300, ""(?i)"" &amp; $C$1), 
  R"&amp;"EGEXMATCH(RawData_Ensembles!$A$2:$A$1300, ""(?i)"" &amp; $B46)
)"),0.023211875843454)</f>
        <v>0.02321187584</v>
      </c>
      <c r="E46" s="88">
        <f>IFERROR(__xludf.DUMMYFUNCTION("FILTER(
  RawData_Ensembles!$B$2:$B$1300, 
  REGEXMATCH(RawData_Ensembles!$A$2:$A$1300, ""(?i)(_|^)"" &amp; $A$1 &amp; ""(_|$)""), 
  REGEXMATCH(RawData_Ensembles!$A$2:$A$1300, ""(?i)"" &amp; $A44), 
  REGEXMATCH(RawData_Ensembles!$A$2:$A$1300, ""(?i)"" &amp; $E$1), 
  R"&amp;"EGEXMATCH(RawData_Ensembles!$A$2:$A$1300, ""(?i)"" &amp; $B46)
)"),0.252274918064391)</f>
        <v>0.2522749181</v>
      </c>
      <c r="F46" s="88">
        <f>IFERROR(__xludf.DUMMYFUNCTION("FILTER(
  RawData_Ensembles!$C$2:$C$1300, 
  REGEXMATCH(RawData_Ensembles!$A$2:$A$1300, ""(?i)(_|^)"" &amp; $A$1 &amp; ""(_|$)""), 
  REGEXMATCH(RawData_Ensembles!$A$2:$A$1300, ""(?i)"" &amp; $A44), 
  REGEXMATCH(RawData_Ensembles!$A$2:$A$1300, ""(?i)"" &amp; $E$1), 
  R"&amp;"EGEXMATCH(RawData_Ensembles!$A$2:$A$1300, ""(?i)"" &amp; $B46)
)"),0.107332433648223)</f>
        <v>0.1073324336</v>
      </c>
      <c r="G46" s="88">
        <f>IFERROR(__xludf.DUMMYFUNCTION("FILTER(
  RawData_Ensembles!$B$2:$B$1300, 
  REGEXMATCH(RawData_Ensembles!$A$2:$A$1300, ""(?i)(_|^)"" &amp; $A$1 &amp; ""(_|$)""), 
  REGEXMATCH(RawData_Ensembles!$A$2:$A$1300, ""(?i)"" &amp; $A44), 
  REGEXMATCH(RawData_Ensembles!$A$2:$A$1300, ""(?i)"" &amp; $G$1), 
  R"&amp;"EGEXMATCH(RawData_Ensembles!$A$2:$A$1300, ""(?i)"" &amp; $B46)
)"),0.171939464044727)</f>
        <v>0.171939464</v>
      </c>
      <c r="H46" s="88">
        <f>IFERROR(__xludf.DUMMYFUNCTION("FILTER(
  RawData_Ensembles!$C$2:$G$1300, 
  REGEXMATCH(RawData_Ensembles!$A$2:$A$1300, ""(?i)(_|^)"" &amp; $A$1 &amp; ""(_|$)""), 
  REGEXMATCH(RawData_Ensembles!$A$2:$A$1300, ""(?i)"" &amp; $A44), 
  REGEXMATCH(RawData_Ensembles!$A$2:$A$1300, ""(?i)"" &amp; $G$1), 
  R"&amp;"EGEXMATCH(RawData_Ensembles!$A$2:$A$1300, ""(?i)"" &amp; $B46)
)"),0.071831429928595)</f>
        <v>0.07183142993</v>
      </c>
      <c r="I46" s="11"/>
      <c r="J46" s="11"/>
      <c r="K46" s="11"/>
      <c r="L46" s="11"/>
    </row>
    <row r="47">
      <c r="A47" s="84"/>
      <c r="B47" s="91" t="s">
        <v>75</v>
      </c>
      <c r="C47" s="88">
        <f>IFERROR(__xludf.DUMMYFUNCTION("FILTER(
  RawData_Ensembles!$B$2:$B$1300, 
  REGEXMATCH(RawData_Ensembles!$A$2:$A$1300, ""(?i)(_|^)"" &amp; $A$1 &amp; ""(_|$)""), 
  REGEXMATCH(RawData_Ensembles!$A$2:$A$1300, ""(?i)"" &amp; $A44), 
  REGEXMATCH(RawData_Ensembles!$A$2:$A$1300, ""(?i)"" &amp; $C$1), 
  R"&amp;"EGEXMATCH(RawData_Ensembles!$A$2:$A$1300, ""(?i)"" &amp; $B47)
)"),0.118883747831116)</f>
        <v>0.1188837478</v>
      </c>
      <c r="D47" s="88">
        <f>IFERROR(__xludf.DUMMYFUNCTION("FILTER(
  RawData_Ensembles!$C$2:$C$1300, 
  REGEXMATCH(RawData_Ensembles!$A$2:$A$1300, ""(?i)(_|^)"" &amp; $A$1 &amp; ""(_|$)""), 
  REGEXMATCH(RawData_Ensembles!$A$2:$A$1300, ""(?i)"" &amp; $A44), 
  REGEXMATCH(RawData_Ensembles!$A$2:$A$1300, ""(?i)"" &amp; $C$1), 
  R"&amp;"EGEXMATCH(RawData_Ensembles!$A$2:$A$1300, ""(?i)"" &amp; $B47)
)"),0.056090108721687)</f>
        <v>0.05609010872</v>
      </c>
      <c r="E47" s="88">
        <f>IFERROR(__xludf.DUMMYFUNCTION("FILTER(
  RawData_Ensembles!$B$2:$B$1300, 
  REGEXMATCH(RawData_Ensembles!$A$2:$A$1300, ""(?i)(_|^)"" &amp; $A$1 &amp; ""(_|$)""), 
  REGEXMATCH(RawData_Ensembles!$A$2:$A$1300, ""(?i)"" &amp; $A44), 
  REGEXMATCH(RawData_Ensembles!$A$2:$A$1300, ""(?i)"" &amp; $E$1), 
  R"&amp;"EGEXMATCH(RawData_Ensembles!$A$2:$A$1300, ""(?i)"" &amp; $B47)
)"),0.346793265214317)</f>
        <v>0.3467932652</v>
      </c>
      <c r="F47" s="88">
        <f>IFERROR(__xludf.DUMMYFUNCTION("FILTER(
  RawData_Ensembles!$C$2:$C$1300, 
  REGEXMATCH(RawData_Ensembles!$A$2:$A$1300, ""(?i)(_|^)"" &amp; $A$1 &amp; ""(_|$)""), 
  REGEXMATCH(RawData_Ensembles!$A$2:$A$1300, ""(?i)"" &amp; $A44), 
  REGEXMATCH(RawData_Ensembles!$A$2:$A$1300, ""(?i)"" &amp; $E$1), 
  R"&amp;"EGEXMATCH(RawData_Ensembles!$A$2:$A$1300, ""(?i)"" &amp; $B47)
)"),0.147795344556478)</f>
        <v>0.1477953446</v>
      </c>
      <c r="G47" s="88">
        <f>IFERROR(__xludf.DUMMYFUNCTION("FILTER(
  RawData_Ensembles!$B$2:$B$1300, 
  REGEXMATCH(RawData_Ensembles!$A$2:$A$1300, ""(?i)(_|^)"" &amp; $A$1 &amp; ""(_|$)""), 
  REGEXMATCH(RawData_Ensembles!$A$2:$A$1300, ""(?i)"" &amp; $A44), 
  REGEXMATCH(RawData_Ensembles!$A$2:$A$1300, ""(?i)"" &amp; $G$1), 
  R"&amp;"EGEXMATCH(RawData_Ensembles!$A$2:$A$1300, ""(?i)"" &amp; $B47)
)"),0.303056749817883)</f>
        <v>0.3030567498</v>
      </c>
      <c r="H47" s="88">
        <f>IFERROR(__xludf.DUMMYFUNCTION("FILTER(
  RawData_Ensembles!$C$2:$G$1300, 
  REGEXMATCH(RawData_Ensembles!$A$2:$A$1300, ""(?i)(_|^)"" &amp; $A$1 &amp; ""(_|$)""), 
  REGEXMATCH(RawData_Ensembles!$A$2:$A$1300, ""(?i)"" &amp; $A44), 
  REGEXMATCH(RawData_Ensembles!$A$2:$A$1300, ""(?i)"" &amp; $G$1), 
  R"&amp;"EGEXMATCH(RawData_Ensembles!$A$2:$A$1300, ""(?i)"" &amp; $B47)
)"),0.129793698006367)</f>
        <v>0.129793698</v>
      </c>
      <c r="I47" s="11"/>
      <c r="J47" s="11"/>
      <c r="K47" s="11"/>
      <c r="L47" s="11"/>
    </row>
    <row r="48">
      <c r="A48" s="84" t="s">
        <v>1734</v>
      </c>
      <c r="B48" s="26" t="s">
        <v>24</v>
      </c>
      <c r="C48" s="88">
        <f>IFERROR(__xludf.DUMMYFUNCTION("FILTER(
    RawData_SemEval!$B$2:$B$800, 
    REGEXMATCH(RawData_SemEval!$A$2:$A$800, ""(?i)(_|^)"" &amp; $A$1 &amp; ""(_|$)""), 
    REGEXMATCH(RawData_SemEval!$A$2:$A$800, ""(?i)"" &amp; $A48), 
    REGEXMATCH(RawData_SemEval!$A$2:$A$800, ""(?i)"" &amp; $C$1),
NOT(REGE"&amp;"XMATCH(RawData_SemEval!$A$2:$A$800, ""(?i)complete"")), 
    NOT(REGEXMATCH(RawData_SemEval!$A$2:$A$800, ""(?i)ensemble""))
  )"),0.043328475033738)</f>
        <v>0.04332847503</v>
      </c>
      <c r="D48" s="88">
        <f>IFERROR(__xludf.DUMMYFUNCTION("FILTER(RawData_SemEval!$E$2:$E$800, 
  REGEXMATCH(RawData_SemEval!$A$2:$A$800, ""(?i)(_|^)"" &amp; $A$1 &amp; ""(_|$)""), 
  REGEXMATCH(RawData_SemEval!$A$2:$A$800, ""(?i)"" &amp; $A48), 
  REGEXMATCH(RawData_SemEval!$A$2:$A$800, ""(?i)"" &amp; $C$1), 
NOT(REGEXMATCH(Raw"&amp;"Data_SemEval!$A$2:$A$800, ""(?i)complete"")), 
  NOT(REGEXMATCH(RawData_SemEval!$A$2:$A$800,  ""(?i)ensemble""))
)"),0.02139393997815)</f>
        <v>0.02139393998</v>
      </c>
      <c r="E48" s="88">
        <f>IFERROR(__xludf.DUMMYFUNCTION("FILTER(
    RawData_SemEval!$B$2:$B$800, 
    REGEXMATCH(RawData_SemEval!$A$2:$A$800, ""(?i)(_|^)"" &amp; $A$1 &amp; ""(_|$)""), 
    REGEXMATCH(RawData_SemEval!$A$2:$A$800, ""(?i)"" &amp; $A48), 
    REGEXMATCH(RawData_SemEval!$A$2:$A$800, ""(?i)"" &amp; $E$1),
NOT(REGE"&amp;"XMATCH(RawData_SemEval!$A$2:$A$800, ""(?i)complete"")), 
    NOT(REGEXMATCH(RawData_SemEval!$A$2:$A$800, ""(?i)ensemble""))
  )"),0.255036344065291)</f>
        <v>0.2550363441</v>
      </c>
      <c r="F48" s="88">
        <f>IFERROR(__xludf.DUMMYFUNCTION("FILTER(RawData_SemEval!$E$2:$E$800, 
  REGEXMATCH(RawData_SemEval!$A$2:$A$800, ""(?i)(_|^)"" &amp; $A$1 &amp; ""(_|$)""), 
  REGEXMATCH(RawData_SemEval!$A$2:$A$800, ""(?i)"" &amp; $A48), 
  REGEXMATCH(RawData_SemEval!$A$2:$A$800, ""(?i)"" &amp; $E$1), 
NOT(REGEXMATCH(Raw"&amp;"Data_SemEval!$A$2:$A$800, ""(?i)complete"")), 
  NOT(REGEXMATCH(RawData_SemEval!$A$2:$A$800,  ""(?i)ensemble""))
)"),0.10422726630095)</f>
        <v>0.1042272663</v>
      </c>
      <c r="G48" s="88">
        <f>IFERROR(__xludf.DUMMYFUNCTION("FILTER(
    RawData_SemEval!$B$2:$B$800, 
    REGEXMATCH(RawData_SemEval!$A$2:$A$800, ""(?i)(_|^)"" &amp; $A$1 &amp; ""(_|$)""), 
    REGEXMATCH(RawData_SemEval!$A$2:$A$800, ""(?i)"" &amp; $A48), 
    REGEXMATCH(RawData_SemEval!$A$2:$A$800, ""(?i)"" &amp; $G$1),
NOT(REGE"&amp;"XMATCH(RawData_SemEval!$A$2:$A$800, ""(?i)complete"")), 
    NOT(REGEXMATCH(RawData_SemEval!$A$2:$A$800, ""(?i)ensemble""))
  )"),0.263223865900181)</f>
        <v>0.2632238659</v>
      </c>
      <c r="H48" s="88">
        <f>IFERROR(__xludf.DUMMYFUNCTION("FILTER(RawData_SemEval!$E$2:$E$800, 
  REGEXMATCH(RawData_SemEval!$A$2:$A$800, ""(?i)(_|^)"" &amp; $A$1 &amp; ""(_|$)""), 
  REGEXMATCH(RawData_SemEval!$A$2:$A$800, ""(?i)"" &amp; $A48), 
  REGEXMATCH(RawData_SemEval!$A$2:$A$800, ""(?i)"" &amp; $G$1), 
NOT(REGEXMATCH(Raw"&amp;"Data_SemEval!$A$2:$A$800, ""(?i)complete"")), 
  NOT(REGEXMATCH(RawData_SemEval!$A$2:$A$800,  ""(?i)ensemble""))
)"),0.12963188756561)</f>
        <v>0.1296318876</v>
      </c>
    </row>
    <row r="49">
      <c r="A49" s="84"/>
      <c r="B49" s="26"/>
      <c r="C49" s="89" t="str">
        <f>IFERROR(__xludf.DUMMYFUNCTION("""("" &amp; 
TEXT(FILTER(RawData_SemEval!$C$2:$C$800, REGEXMATCH(RawData_SemEval!$A$2:$A$800, ""(?i)(_|^)"" &amp; $A$1 &amp; ""(_|$)""), REGEXMATCH(RawData_SemEval!$A$2:$A$800, ""(?i)"" &amp; $A48), REGEXMATCH(RawData_SemEval!$A$2:$A$800, ""(?i)"" &amp; $C$1),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$A48), REGEXMATCH(RawData_SemEval!$A$2:$A$800, ""(?i)"" &amp; $C$1), NOT(REGEXMATCH(RawData_SemEval!$A$2:$A$800, ""(?i)complete"")), NOT(REGEXMATCH(RawData_SemEval!$A$2:$A$800, ""(?i)ensemble""))), ""0.00"") &amp;"&amp;" 
"")"""),"(0.02, 0.07)")</f>
        <v>(0.02, 0.07)</v>
      </c>
      <c r="D49" s="89" t="str">
        <f>IFERROR(__xludf.DUMMYFUNCTION("""("" &amp; 
TEXT(FILTER(RawData_SemEval!$F$2:$F$800, REGEXMATCH(RawData_SemEval!$A$2:$A$800, ""(?i)(_|^)"" &amp; $A$1 &amp; ""(_|$)""), REGEXMATCH(RawData_SemEval!$A$2:$A$800, ""(?i)"" &amp; $A48), REGEXMATCH(RawData_SemEval!$A$2:$A$800, ""(?i)"" &amp; $C$1),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$A48), REGEXMATCH(RawData_SemEval!$A$2:$A$800, ""(?i)"" &amp; $C$1), NOT(REGEXMATCH(RawData_SemEval!$A$2:$A$800, ""(?i)complete"")), NOT(REGEXMATCH(RawData_SemEval!$A$2:$A$800, ""(?i)ensemble""))), ""0.00"") &amp;"&amp;" 
"")"""),"(0.01, 0.04)")</f>
        <v>(0.01, 0.04)</v>
      </c>
      <c r="E49" s="89" t="str">
        <f>IFERROR(__xludf.DUMMYFUNCTION("""("" &amp; 
TEXT(FILTER(RawData_SemEval!$C$2:$C$800, REGEXMATCH(RawData_SemEval!$A$2:$A$800, ""(?i)(_|^)"" &amp; $A$1 &amp; ""(_|$)""), REGEXMATCH(RawData_SemEval!$A$2:$A$800, ""(?i)"" &amp; $A48), REGEXMATCH(RawData_SemEval!$A$2:$A$800, ""(?i)"" &amp; $E$1),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$A48), REGEXMATCH(RawData_SemEval!$A$2:$A$800, ""(?i)"" &amp; $E$1), NOT(REGEXMATCH(RawData_SemEval!$A$2:$A$800, ""(?i)complete"")), NOT(REGEXMATCH(RawData_SemEval!$A$2:$A$800, ""(?i)ensemble""))), ""0.00"") &amp;"&amp;" 
"")"""),"(0.22, 0.29)")</f>
        <v>(0.22, 0.29)</v>
      </c>
      <c r="F49" s="89" t="str">
        <f>IFERROR(__xludf.DUMMYFUNCTION("""("" &amp; 
TEXT(FILTER(RawData_SemEval!$F$2:$F$800, REGEXMATCH(RawData_SemEval!$A$2:$A$800, ""(?i)(_|^)"" &amp; $A$1 &amp; ""(_|$)""), REGEXMATCH(RawData_SemEval!$A$2:$A$800, ""(?i)"" &amp; $A48), REGEXMATCH(RawData_SemEval!$A$2:$A$800, ""(?i)"" &amp; $E$1),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$A48), REGEXMATCH(RawData_SemEval!$A$2:$A$800, ""(?i)"" &amp; $E$1), NOT(REGEXMATCH(RawData_SemEval!$A$2:$A$800, ""(?i)complete"")), NOT(REGEXMATCH(RawData_SemEval!$A$2:$A$800, ""(?i)ensemble""))), ""0.00"") &amp;"&amp;" 
"")"""),"(0.08, 0.13)")</f>
        <v>(0.08, 0.13)</v>
      </c>
      <c r="G49" s="89" t="str">
        <f>IFERROR(__xludf.DUMMYFUNCTION("""("" &amp; 
TEXT(FILTER(RawData_SemEval!$C$2:$C$800, REGEXMATCH(RawData_SemEval!$A$2:$A$800, ""(?i)(_|^)"" &amp; $A$1 &amp; ""(_|$)""), REGEXMATCH(RawData_SemEval!$A$2:$A$800, ""(?i)"" &amp; $A48), REGEXMATCH(RawData_SemEval!$A$2:$A$800, ""(?i)"" &amp; $G$1),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$A48), REGEXMATCH(RawData_SemEval!$A$2:$A$800, ""(?i)"" &amp; $G$1), NOT(REGEXMATCH(RawData_SemEval!$A$2:$A$800, ""(?i)complete"")), NOT(REGEXMATCH(RawData_SemEval!$A$2:$A$800, ""(?i)ensemble""))), ""0.00"") &amp;"&amp;" 
"")"""),"(0.23, 0.30)")</f>
        <v>(0.23, 0.30)</v>
      </c>
      <c r="H49" s="89" t="str">
        <f>IFERROR(__xludf.DUMMYFUNCTION("""("" &amp; 
TEXT(FILTER(RawData_SemEval!$F$2:$F$800, REGEXMATCH(RawData_SemEval!$A$2:$A$800, ""(?i)(_|^)"" &amp; $A$1 &amp; ""(_|$)""), REGEXMATCH(RawData_SemEval!$A$2:$A$800, ""(?i)"" &amp; $A48), REGEXMATCH(RawData_SemEval!$A$2:$A$800, ""(?i)"" &amp; $G$1),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$A48), REGEXMATCH(RawData_SemEval!$A$2:$A$800, ""(?i)"" &amp; $G$1), NOT(REGEXMATCH(RawData_SemEval!$A$2:$A$800, ""(?i)complete"")), NOT(REGEXMATCH(RawData_SemEval!$A$2:$A$800, ""(?i)ensemble""))), ""0.00"") &amp;"&amp;" 
"")"""),"(0.11, 0.15)")</f>
        <v>(0.11, 0.15)</v>
      </c>
    </row>
    <row r="50">
      <c r="A50" s="84"/>
      <c r="B50" s="26" t="s">
        <v>74</v>
      </c>
      <c r="C50" s="88">
        <f>IFERROR(__xludf.DUMMYFUNCTION("FILTER(
  RawData_Ensembles!$B$2:$B$1300, 
  REGEXMATCH(RawData_Ensembles!$A$2:$A$1300, ""(?i)(_|^)"" &amp; $A$1 &amp; ""(_|$)""), 
  REGEXMATCH(RawData_Ensembles!$A$2:$A$1300, ""(?i)"" &amp; $A48), 
  REGEXMATCH(RawData_Ensembles!$A$2:$A$1300, ""(?i)"" &amp; $C$1), 
NOT"&amp;"(REGEXMATCH(RawData_Ensembles!$A$2:$A$1300, ""(?i)complete"")), 
  REGEXMATCH(RawData_Ensembles!$A$2:$A$1300, ""(?i)"" &amp; $B50)
)"),0.032388663967611)</f>
        <v>0.03238866397</v>
      </c>
      <c r="D50" s="88">
        <f>IFERROR(__xludf.DUMMYFUNCTION("FILTER(
  RawData_Ensembles!$C$2:$C$1300, 
  REGEXMATCH(RawData_Ensembles!$A$2:$A$1300, ""(?i)(_|^)"" &amp; $A$1 &amp; ""(_|$)""), 
  REGEXMATCH(RawData_Ensembles!$A$2:$A$1300, ""(?i)"" &amp; $A48), 
  REGEXMATCH(RawData_Ensembles!$A$2:$A$1300, ""(?i)"" &amp; $C$1), 
NOT"&amp;"(REGEXMATCH(RawData_Ensembles!$A$2:$A$1300, ""(?i)complete"")), 
  REGEXMATCH(RawData_Ensembles!$A$2:$A$1300, ""(?i)"" &amp; $B50)
)"),0.016194331983805)</f>
        <v>0.01619433198</v>
      </c>
      <c r="E50" s="88">
        <f>IFERROR(__xludf.DUMMYFUNCTION("FILTER(
  RawData_Ensembles!$B$2:$B$1300, 
  REGEXMATCH(RawData_Ensembles!$A$2:$A$1300, ""(?i)(_|^)"" &amp; $A$1 &amp; ""(_|$)""), 
  REGEXMATCH(RawData_Ensembles!$A$2:$A$1300, ""(?i)"" &amp; $A48), 
  REGEXMATCH(RawData_Ensembles!$A$2:$A$1300, ""(?i)"" &amp; $E$1), 
NOT"&amp;"(REGEXMATCH(RawData_Ensembles!$A$2:$A$1300, ""(?i)complete"")), 
  REGEXMATCH(RawData_Ensembles!$A$2:$A$1300, ""(?i)"" &amp; $B50)
)"),0.243021014073645)</f>
        <v>0.2430210141</v>
      </c>
      <c r="F50" s="88">
        <f>IFERROR(__xludf.DUMMYFUNCTION("FILTER(
  RawData_Ensembles!$C$2:$C$1300, 
  REGEXMATCH(RawData_Ensembles!$A$2:$A$1300, ""(?i)(_|^)"" &amp; $A$1 &amp; ""(_|$)""), 
  REGEXMATCH(RawData_Ensembles!$A$2:$A$1300, ""(?i)"" &amp; $A48), 
  REGEXMATCH(RawData_Ensembles!$A$2:$A$1300, ""(?i)"" &amp; $E$1), 
NOT"&amp;"(REGEXMATCH(RawData_Ensembles!$A$2:$A$1300, ""(?i)complete"")), 
  REGEXMATCH(RawData_Ensembles!$A$2:$A$1300, ""(?i)"" &amp; $B50)
)"),0.096414112203585)</f>
        <v>0.0964141122</v>
      </c>
      <c r="G50" s="88">
        <f>IFERROR(__xludf.DUMMYFUNCTION("FILTER(
  RawData_Ensembles!$B$2:$B$1300, 
  REGEXMATCH(RawData_Ensembles!$A$2:$A$1300, ""(?i)(_|^)"" &amp; $A$1 &amp; ""(_|$)""), 
  REGEXMATCH(RawData_Ensembles!$A$2:$A$1300, ""(?i)"" &amp; $A48), 
  REGEXMATCH(RawData_Ensembles!$A$2:$A$1300, ""(?i)"" &amp; $G$1), 
NOT"&amp;"(REGEXMATCH(RawData_Ensembles!$A$2:$A$1300, ""(?i)complete"")), 
  REGEXMATCH(RawData_Ensembles!$A$2:$A$1300, ""(?i)"" &amp; $B50)
)"),0.282812801233853)</f>
        <v>0.2828128012</v>
      </c>
      <c r="H50" s="88">
        <f>IFERROR(__xludf.DUMMYFUNCTION("FILTER(
  RawData_Ensembles!$C$2:$G$1300, 
  REGEXMATCH(RawData_Ensembles!$A$2:$A$1300, ""(?i)(_|^)"" &amp; $A$1 &amp; ""(_|$)""), 
  REGEXMATCH(RawData_Ensembles!$A$2:$A$1300, ""(?i)"" &amp; $A48), 
  REGEXMATCH(RawData_Ensembles!$A$2:$A$1300, ""(?i)"" &amp; $G$1), 
NOT"&amp;"(REGEXMATCH(RawData_Ensembles!$A$2:$A$1300, ""(?i)complete"")), 
  REGEXMATCH(RawData_Ensembles!$A$2:$A$1300, ""(?i)"" &amp; $B50)
)"),0.144395751477951)</f>
        <v>0.1443957515</v>
      </c>
      <c r="I50" s="11"/>
      <c r="J50" s="11"/>
      <c r="K50" s="11"/>
      <c r="L50" s="11"/>
    </row>
    <row r="51">
      <c r="A51" s="84"/>
      <c r="B51" s="91" t="s">
        <v>75</v>
      </c>
      <c r="C51" s="88">
        <f>IFERROR(__xludf.DUMMYFUNCTION("FILTER(
  RawData_Ensembles!$B$2:$B$1300, 
  REGEXMATCH(RawData_Ensembles!$A$2:$A$1300, ""(?i)(_|^)"" &amp; $A$1 &amp; ""(_|$)""), 
  REGEXMATCH(RawData_Ensembles!$A$2:$A$1300, ""(?i)"" &amp; $A48), 
  REGEXMATCH(RawData_Ensembles!$A$2:$A$1300, ""(?i)"" &amp; $C$1), 
NOT"&amp;"(REGEXMATCH(RawData_Ensembles!$A$2:$A$1300, ""(?i)complete"")), 
  REGEXMATCH(RawData_Ensembles!$A$2:$A$1300, ""(?i)"" &amp; $B51)
)"),0.066888374783111)</f>
        <v>0.06688837478</v>
      </c>
      <c r="D51" s="88">
        <f>IFERROR(__xludf.DUMMYFUNCTION("FILTER(
  RawData_Ensembles!$C$2:$C$1300, 
  REGEXMATCH(RawData_Ensembles!$A$2:$A$1300, ""(?i)(_|^)"" &amp; $A$1 &amp; ""(_|$)""), 
  REGEXMATCH(RawData_Ensembles!$A$2:$A$1300, ""(?i)"" &amp; $A48), 
  REGEXMATCH(RawData_Ensembles!$A$2:$A$1300, ""(?i)"" &amp; $C$1), 
NOT"&amp;"(REGEXMATCH(RawData_Ensembles!$A$2:$A$1300, ""(?i)complete"")), 
  REGEXMATCH(RawData_Ensembles!$A$2:$A$1300, ""(?i)"" &amp; $B51)
)"),0.034326200115673)</f>
        <v>0.03432620012</v>
      </c>
      <c r="E51" s="88">
        <f>IFERROR(__xludf.DUMMYFUNCTION("FILTER(
  RawData_Ensembles!$B$2:$B$1300, 
  REGEXMATCH(RawData_Ensembles!$A$2:$A$1300, ""(?i)(_|^)"" &amp; $A$1 &amp; ""(_|$)""), 
  REGEXMATCH(RawData_Ensembles!$A$2:$A$1300, ""(?i)"" &amp; $A48), 
  REGEXMATCH(RawData_Ensembles!$A$2:$A$1300, ""(?i)"" &amp; $E$1), 
NOT"&amp;"(REGEXMATCH(RawData_Ensembles!$A$2:$A$1300, ""(?i)complete"")), 
  REGEXMATCH(RawData_Ensembles!$A$2:$A$1300, ""(?i)"" &amp; $B51)
)"),0.334192707876918)</f>
        <v>0.3341927079</v>
      </c>
      <c r="F51" s="88">
        <f>IFERROR(__xludf.DUMMYFUNCTION("FILTER(
  RawData_Ensembles!$C$2:$C$1300, 
  REGEXMATCH(RawData_Ensembles!$A$2:$A$1300, ""(?i)(_|^)"" &amp; $A$1 &amp; ""(_|$)""), 
  REGEXMATCH(RawData_Ensembles!$A$2:$A$1300, ""(?i)"" &amp; $A48), 
  REGEXMATCH(RawData_Ensembles!$A$2:$A$1300, ""(?i)"" &amp; $E$1), 
NOT"&amp;"(REGEXMATCH(RawData_Ensembles!$A$2:$A$1300, ""(?i)complete"")), 
  REGEXMATCH(RawData_Ensembles!$A$2:$A$1300, ""(?i)"" &amp; $B51)
)"),0.153687023727509)</f>
        <v>0.1536870237</v>
      </c>
      <c r="G51" s="88">
        <f>IFERROR(__xludf.DUMMYFUNCTION("FILTER(
  RawData_Ensembles!$B$2:$B$1300, 
  REGEXMATCH(RawData_Ensembles!$A$2:$A$1300, ""(?i)(_|^)"" &amp; $A$1 &amp; ""(_|$)""), 
  REGEXMATCH(RawData_Ensembles!$A$2:$A$1300, ""(?i)"" &amp; $A48), 
  REGEXMATCH(RawData_Ensembles!$A$2:$A$1300, ""(?i)"" &amp; $G$1), 
NOT"&amp;"(REGEXMATCH(RawData_Ensembles!$A$2:$A$1300, ""(?i)complete"")), 
  REGEXMATCH(RawData_Ensembles!$A$2:$A$1300, ""(?i)"" &amp; $B51)
)"),0.323402530892409)</f>
        <v>0.3234025309</v>
      </c>
      <c r="H51" s="88">
        <f>IFERROR(__xludf.DUMMYFUNCTION("FILTER(
  RawData_Ensembles!$C$2:$G$1300, 
  REGEXMATCH(RawData_Ensembles!$A$2:$A$1300, ""(?i)(_|^)"" &amp; $A$1 &amp; ""(_|$)""), 
  REGEXMATCH(RawData_Ensembles!$A$2:$A$1300, ""(?i)"" &amp; $A48), 
  REGEXMATCH(RawData_Ensembles!$A$2:$A$1300, ""(?i)"" &amp; $G$1), 
NOT"&amp;"(REGEXMATCH(RawData_Ensembles!$A$2:$A$1300, ""(?i)complete"")), 
  REGEXMATCH(RawData_Ensembles!$A$2:$A$1300, ""(?i)"" &amp; $B51)
)"),0.162130264506456)</f>
        <v>0.1621302645</v>
      </c>
      <c r="I51" s="11"/>
      <c r="J51" s="11"/>
      <c r="K51" s="11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</row>
    <row r="52">
      <c r="A52" s="84" t="s">
        <v>1821</v>
      </c>
      <c r="B52" s="26" t="s">
        <v>28</v>
      </c>
      <c r="C52" s="93" t="str">
        <f>IFERROR(__xludf.DUMMYFUNCTION("FILTER(
    RawData_SemEval!$B$2:$B$800, 
    REGEXMATCH(RawData_SemEval!$A$2:$A$800, ""(?i)(_|^)"" &amp; $A$1 &amp; ""(_|$)""), 
    REGEXMATCH(RawData_SemEval!$A$2:$A$800, ""(?i)"" &amp; $A52), 
    REGEXMATCH(RawData_SemEval!$A$2:$A$800, ""(?i)"" &amp; $C$1),
    NOT("&amp;"REGEXMATCH(RawData_SemEval!$A$2:$A$800, ""(?i)ensemble""))
  )"),"")</f>
        <v/>
      </c>
      <c r="D52" s="93" t="str">
        <f>IFERROR(__xludf.DUMMYFUNCTION("FILTER(RawData_SemEval!$E$2:$E$800, 
  REGEXMATCH(RawData_SemEval!$A$2:$A$800, ""(?i)(_|^)"" &amp; $A$1 &amp; ""(_|$)""), 
  REGEXMATCH(RawData_SemEval!$A$2:$A$800, ""(?i)"" &amp; $A52), 
  REGEXMATCH(RawData_SemEval!$A$2:$A$800, ""(?i)"" &amp; $C$1), 
  NOT(REGEXMATCH(R"&amp;"awData_SemEval!$A$2:$A$800,  ""(?i)ensemble""))
)"),"")</f>
        <v/>
      </c>
      <c r="E52" s="88">
        <f>IFERROR(__xludf.DUMMYFUNCTION("FILTER(
    RawData_SemEval!$B$2:$B$800, 
    REGEXMATCH(RawData_SemEval!$A$2:$A$800, ""(?i)(_|^)"" &amp; $A$1 &amp; ""(_|$)""), 
    REGEXMATCH(RawData_SemEval!$A$2:$A$800, ""(?i)"" &amp; $A52), 
    REGEXMATCH(RawData_SemEval!$A$2:$A$800, ""(?i)"" &amp; $E$1),
    NOT("&amp;"REGEXMATCH(RawData_SemEval!$A$2:$A$800, ""(?i)ensemble""))
  )"),0.223272228648544)</f>
        <v>0.2232722286</v>
      </c>
      <c r="F52" s="88">
        <f>IFERROR(__xludf.DUMMYFUNCTION("FILTER(RawData_SemEval!$E$2:$E$800, 
  REGEXMATCH(RawData_SemEval!$A$2:$A$800, ""(?i)(_|^)"" &amp; $A$1 &amp; ""(_|$)""), 
  REGEXMATCH(RawData_SemEval!$A$2:$A$800, ""(?i)"" &amp; $A52), 
  REGEXMATCH(RawData_SemEval!$A$2:$A$800, ""(?i)"" &amp; $E$1), 
  NOT(REGEXMATCH(R"&amp;"awData_SemEval!$A$2:$A$800,  ""(?i)ensemble""))
)"),0.054960912389454)</f>
        <v>0.05496091239</v>
      </c>
      <c r="G52" s="88">
        <f>IFERROR(__xludf.DUMMYFUNCTION("FILTER(
    RawData_SemEval!$B$2:$B$800, 
    REGEXMATCH(RawData_SemEval!$A$2:$A$800, ""(?i)(_|^)"" &amp; $A$1 &amp; ""(_|$)""), 
    REGEXMATCH(RawData_SemEval!$A$2:$A$800, ""(?i)"" &amp; $A52), 
    REGEXMATCH(RawData_SemEval!$A$2:$A$800, ""(?i)"" &amp; $G$1),
    NOT("&amp;"REGEXMATCH(RawData_SemEval!$A$2:$A$800, ""(?i)ensemble""))
  )"),0.031951417004048)</f>
        <v>0.031951417</v>
      </c>
      <c r="H52" s="88">
        <f>IFERROR(__xludf.DUMMYFUNCTION("FILTER(RawData_SemEval!$E$2:$E$800, 
  REGEXMATCH(RawData_SemEval!$A$2:$A$800, ""(?i)(_|^)"" &amp; $A$1 &amp; ""(_|$)""), 
  REGEXMATCH(RawData_SemEval!$A$2:$A$800, ""(?i)"" &amp; $A52), 
  REGEXMATCH(RawData_SemEval!$A$2:$A$800, ""(?i)"" &amp; $G$1), 
  NOT(REGEXMATCH(R"&amp;"awData_SemEval!$A$2:$A$800,  ""(?i)ensemble""))
)"),0.016105263157894)</f>
        <v>0.01610526316</v>
      </c>
    </row>
    <row r="53">
      <c r="A53" s="84"/>
      <c r="B53" s="26"/>
      <c r="C53" s="93" t="str">
        <f>IFERROR(__xludf.DUMMYFUNCTION("""("" &amp; 
TEXT(FILTER(RawData_SemEval!$C$2:$C$800, REGEXMATCH(RawData_SemEval!$A$2:$A$800, ""(?i)(_|^)"" &amp; $A$1 &amp; ""(_|$)""), REGEXMATCH(RawData_SemEval!$A$2:$A$800, ""(?i)"" &amp; $A52),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$A52), REGEXMA"&amp;"TCH(RawData_SemEval!$A$2:$A$800, ""(?i)"" &amp; $C$1), NOT(REGEXMATCH(RawData_SemEval!$A$2:$A$800, ""(?i)ensemble""))), ""0.00"") &amp; 
"")"""),"(0.00, 0.00)")</f>
        <v>(0.00, 0.00)</v>
      </c>
      <c r="D53" s="93" t="str">
        <f>IFERROR(__xludf.DUMMYFUNCTION("""("" &amp; 
TEXT(FILTER(RawData_SemEval!$F$2:$F$800, REGEXMATCH(RawData_SemEval!$A$2:$A$800, ""(?i)(_|^)"" &amp; $A$1 &amp; ""(_|$)""), REGEXMATCH(RawData_SemEval!$A$2:$A$800, ""(?i)"" &amp; $A52),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$A52), REGEXMA"&amp;"TCH(RawData_SemEval!$A$2:$A$800, ""(?i)"" &amp; $C$1), NOT(REGEXMATCH(RawData_SemEval!$A$2:$A$800, ""(?i)ensemble""))), ""0.00"") &amp; 
"")"""),"(0.00, 0.00)")</f>
        <v>(0.00, 0.00)</v>
      </c>
      <c r="E53" s="89" t="str">
        <f>IFERROR(__xludf.DUMMYFUNCTION("""("" &amp; 
TEXT(FILTER(RawData_SemEval!$C$2:$C$800, REGEXMATCH(RawData_SemEval!$A$2:$A$800, ""(?i)(_|^)"" &amp; $A$1 &amp; ""(_|$)""), REGEXMATCH(RawData_SemEval!$A$2:$A$800, ""(?i)"" &amp; $A52),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$A52), REGEXMA"&amp;"TCH(RawData_SemEval!$A$2:$A$800, ""(?i)"" &amp; $E$1), NOT(REGEXMATCH(RawData_SemEval!$A$2:$A$800, ""(?i)ensemble""))), ""0.00"") &amp; 
"")"""),"(0.19, 0.26)")</f>
        <v>(0.19, 0.26)</v>
      </c>
      <c r="F53" s="89" t="str">
        <f>IFERROR(__xludf.DUMMYFUNCTION("""("" &amp; 
TEXT(FILTER(RawData_SemEval!$F$2:$F$800, REGEXMATCH(RawData_SemEval!$A$2:$A$800, ""(?i)(_|^)"" &amp; $A$1 &amp; ""(_|$)""), REGEXMATCH(RawData_SemEval!$A$2:$A$800, ""(?i)"" &amp; $A52),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$A52), REGEXMA"&amp;"TCH(RawData_SemEval!$A$2:$A$800, ""(?i)"" &amp; $E$1), NOT(REGEXMATCH(RawData_SemEval!$A$2:$A$800, ""(?i)ensemble""))), ""0.00"") &amp; 
"")"""),"(0.04, 0.08)")</f>
        <v>(0.04, 0.08)</v>
      </c>
      <c r="G53" s="89" t="str">
        <f>IFERROR(__xludf.DUMMYFUNCTION("""("" &amp; 
TEXT(FILTER(RawData_SemEval!$C$2:$C$800, REGEXMATCH(RawData_SemEval!$A$2:$A$800, ""(?i)(_|^)"" &amp; $A$1 &amp; ""(_|$)""), REGEXMATCH(RawData_SemEval!$A$2:$A$800, ""(?i)"" &amp; $A52),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$A52), REGEXMA"&amp;"TCH(RawData_SemEval!$A$2:$A$800, ""(?i)"" &amp; $G$1), NOT(REGEXMATCH(RawData_SemEval!$A$2:$A$800, ""(?i)ensemble""))), ""0.00"") &amp; 
"")"""),"(0.01, 0.05)")</f>
        <v>(0.01, 0.05)</v>
      </c>
      <c r="H53" s="89" t="str">
        <f>IFERROR(__xludf.DUMMYFUNCTION("""("" &amp; 
TEXT(FILTER(RawData_SemEval!$F$2:$F$800, REGEXMATCH(RawData_SemEval!$A$2:$A$800, ""(?i)(_|^)"" &amp; $A$1 &amp; ""(_|$)""), REGEXMATCH(RawData_SemEval!$A$2:$A$800, ""(?i)"" &amp; $A52),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$A52), REGEXMA"&amp;"TCH(RawData_SemEval!$A$2:$A$800, ""(?i)"" &amp; $G$1), NOT(REGEXMATCH(RawData_SemEval!$A$2:$A$800, ""(?i)ensemble""))), ""0.00"") &amp; 
"")"""),"(0.00, 0.03)")</f>
        <v>(0.00, 0.03)</v>
      </c>
    </row>
    <row r="54">
      <c r="A54" s="84"/>
      <c r="B54" s="26" t="s">
        <v>74</v>
      </c>
      <c r="C54" s="93" t="str">
        <f>IFERROR(__xludf.DUMMYFUNCTION("FILTER(
  RawData_Ensembles!$B$2:$B$1300, 
  REGEXMATCH(RawData_Ensembles!$A$2:$A$1300, ""(?i)(_|^)"" &amp; $A$1 &amp; ""(_|$)""), 
  REGEXMATCH(RawData_Ensembles!$A$2:$A$1300, ""(?i)"" &amp; $A52), 
  REGEXMATCH(RawData_Ensembles!$A$2:$A$1300, ""(?i)"" &amp; $C$1), 
  R"&amp;"EGEXMATCH(RawData_Ensembles!$A$2:$A$1300, ""(?i)"" &amp; $B54)
)"),"")</f>
        <v/>
      </c>
      <c r="D54" s="93" t="str">
        <f>IFERROR(__xludf.DUMMYFUNCTION("FILTER(
  RawData_Ensembles!$C$2:$C$1300, 
  REGEXMATCH(RawData_Ensembles!$A$2:$A$1300, ""(?i)(_|^)"" &amp; $A$1 &amp; ""(_|$)""), 
  REGEXMATCH(RawData_Ensembles!$A$2:$A$1300, ""(?i)"" &amp; $A52), 
  REGEXMATCH(RawData_Ensembles!$A$2:$A$1300, ""(?i)"" &amp; $C$1), 
  R"&amp;"EGEXMATCH(RawData_Ensembles!$A$2:$A$1300, ""(?i)"" &amp; $B54)
)"),"")</f>
        <v/>
      </c>
      <c r="E54" s="88">
        <f>IFERROR(__xludf.DUMMYFUNCTION("FILTER(
  RawData_Ensembles!$B$2:$B$1300, 
  REGEXMATCH(RawData_Ensembles!$A$2:$A$1300, ""(?i)(_|^)"" &amp; $A$1 &amp; ""(_|$)""), 
  REGEXMATCH(RawData_Ensembles!$A$2:$A$1300, ""(?i)"" &amp; $A52), 
  REGEXMATCH(RawData_Ensembles!$A$2:$A$1300, ""(?i)"" &amp; $E$1), 
  R"&amp;"EGEXMATCH(RawData_Ensembles!$A$2:$A$1300, ""(?i)"" &amp; $B54)
)"),0.226259120995963)</f>
        <v>0.226259121</v>
      </c>
      <c r="F54" s="88">
        <f>IFERROR(__xludf.DUMMYFUNCTION("FILTER(
  RawData_Ensembles!$C$2:$C$1300, 
  REGEXMATCH(RawData_Ensembles!$A$2:$A$1300, ""(?i)(_|^)"" &amp; $A$1 &amp; ""(_|$)""), 
  REGEXMATCH(RawData_Ensembles!$A$2:$A$1300, ""(?i)"" &amp; $A52), 
  REGEXMATCH(RawData_Ensembles!$A$2:$A$1300, ""(?i)"" &amp; $E$1), 
  R"&amp;"EGEXMATCH(RawData_Ensembles!$A$2:$A$1300, ""(?i)"" &amp; $B54)
)"),0.057419188998136)</f>
        <v>0.057419189</v>
      </c>
      <c r="G54" s="88">
        <f>IFERROR(__xludf.DUMMYFUNCTION("FILTER(
  RawData_Ensembles!$B$2:$B$1300, 
  REGEXMATCH(RawData_Ensembles!$A$2:$A$1300, ""(?i)(_|^)"" &amp; $A$1 &amp; ""(_|$)""), 
  REGEXMATCH(RawData_Ensembles!$A$2:$A$1300, ""(?i)"" &amp; $A52), 
  REGEXMATCH(RawData_Ensembles!$A$2:$A$1300, ""(?i)"" &amp; $G$1), 
  R"&amp;"EGEXMATCH(RawData_Ensembles!$A$2:$A$1300, ""(?i)"" &amp; $B54)
)"),0.032388663967611)</f>
        <v>0.03238866397</v>
      </c>
      <c r="H54" s="88">
        <f>IFERROR(__xludf.DUMMYFUNCTION("FILTER(
  RawData_Ensembles!$C$2:$G$1300, 
  REGEXMATCH(RawData_Ensembles!$A$2:$A$1300, ""(?i)(_|^)"" &amp; $A$1 &amp; ""(_|$)""), 
  REGEXMATCH(RawData_Ensembles!$A$2:$A$1300, ""(?i)"" &amp; $A52), 
  REGEXMATCH(RawData_Ensembles!$A$2:$A$1300, ""(?i)"" &amp; $G$1), 
  R"&amp;"EGEXMATCH(RawData_Ensembles!$A$2:$A$1300, ""(?i)"" &amp; $B54)
)"),0.016194331983805)</f>
        <v>0.01619433198</v>
      </c>
      <c r="I54" s="11"/>
      <c r="J54" s="11"/>
      <c r="K54" s="11"/>
      <c r="L54" s="11"/>
    </row>
    <row r="55">
      <c r="A55" s="84"/>
      <c r="B55" s="91" t="s">
        <v>75</v>
      </c>
      <c r="C55" s="93" t="str">
        <f>IFERROR(__xludf.DUMMYFUNCTION("FILTER(
  RawData_Ensembles!$B$2:$B$1300, 
  REGEXMATCH(RawData_Ensembles!$A$2:$A$1300, ""(?i)(_|^)"" &amp; $A$1 &amp; ""(_|$)""), 
  REGEXMATCH(RawData_Ensembles!$A$2:$A$1300, ""(?i)"" &amp; $A52), 
  REGEXMATCH(RawData_Ensembles!$A$2:$A$1300, ""(?i)"" &amp; $C$1), 
  R"&amp;"EGEXMATCH(RawData_Ensembles!$A$2:$A$1300, ""(?i)"" &amp; $B55)
)"),"")</f>
        <v/>
      </c>
      <c r="D55" s="93" t="str">
        <f>IFERROR(__xludf.DUMMYFUNCTION("FILTER(
  RawData_Ensembles!$C$2:$C$1300, 
  REGEXMATCH(RawData_Ensembles!$A$2:$A$1300, ""(?i)(_|^)"" &amp; $A$1 &amp; ""(_|$)""), 
  REGEXMATCH(RawData_Ensembles!$A$2:$A$1300, ""(?i)"" &amp; $A52), 
  REGEXMATCH(RawData_Ensembles!$A$2:$A$1300, ""(?i)"" &amp; $C$1), 
  R"&amp;"EGEXMATCH(RawData_Ensembles!$A$2:$A$1300, ""(?i)"" &amp; $B55)
)"),"")</f>
        <v/>
      </c>
      <c r="E55" s="88">
        <f>IFERROR(__xludf.DUMMYFUNCTION("FILTER(
  RawData_Ensembles!$B$2:$B$1300, 
  REGEXMATCH(RawData_Ensembles!$A$2:$A$1300, ""(?i)(_|^)"" &amp; $A$1 &amp; ""(_|$)""), 
  REGEXMATCH(RawData_Ensembles!$A$2:$A$1300, ""(?i)"" &amp; $A52), 
  REGEXMATCH(RawData_Ensembles!$A$2:$A$1300, ""(?i)"" &amp; $E$1), 
  R"&amp;"EGEXMATCH(RawData_Ensembles!$A$2:$A$1300, ""(?i)"" &amp; $B55)
)"),0.316211858317121)</f>
        <v>0.3162118583</v>
      </c>
      <c r="F55" s="88">
        <f>IFERROR(__xludf.DUMMYFUNCTION("FILTER(
  RawData_Ensembles!$C$2:$C$1300, 
  REGEXMATCH(RawData_Ensembles!$A$2:$A$1300, ""(?i)(_|^)"" &amp; $A$1 &amp; ""(_|$)""), 
  REGEXMATCH(RawData_Ensembles!$A$2:$A$1300, ""(?i)"" &amp; $A52), 
  REGEXMATCH(RawData_Ensembles!$A$2:$A$1300, ""(?i)"" &amp; $E$1), 
  R"&amp;"EGEXMATCH(RawData_Ensembles!$A$2:$A$1300, ""(?i)"" &amp; $B55)
)"),0.081112196395597)</f>
        <v>0.0811121964</v>
      </c>
      <c r="G55" s="88">
        <f>IFERROR(__xludf.DUMMYFUNCTION("FILTER(
  RawData_Ensembles!$B$2:$B$1300, 
  REGEXMATCH(RawData_Ensembles!$A$2:$A$1300, ""(?i)(_|^)"" &amp; $A$1 &amp; ""(_|$)""), 
  REGEXMATCH(RawData_Ensembles!$A$2:$A$1300, ""(?i)"" &amp; $A52), 
  REGEXMATCH(RawData_Ensembles!$A$2:$A$1300, ""(?i)"" &amp; $G$1), 
  R"&amp;"EGEXMATCH(RawData_Ensembles!$A$2:$A$1300, ""(?i)"" &amp; $B55)
)"),0.032388663967611)</f>
        <v>0.03238866397</v>
      </c>
      <c r="H55" s="88">
        <f>IFERROR(__xludf.DUMMYFUNCTION("FILTER(
  RawData_Ensembles!$C$2:$G$1300, 
  REGEXMATCH(RawData_Ensembles!$A$2:$A$1300, ""(?i)(_|^)"" &amp; $A$1 &amp; ""(_|$)""), 
  REGEXMATCH(RawData_Ensembles!$A$2:$A$1300, ""(?i)"" &amp; $A52), 
  REGEXMATCH(RawData_Ensembles!$A$2:$A$1300, ""(?i)"" &amp; $G$1), 
  R"&amp;"EGEXMATCH(RawData_Ensembles!$A$2:$A$1300, ""(?i)"" &amp; $B55)
)"),0.016194331983805)</f>
        <v>0.01619433198</v>
      </c>
      <c r="I55" s="11"/>
      <c r="J55" s="11"/>
      <c r="K55" s="11"/>
      <c r="L55" s="11"/>
    </row>
    <row r="56">
      <c r="A56" s="84" t="s">
        <v>163</v>
      </c>
      <c r="B56" s="26" t="s">
        <v>22</v>
      </c>
      <c r="C56" s="88">
        <f>IFERROR(__xludf.DUMMYFUNCTION("FILTER(
    RawData_SemEval!$B$2:$B$800, 
    REGEXMATCH(RawData_SemEval!$A$2:$A$800, ""(?i)(_|^)"" &amp; $A$1 &amp; ""(_|$)""), 
    REGEXMATCH(RawData_SemEval!$A$2:$A$800, ""(?i)"" &amp; $A56), 
    REGEXMATCH(RawData_SemEval!$A$2:$A$800, ""(?i)"" &amp; $C$1),
    NOT("&amp;"REGEXMATCH(RawData_SemEval!$A$2:$A$800, ""(?i)ensemble""))
  )"),0.037621149026412)</f>
        <v>0.03762114903</v>
      </c>
      <c r="D56" s="88">
        <f>IFERROR(__xludf.DUMMYFUNCTION("FILTER(RawData_SemEval!$E$2:$E$800, 
  REGEXMATCH(RawData_SemEval!$A$2:$A$800, ""(?i)(_|^)"" &amp; $A$1 &amp; ""(_|$)""), 
  REGEXMATCH(RawData_SemEval!$A$2:$A$800, ""(?i)"" &amp; $A56), 
  REGEXMATCH(RawData_SemEval!$A$2:$A$800, ""(?i)"" &amp; $C$1), 
  NOT(REGEXMATCH(R"&amp;"awData_SemEval!$A$2:$A$800,  ""(?i)ensemble""))
)"),0.018537574705995)</f>
        <v>0.01853757471</v>
      </c>
      <c r="E56" s="88">
        <f>IFERROR(__xludf.DUMMYFUNCTION("FILTER(
    RawData_SemEval!$B$2:$B$800, 
    REGEXMATCH(RawData_SemEval!$A$2:$A$800, ""(?i)(_|^)"" &amp; $A$1 &amp; ""(_|$)""), 
    REGEXMATCH(RawData_SemEval!$A$2:$A$800, ""(?i)"" &amp; $A56), 
    REGEXMATCH(RawData_SemEval!$A$2:$A$800, ""(?i)"" &amp; $E$1),
    NOT("&amp;"REGEXMATCH(RawData_SemEval!$A$2:$A$800, ""(?i)ensemble""))
  )"),0.239861981877771)</f>
        <v>0.2398619819</v>
      </c>
      <c r="F56" s="88">
        <f>IFERROR(__xludf.DUMMYFUNCTION("FILTER(RawData_SemEval!$E$2:$E$800, 
  REGEXMATCH(RawData_SemEval!$A$2:$A$800, ""(?i)(_|^)"" &amp; $A$1 &amp; ""(_|$)""), 
  REGEXMATCH(RawData_SemEval!$A$2:$A$800, ""(?i)"" &amp; $A56), 
  REGEXMATCH(RawData_SemEval!$A$2:$A$800, ""(?i)"" &amp; $E$1), 
  NOT(REGEXMATCH(R"&amp;"awData_SemEval!$A$2:$A$800,  ""(?i)ensemble""))
)"),0.08960207015207)</f>
        <v>0.08960207015</v>
      </c>
      <c r="G56" s="88">
        <f>IFERROR(__xludf.DUMMYFUNCTION("FILTER(
    RawData_SemEval!$B$2:$B$800, 
    REGEXMATCH(RawData_SemEval!$A$2:$A$800, ""(?i)(_|^)"" &amp; $A$1 &amp; ""(_|$)""), 
    REGEXMATCH(RawData_SemEval!$A$2:$A$800, ""(?i)"" &amp; $A56), 
    REGEXMATCH(RawData_SemEval!$A$2:$A$800, ""(?i)"" &amp; $G$1),
    NOT("&amp;"REGEXMATCH(RawData_SemEval!$A$2:$A$800, ""(?i)ensemble""))
  )"),0.201656347341367)</f>
        <v>0.2016563473</v>
      </c>
      <c r="H56" s="88">
        <f>IFERROR(__xludf.DUMMYFUNCTION("FILTER(RawData_SemEval!$E$2:$E$800, 
  REGEXMATCH(RawData_SemEval!$A$2:$A$800, ""(?i)(_|^)"" &amp; $A$1 &amp; ""(_|$)""), 
  REGEXMATCH(RawData_SemEval!$A$2:$A$800, ""(?i)"" &amp; $A56), 
  REGEXMATCH(RawData_SemEval!$A$2:$A$800, ""(?i)"" &amp; $G$1), 
  NOT(REGEXMATCH(R"&amp;"awData_SemEval!$A$2:$A$800,  ""(?i)ensemble""))
)"),0.098389118476481)</f>
        <v>0.09838911848</v>
      </c>
    </row>
    <row r="57">
      <c r="A57" s="84"/>
      <c r="B57" s="26"/>
      <c r="C57" s="89" t="str">
        <f>IFERROR(__xludf.DUMMYFUNCTION("""("" &amp; 
TEXT(FILTER(RawData_SemEval!$C$2:$C$800, REGEXMATCH(RawData_SemEval!$A$2:$A$800, ""(?i)(_|^)"" &amp; $A$1 &amp; ""(_|$)""), REGEXMATCH(RawData_SemEval!$A$2:$A$800, ""(?i)"" &amp; $A56),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$A56), REGEXMA"&amp;"TCH(RawData_SemEval!$A$2:$A$800, ""(?i)"" &amp; $C$1), NOT(REGEXMATCH(RawData_SemEval!$A$2:$A$800, ""(?i)ensemble""))), ""0.00"") &amp; 
"")"""),"(0.02, 0.06)")</f>
        <v>(0.02, 0.06)</v>
      </c>
      <c r="D57" s="89" t="str">
        <f>IFERROR(__xludf.DUMMYFUNCTION("""("" &amp; 
TEXT(FILTER(RawData_SemEval!$F$2:$F$800, REGEXMATCH(RawData_SemEval!$A$2:$A$800, ""(?i)(_|^)"" &amp; $A$1 &amp; ""(_|$)""), REGEXMATCH(RawData_SemEval!$A$2:$A$800, ""(?i)"" &amp; $A56),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$A56), REGEXMA"&amp;"TCH(RawData_SemEval!$A$2:$A$800, ""(?i)"" &amp; $C$1), NOT(REGEXMATCH(RawData_SemEval!$A$2:$A$800, ""(?i)ensemble""))), ""0.00"") &amp; 
"")"""),"(0.00, 0.03)")</f>
        <v>(0.00, 0.03)</v>
      </c>
      <c r="E57" s="89" t="str">
        <f>IFERROR(__xludf.DUMMYFUNCTION("""("" &amp; 
TEXT(FILTER(RawData_SemEval!$C$2:$C$800, REGEXMATCH(RawData_SemEval!$A$2:$A$800, ""(?i)(_|^)"" &amp; $A$1 &amp; ""(_|$)""), REGEXMATCH(RawData_SemEval!$A$2:$A$800, ""(?i)"" &amp; $A56),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$A56), REGEXMA"&amp;"TCH(RawData_SemEval!$A$2:$A$800, ""(?i)"" &amp; $E$1), NOT(REGEXMATCH(RawData_SemEval!$A$2:$A$800, ""(?i)ensemble""))), ""0.00"") &amp; 
"")"""),"(0.20, 0.28)")</f>
        <v>(0.20, 0.28)</v>
      </c>
      <c r="F57" s="89" t="str">
        <f>IFERROR(__xludf.DUMMYFUNCTION("""("" &amp; 
TEXT(FILTER(RawData_SemEval!$F$2:$F$800, REGEXMATCH(RawData_SemEval!$A$2:$A$800, ""(?i)(_|^)"" &amp; $A$1 &amp; ""(_|$)""), REGEXMATCH(RawData_SemEval!$A$2:$A$800, ""(?i)"" &amp; $A56),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$A56), REGEXMA"&amp;"TCH(RawData_SemEval!$A$2:$A$800, ""(?i)"" &amp; $E$1), NOT(REGEXMATCH(RawData_SemEval!$A$2:$A$800, ""(?i)ensemble""))), ""0.00"") &amp; 
"")"""),"(0.07, 0.12)")</f>
        <v>(0.07, 0.12)</v>
      </c>
      <c r="G57" s="89" t="str">
        <f>IFERROR(__xludf.DUMMYFUNCTION("""("" &amp; 
TEXT(FILTER(RawData_SemEval!$C$2:$C$800, REGEXMATCH(RawData_SemEval!$A$2:$A$800, ""(?i)(_|^)"" &amp; $A$1 &amp; ""(_|$)""), REGEXMATCH(RawData_SemEval!$A$2:$A$800, ""(?i)"" &amp; $A56),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$A56), REGEXMA"&amp;"TCH(RawData_SemEval!$A$2:$A$800, ""(?i)"" &amp; $G$1), NOT(REGEXMATCH(RawData_SemEval!$A$2:$A$800, ""(?i)ensemble""))), ""0.00"") &amp; 
"")"""),"(0.17, 0.24)")</f>
        <v>(0.17, 0.24)</v>
      </c>
      <c r="H57" s="89" t="str">
        <f>IFERROR(__xludf.DUMMYFUNCTION("""("" &amp; 
TEXT(FILTER(RawData_SemEval!$F$2:$F$800, REGEXMATCH(RawData_SemEval!$A$2:$A$800, ""(?i)(_|^)"" &amp; $A$1 &amp; ""(_|$)""), REGEXMATCH(RawData_SemEval!$A$2:$A$800, ""(?i)"" &amp; $A56),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$A56), REGEXMA"&amp;"TCH(RawData_SemEval!$A$2:$A$800, ""(?i)"" &amp; $G$1), NOT(REGEXMATCH(RawData_SemEval!$A$2:$A$800, ""(?i)ensemble""))), ""0.00"") &amp; 
"")"""),"(0.08, 0.12)")</f>
        <v>(0.08, 0.12)</v>
      </c>
    </row>
    <row r="58">
      <c r="A58" s="84"/>
      <c r="B58" s="26" t="s">
        <v>74</v>
      </c>
      <c r="C58" s="88">
        <f>IFERROR(__xludf.DUMMYFUNCTION("FILTER(
  RawData_Ensembles!$B$2:$B$1300, 
  REGEXMATCH(RawData_Ensembles!$A$2:$A$1300, ""(?i)(_|^)"" &amp; $A$1 &amp; ""(_|$)""), 
  REGEXMATCH(RawData_Ensembles!$A$2:$A$1300, ""(?i)"" &amp; $A56), 
  REGEXMATCH(RawData_Ensembles!$A$2:$A$1300, ""(?i)"" &amp; $C$1), 
  R"&amp;"EGEXMATCH(RawData_Ensembles!$A$2:$A$1300, ""(?i)"" &amp; $B58)
)"),0.032388663967611)</f>
        <v>0.03238866397</v>
      </c>
      <c r="D58" s="88">
        <f>IFERROR(__xludf.DUMMYFUNCTION("FILTER(
  RawData_Ensembles!$C$2:$C$1300, 
  REGEXMATCH(RawData_Ensembles!$A$2:$A$1300, ""(?i)(_|^)"" &amp; $A$1 &amp; ""(_|$)""), 
  REGEXMATCH(RawData_Ensembles!$A$2:$A$1300, ""(?i)"" &amp; $A56), 
  REGEXMATCH(RawData_Ensembles!$A$2:$A$1300, ""(?i)"" &amp; $C$1), 
  R"&amp;"EGEXMATCH(RawData_Ensembles!$A$2:$A$1300, ""(?i)"" &amp; $B58)
)"),0.016194331983805)</f>
        <v>0.01619433198</v>
      </c>
      <c r="E58" s="88">
        <f>IFERROR(__xludf.DUMMYFUNCTION("FILTER(
  RawData_Ensembles!$B$2:$B$1300, 
  REGEXMATCH(RawData_Ensembles!$A$2:$A$1300, ""(?i)(_|^)"" &amp; $A$1 &amp; ""(_|$)""), 
  REGEXMATCH(RawData_Ensembles!$A$2:$A$1300, ""(?i)"" &amp; $A56), 
  REGEXMATCH(RawData_Ensembles!$A$2:$A$1300, ""(?i)"" &amp; $E$1), 
  R"&amp;"EGEXMATCH(RawData_Ensembles!$A$2:$A$1300, ""(?i)"" &amp; $B58)
)"),0.238162714478503)</f>
        <v>0.2381627145</v>
      </c>
      <c r="F58" s="88">
        <f>IFERROR(__xludf.DUMMYFUNCTION("FILTER(
  RawData_Ensembles!$C$2:$C$1300, 
  REGEXMATCH(RawData_Ensembles!$A$2:$A$1300, ""(?i)(_|^)"" &amp; $A$1 &amp; ""(_|$)""), 
  REGEXMATCH(RawData_Ensembles!$A$2:$A$1300, ""(?i)"" &amp; $A56), 
  REGEXMATCH(RawData_Ensembles!$A$2:$A$1300, ""(?i)"" &amp; $E$1), 
  R"&amp;"EGEXMATCH(RawData_Ensembles!$A$2:$A$1300, ""(?i)"" &amp; $B58)
)"),0.086626823468928)</f>
        <v>0.08662682347</v>
      </c>
      <c r="G58" s="88">
        <f>IFERROR(__xludf.DUMMYFUNCTION("FILTER(
  RawData_Ensembles!$B$2:$B$1300, 
  REGEXMATCH(RawData_Ensembles!$A$2:$A$1300, ""(?i)(_|^)"" &amp; $A$1 &amp; ""(_|$)""), 
  REGEXMATCH(RawData_Ensembles!$A$2:$A$1300, ""(?i)"" &amp; $A56), 
  REGEXMATCH(RawData_Ensembles!$A$2:$A$1300, ""(?i)"" &amp; $G$1), 
  R"&amp;"EGEXMATCH(RawData_Ensembles!$A$2:$A$1300, ""(?i)"" &amp; $B58)
)"),0.232647469489574)</f>
        <v>0.2326474695</v>
      </c>
      <c r="H58" s="88">
        <f>IFERROR(__xludf.DUMMYFUNCTION("FILTER(
  RawData_Ensembles!$C$2:$G$1300, 
  REGEXMATCH(RawData_Ensembles!$A$2:$A$1300, ""(?i)(_|^)"" &amp; $A$1 &amp; ""(_|$)""), 
  REGEXMATCH(RawData_Ensembles!$A$2:$A$1300, ""(?i)"" &amp; $A56), 
  REGEXMATCH(RawData_Ensembles!$A$2:$A$1300, ""(?i)"" &amp; $G$1), 
  R"&amp;"EGEXMATCH(RawData_Ensembles!$A$2:$A$1300, ""(?i)"" &amp; $B58)
)"),0.116016799215179)</f>
        <v>0.1160167992</v>
      </c>
      <c r="I58" s="11"/>
      <c r="J58" s="11"/>
      <c r="K58" s="11"/>
      <c r="L58" s="11"/>
    </row>
    <row r="59">
      <c r="A59" s="84"/>
      <c r="B59" s="91" t="s">
        <v>75</v>
      </c>
      <c r="C59" s="88">
        <f>IFERROR(__xludf.DUMMYFUNCTION("FILTER(
  RawData_Ensembles!$B$2:$B$1300, 
  REGEXMATCH(RawData_Ensembles!$A$2:$A$1300, ""(?i)(_|^)"" &amp; $A$1 &amp; ""(_|$)""), 
  REGEXMATCH(RawData_Ensembles!$A$2:$A$1300, ""(?i)"" &amp; $A56), 
  REGEXMATCH(RawData_Ensembles!$A$2:$A$1300, ""(?i)"" &amp; $C$1), 
  R"&amp;"EGEXMATCH(RawData_Ensembles!$A$2:$A$1300, ""(?i)"" &amp; $B59)
)"),0.053556969346443)</f>
        <v>0.05355696935</v>
      </c>
      <c r="D59" s="88">
        <f>IFERROR(__xludf.DUMMYFUNCTION("FILTER(
  RawData_Ensembles!$C$2:$C$1300, 
  REGEXMATCH(RawData_Ensembles!$A$2:$A$1300, ""(?i)(_|^)"" &amp; $A$1 &amp; ""(_|$)""), 
  REGEXMATCH(RawData_Ensembles!$A$2:$A$1300, ""(?i)"" &amp; $A56), 
  REGEXMATCH(RawData_Ensembles!$A$2:$A$1300, ""(?i)"" &amp; $C$1), 
  R"&amp;"EGEXMATCH(RawData_Ensembles!$A$2:$A$1300, ""(?i)"" &amp; $B59)
)"),0.026200115673799)</f>
        <v>0.02620011567</v>
      </c>
      <c r="E59" s="88">
        <f>IFERROR(__xludf.DUMMYFUNCTION("FILTER(
  RawData_Ensembles!$B$2:$B$1300, 
  REGEXMATCH(RawData_Ensembles!$A$2:$A$1300, ""(?i)(_|^)"" &amp; $A$1 &amp; ""(_|$)""), 
  REGEXMATCH(RawData_Ensembles!$A$2:$A$1300, ""(?i)"" &amp; $A56), 
  REGEXMATCH(RawData_Ensembles!$A$2:$A$1300, ""(?i)"" &amp; $E$1), 
  R"&amp;"EGEXMATCH(RawData_Ensembles!$A$2:$A$1300, ""(?i)"" &amp; $B59)
)"),0.339374076216181)</f>
        <v>0.3393740762</v>
      </c>
      <c r="F59" s="88">
        <f>IFERROR(__xludf.DUMMYFUNCTION("FILTER(
  RawData_Ensembles!$C$2:$C$1300, 
  REGEXMATCH(RawData_Ensembles!$A$2:$A$1300, ""(?i)(_|^)"" &amp; $A$1 &amp; ""(_|$)""), 
  REGEXMATCH(RawData_Ensembles!$A$2:$A$1300, ""(?i)"" &amp; $A56), 
  REGEXMATCH(RawData_Ensembles!$A$2:$A$1300, ""(?i)"" &amp; $E$1), 
  R"&amp;"EGEXMATCH(RawData_Ensembles!$A$2:$A$1300, ""(?i)"" &amp; $B59)
)"),0.137435416585214)</f>
        <v>0.1374354166</v>
      </c>
      <c r="G59" s="88">
        <f>IFERROR(__xludf.DUMMYFUNCTION("FILTER(
  RawData_Ensembles!$B$2:$B$1300, 
  REGEXMATCH(RawData_Ensembles!$A$2:$A$1300, ""(?i)(_|^)"" &amp; $A$1 &amp; ""(_|$)""), 
  REGEXMATCH(RawData_Ensembles!$A$2:$A$1300, ""(?i)"" &amp; $A56), 
  REGEXMATCH(RawData_Ensembles!$A$2:$A$1300, ""(?i)"" &amp; $G$1), 
  R"&amp;"EGEXMATCH(RawData_Ensembles!$A$2:$A$1300, ""(?i)"" &amp; $B59)
)"),0.276084217177334)</f>
        <v>0.2760842172</v>
      </c>
      <c r="H59" s="88">
        <f>IFERROR(__xludf.DUMMYFUNCTION("FILTER(
  RawData_Ensembles!$C$2:$G$1300, 
  REGEXMATCH(RawData_Ensembles!$A$2:$A$1300, ""(?i)(_|^)"" &amp; $A$1 &amp; ""(_|$)""), 
  REGEXMATCH(RawData_Ensembles!$A$2:$A$1300, ""(?i)"" &amp; $A56), 
  REGEXMATCH(RawData_Ensembles!$A$2:$A$1300, ""(?i)"" &amp; $G$1), 
  R"&amp;"EGEXMATCH(RawData_Ensembles!$A$2:$A$1300, ""(?i)"" &amp; $B59)
)"),0.138731787091672)</f>
        <v>0.1387317871</v>
      </c>
      <c r="I59" s="11"/>
      <c r="J59" s="11"/>
      <c r="K59" s="11"/>
      <c r="L59" s="11"/>
    </row>
    <row r="60">
      <c r="A60" s="84" t="s">
        <v>1894</v>
      </c>
      <c r="B60" s="26" t="s">
        <v>25</v>
      </c>
      <c r="C60" s="88">
        <f>IFERROR(__xludf.DUMMYFUNCTION("FILTER(
    RawData_SemEval!$B$2:$B$800, 
    REGEXMATCH(RawData_SemEval!$A$2:$A$800, ""(?i)(_|^)"" &amp; $A$1 &amp; ""(_|$)""), 
    REGEXMATCH(RawData_SemEval!$A$2:$A$800, ""(?i)"" &amp; $A60), 
    REGEXMATCH(RawData_SemEval!$A$2:$A$800, ""(?i)"" &amp; $C$1),
NOT(REGE"&amp;"XMATCH(RawData_SemEval!$A$2:$A$800, ""(?i)complete"")), 
    NOT(REGEXMATCH(RawData_SemEval!$A$2:$A$800, ""(?i)ensemble""))
  )"),0.047214796606901)</f>
        <v>0.04721479661</v>
      </c>
      <c r="D60" s="88">
        <f>IFERROR(__xludf.DUMMYFUNCTION("FILTER(RawData_SemEval!$E$2:$E$800, 
  REGEXMATCH(RawData_SemEval!$A$2:$A$800, ""(?i)(_|^)"" &amp; $A$1 &amp; ""(_|$)""), 
  REGEXMATCH(RawData_SemEval!$A$2:$A$800, ""(?i)"" &amp; $A60), 
  REGEXMATCH(RawData_SemEval!$A$2:$A$800, ""(?i)"" &amp; $C$1), 
NOT(REGEXMATCH(Raw"&amp;"Data_SemEval!$A$2:$A$800, ""(?i)complete"")), 
  NOT(REGEXMATCH(RawData_SemEval!$A$2:$A$800,  ""(?i)ensemble""))
)"),0.021408588779641)</f>
        <v>0.02140858878</v>
      </c>
      <c r="E60" s="88">
        <f>IFERROR(__xludf.DUMMYFUNCTION("FILTER(
    RawData_SemEval!$B$2:$B$800, 
    REGEXMATCH(RawData_SemEval!$A$2:$A$800, ""(?i)(_|^)"" &amp; $A$1 &amp; ""(_|$)""), 
    REGEXMATCH(RawData_SemEval!$A$2:$A$800, ""(?i)"" &amp; $A60), 
    REGEXMATCH(RawData_SemEval!$A$2:$A$800, ""(?i)"" &amp; $E$1),
NOT(REGE"&amp;"XMATCH(RawData_SemEval!$A$2:$A$800, ""(?i)complete"")), 
    NOT(REGEXMATCH(RawData_SemEval!$A$2:$A$800, ""(?i)ensemble""))
  )"),0.225635200179937)</f>
        <v>0.2256352002</v>
      </c>
      <c r="F60" s="88">
        <f>IFERROR(__xludf.DUMMYFUNCTION("FILTER(RawData_SemEval!$E$2:$E$800, 
  REGEXMATCH(RawData_SemEval!$A$2:$A$800, ""(?i)(_|^)"" &amp; $A$1 &amp; ""(_|$)""), 
  REGEXMATCH(RawData_SemEval!$A$2:$A$800, ""(?i)"" &amp; $A60), 
  REGEXMATCH(RawData_SemEval!$A$2:$A$800, ""(?i)"" &amp; $E$1), 
NOT(REGEXMATCH(Raw"&amp;"Data_SemEval!$A$2:$A$800, ""(?i)complete"")), 
  NOT(REGEXMATCH(RawData_SemEval!$A$2:$A$800,  ""(?i)ensemble""))
)"),0.095786284475758)</f>
        <v>0.09578628448</v>
      </c>
      <c r="G60" s="88">
        <f>IFERROR(__xludf.DUMMYFUNCTION("FILTER(
    RawData_SemEval!$B$2:$B$800, 
    REGEXMATCH(RawData_SemEval!$A$2:$A$800, ""(?i)(_|^)"" &amp; $A$1 &amp; ""(_|$)""), 
    REGEXMATCH(RawData_SemEval!$A$2:$A$800, ""(?i)"" &amp; $A60), 
    REGEXMATCH(RawData_SemEval!$A$2:$A$800, ""(?i)"" &amp; $G$1),
NOT(REGE"&amp;"XMATCH(RawData_SemEval!$A$2:$A$800, ""(?i)complete"")), 
    NOT(REGEXMATCH(RawData_SemEval!$A$2:$A$800, ""(?i)ensemble""))
  )"),0.214114112495691)</f>
        <v>0.2141141125</v>
      </c>
      <c r="H60" s="88">
        <f>IFERROR(__xludf.DUMMYFUNCTION("FILTER(RawData_SemEval!$E$2:$E$800, 
  REGEXMATCH(RawData_SemEval!$A$2:$A$800, ""(?i)(_|^)"" &amp; $A$1 &amp; ""(_|$)""), 
  REGEXMATCH(RawData_SemEval!$A$2:$A$800, ""(?i)"" &amp; $A60), 
  REGEXMATCH(RawData_SemEval!$A$2:$A$800, ""(?i)"" &amp; $G$1), 
NOT(REGEXMATCH(Raw"&amp;"Data_SemEval!$A$2:$A$800, ""(?i)complete"")), 
  NOT(REGEXMATCH(RawData_SemEval!$A$2:$A$800,  ""(?i)ensemble""))
)"),0.106058068538986)</f>
        <v>0.1060580685</v>
      </c>
    </row>
    <row r="61">
      <c r="A61" s="84"/>
      <c r="B61" s="26"/>
      <c r="C61" s="89" t="str">
        <f>IFERROR(__xludf.DUMMYFUNCTION("""("" &amp; 
TEXT(FILTER(RawData_SemEval!$C$2:$C$800, REGEXMATCH(RawData_SemEval!$A$2:$A$800, ""(?i)(_|^)"" &amp; $A$1 &amp; ""(_|$)""), REGEXMATCH(RawData_SemEval!$A$2:$A$800, ""(?i)"" &amp; $A60), REGEXMATCH(RawData_SemEval!$A$2:$A$800, ""(?i)"" &amp; $C$1),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$A60), REGEXMATCH(RawData_SemEval!$A$2:$A$800, ""(?i)"" &amp; $C$1), NOT(REGEXMATCH(RawData_SemEval!$A$2:$A$800, ""(?i)complete"")), NOT(REGEXMATCH(RawData_SemEval!$A$2:$A$800, ""(?i)ensemble""))), ""0.00"") &amp;"&amp;" 
"")"""),"(0.03, 0.07)")</f>
        <v>(0.03, 0.07)</v>
      </c>
      <c r="D61" s="89" t="str">
        <f>IFERROR(__xludf.DUMMYFUNCTION("""("" &amp; 
TEXT(FILTER(RawData_SemEval!$F$2:$F$800, REGEXMATCH(RawData_SemEval!$A$2:$A$800, ""(?i)(_|^)"" &amp; $A$1 &amp; ""(_|$)""), REGEXMATCH(RawData_SemEval!$A$2:$A$800, ""(?i)"" &amp; $A60), REGEXMATCH(RawData_SemEval!$A$2:$A$800, ""(?i)"" &amp; $C$1),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$A60), REGEXMATCH(RawData_SemEval!$A$2:$A$800, ""(?i)"" &amp; $C$1), NOT(REGEXMATCH(RawData_SemEval!$A$2:$A$800, ""(?i)complete"")), NOT(REGEXMATCH(RawData_SemEval!$A$2:$A$800, ""(?i)ensemble""))), ""0.00"") &amp;"&amp;" 
"")"""),"(0.01, 0.04)")</f>
        <v>(0.01, 0.04)</v>
      </c>
      <c r="E61" s="89" t="str">
        <f>IFERROR(__xludf.DUMMYFUNCTION("""("" &amp; 
TEXT(FILTER(RawData_SemEval!$C$2:$C$800, REGEXMATCH(RawData_SemEval!$A$2:$A$800, ""(?i)(_|^)"" &amp; $A$1 &amp; ""(_|$)""), REGEXMATCH(RawData_SemEval!$A$2:$A$800, ""(?i)"" &amp; $A60), REGEXMATCH(RawData_SemEval!$A$2:$A$800, ""(?i)"" &amp; $E$1),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$A60), REGEXMATCH(RawData_SemEval!$A$2:$A$800, ""(?i)"" &amp; $E$1), NOT(REGEXMATCH(RawData_SemEval!$A$2:$A$800, ""(?i)complete"")), NOT(REGEXMATCH(RawData_SemEval!$A$2:$A$800, ""(?i)ensemble""))), ""0.00"") &amp;"&amp;" 
"")"""),"(0.19, 0.26)")</f>
        <v>(0.19, 0.26)</v>
      </c>
      <c r="F61" s="89" t="str">
        <f>IFERROR(__xludf.DUMMYFUNCTION("""("" &amp; 
TEXT(FILTER(RawData_SemEval!$F$2:$F$800, REGEXMATCH(RawData_SemEval!$A$2:$A$800, ""(?i)(_|^)"" &amp; $A$1 &amp; ""(_|$)""), REGEXMATCH(RawData_SemEval!$A$2:$A$800, ""(?i)"" &amp; $A60), REGEXMATCH(RawData_SemEval!$A$2:$A$800, ""(?i)"" &amp; $E$1),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$A60), REGEXMATCH(RawData_SemEval!$A$2:$A$800, ""(?i)"" &amp; $E$1), NOT(REGEXMATCH(RawData_SemEval!$A$2:$A$800, ""(?i)complete"")), NOT(REGEXMATCH(RawData_SemEval!$A$2:$A$800, ""(?i)ensemble""))), ""0.00"") &amp;"&amp;" 
"")"""),"(0.07, 0.12)")</f>
        <v>(0.07, 0.12)</v>
      </c>
      <c r="G61" s="89" t="str">
        <f>IFERROR(__xludf.DUMMYFUNCTION("""("" &amp; 
TEXT(FILTER(RawData_SemEval!$C$2:$C$800, REGEXMATCH(RawData_SemEval!$A$2:$A$800, ""(?i)(_|^)"" &amp; $A$1 &amp; ""(_|$)""), REGEXMATCH(RawData_SemEval!$A$2:$A$800, ""(?i)"" &amp; $A60), REGEXMATCH(RawData_SemEval!$A$2:$A$800, ""(?i)"" &amp; $G$1),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$A60), REGEXMATCH(RawData_SemEval!$A$2:$A$800, ""(?i)"" &amp; $G$1), NOT(REGEXMATCH(RawData_SemEval!$A$2:$A$800, ""(?i)complete"")), NOT(REGEXMATCH(RawData_SemEval!$A$2:$A$800, ""(?i)ensemble""))), ""0.00"") &amp;"&amp;" 
"")"""),"(0.18, 0.25)")</f>
        <v>(0.18, 0.25)</v>
      </c>
      <c r="H61" s="89" t="str">
        <f>IFERROR(__xludf.DUMMYFUNCTION("""("" &amp; 
TEXT(FILTER(RawData_SemEval!$F$2:$F$800, REGEXMATCH(RawData_SemEval!$A$2:$A$800, ""(?i)(_|^)"" &amp; $A$1 &amp; ""(_|$)""), REGEXMATCH(RawData_SemEval!$A$2:$A$800, ""(?i)"" &amp; $A60), REGEXMATCH(RawData_SemEval!$A$2:$A$800, ""(?i)"" &amp; $G$1),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$A60), REGEXMATCH(RawData_SemEval!$A$2:$A$800, ""(?i)"" &amp; $G$1), NOT(REGEXMATCH(RawData_SemEval!$A$2:$A$800, ""(?i)complete"")), NOT(REGEXMATCH(RawData_SemEval!$A$2:$A$800, ""(?i)ensemble""))), ""0.00"") &amp;"&amp;" 
"")"""),"(0.08, 0.13)")</f>
        <v>(0.08, 0.13)</v>
      </c>
    </row>
    <row r="62">
      <c r="A62" s="84"/>
      <c r="B62" s="26" t="s">
        <v>74</v>
      </c>
      <c r="C62" s="88">
        <f>IFERROR(__xludf.DUMMYFUNCTION("FILTER(
  RawData_Ensembles!$B$2:$B$1300, 
  REGEXMATCH(RawData_Ensembles!$A$2:$A$1300, ""(?i)(_|^)"" &amp; $A$1 &amp; ""(_|$)""), 
  REGEXMATCH(RawData_Ensembles!$A$2:$A$1300, ""(?i)"" &amp; $A60), 
  REGEXMATCH(RawData_Ensembles!$A$2:$A$1300, ""(?i)"" &amp; $C$1), 
NOT"&amp;"(REGEXMATCH(RawData_Ensembles!$A$2:$A$1300, ""(?i)complete"")), 
  REGEXMATCH(RawData_Ensembles!$A$2:$A$1300, ""(?i)"" &amp; $B62)
)"),0.041160593792172)</f>
        <v>0.04116059379</v>
      </c>
      <c r="D62" s="88">
        <f>IFERROR(__xludf.DUMMYFUNCTION("FILTER(
  RawData_Ensembles!$C$2:$C$1300, 
  REGEXMATCH(RawData_Ensembles!$A$2:$A$1300, ""(?i)(_|^)"" &amp; $A$1 &amp; ""(_|$)""), 
  REGEXMATCH(RawData_Ensembles!$A$2:$A$1300, ""(?i)"" &amp; $A60), 
  REGEXMATCH(RawData_Ensembles!$A$2:$A$1300, ""(?i)"" &amp; $C$1), 
NOT"&amp;"(REGEXMATCH(RawData_Ensembles!$A$2:$A$1300, ""(?i)complete"")), 
  REGEXMATCH(RawData_Ensembles!$A$2:$A$1300, ""(?i)"" &amp; $B62)
)"),0.021187584345479)</f>
        <v>0.02118758435</v>
      </c>
      <c r="E62" s="88">
        <f>IFERROR(__xludf.DUMMYFUNCTION("FILTER(
  RawData_Ensembles!$B$2:$B$1300, 
  REGEXMATCH(RawData_Ensembles!$A$2:$A$1300, ""(?i)(_|^)"" &amp; $A$1 &amp; ""(_|$)""), 
  REGEXMATCH(RawData_Ensembles!$A$2:$A$1300, ""(?i)"" &amp; $A60), 
  REGEXMATCH(RawData_Ensembles!$A$2:$A$1300, ""(?i)"" &amp; $E$1), 
NOT"&amp;"(REGEXMATCH(RawData_Ensembles!$A$2:$A$1300, ""(?i)complete"")), 
  REGEXMATCH(RawData_Ensembles!$A$2:$A$1300, ""(?i)"" &amp; $B62)
)"),0.196790052053209)</f>
        <v>0.1967900521</v>
      </c>
      <c r="F62" s="88">
        <f>IFERROR(__xludf.DUMMYFUNCTION("FILTER(
  RawData_Ensembles!$C$2:$C$1300, 
  REGEXMATCH(RawData_Ensembles!$A$2:$A$1300, ""(?i)(_|^)"" &amp; $A$1 &amp; ""(_|$)""), 
  REGEXMATCH(RawData_Ensembles!$A$2:$A$1300, ""(?i)"" &amp; $A60), 
  REGEXMATCH(RawData_Ensembles!$A$2:$A$1300, ""(?i)"" &amp; $E$1), 
NOT"&amp;"(REGEXMATCH(RawData_Ensembles!$A$2:$A$1300, ""(?i)complete"")), 
  REGEXMATCH(RawData_Ensembles!$A$2:$A$1300, ""(?i)"" &amp; $B62)
)"),0.087455819034766)</f>
        <v>0.08745581903</v>
      </c>
      <c r="G62" s="88">
        <f>IFERROR(__xludf.DUMMYFUNCTION("FILTER(
  RawData_Ensembles!$B$2:$B$1300, 
  REGEXMATCH(RawData_Ensembles!$A$2:$A$1300, ""(?i)(_|^)"" &amp; $A$1 &amp; ""(_|$)""), 
  REGEXMATCH(RawData_Ensembles!$A$2:$A$1300, ""(?i)"" &amp; $A60), 
  REGEXMATCH(RawData_Ensembles!$A$2:$A$1300, ""(?i)"" &amp; $G$1), 
NOT"&amp;"(REGEXMATCH(RawData_Ensembles!$A$2:$A$1300, ""(?i)complete"")), 
  REGEXMATCH(RawData_Ensembles!$A$2:$A$1300, ""(?i)"" &amp; $B62)
)"),0.225991260201786)</f>
        <v>0.2259912602</v>
      </c>
      <c r="H62" s="88">
        <f>IFERROR(__xludf.DUMMYFUNCTION("FILTER(
  RawData_Ensembles!$C$2:$G$1300, 
  REGEXMATCH(RawData_Ensembles!$A$2:$A$1300, ""(?i)(_|^)"" &amp; $A$1 &amp; ""(_|$)""), 
  REGEXMATCH(RawData_Ensembles!$A$2:$A$1300, ""(?i)"" &amp; $A60), 
  REGEXMATCH(RawData_Ensembles!$A$2:$A$1300, ""(?i)"" &amp; $G$1), 
NOT"&amp;"(REGEXMATCH(RawData_Ensembles!$A$2:$A$1300, ""(?i)complete"")), 
  REGEXMATCH(RawData_Ensembles!$A$2:$A$1300, ""(?i)"" &amp; $B62)
)"),0.116412287667348)</f>
        <v>0.1164122877</v>
      </c>
      <c r="I62" s="11"/>
      <c r="J62" s="11"/>
      <c r="K62" s="11"/>
      <c r="L62" s="11"/>
    </row>
    <row r="63">
      <c r="A63" s="84"/>
      <c r="B63" s="91" t="s">
        <v>75</v>
      </c>
      <c r="C63" s="88">
        <f>IFERROR(__xludf.DUMMYFUNCTION("FILTER(
  RawData_Ensembles!$B$2:$B$1300, 
  REGEXMATCH(RawData_Ensembles!$A$2:$A$1300, ""(?i)(_|^)"" &amp; $A$1 &amp; ""(_|$)""), 
  REGEXMATCH(RawData_Ensembles!$A$2:$A$1300, ""(?i)"" &amp; $A60), 
  REGEXMATCH(RawData_Ensembles!$A$2:$A$1300, ""(?i)"" &amp; $C$1), 
NOT"&amp;"(REGEXMATCH(RawData_Ensembles!$A$2:$A$1300, ""(?i)complete"")), 
  REGEXMATCH(RawData_Ensembles!$A$2:$A$1300, ""(?i)"" &amp; $B63)
)"),0.08304736199473)</f>
        <v>0.08304736199</v>
      </c>
      <c r="D63" s="88">
        <f>IFERROR(__xludf.DUMMYFUNCTION("FILTER(
  RawData_Ensembles!$C$2:$C$1300, 
  REGEXMATCH(RawData_Ensembles!$A$2:$A$1300, ""(?i)(_|^)"" &amp; $A$1 &amp; ""(_|$)""), 
  REGEXMATCH(RawData_Ensembles!$A$2:$A$1300, ""(?i)"" &amp; $A60), 
  REGEXMATCH(RawData_Ensembles!$A$2:$A$1300, ""(?i)"" &amp; $C$1), 
NOT"&amp;"(REGEXMATCH(RawData_Ensembles!$A$2:$A$1300, ""(?i)complete"")), 
  REGEXMATCH(RawData_Ensembles!$A$2:$A$1300, ""(?i)"" &amp; $B63)
)"),0.032980177717019)</f>
        <v>0.03298017772</v>
      </c>
      <c r="E63" s="88">
        <f>IFERROR(__xludf.DUMMYFUNCTION("FILTER(
  RawData_Ensembles!$B$2:$B$1300, 
  REGEXMATCH(RawData_Ensembles!$A$2:$A$1300, ""(?i)(_|^)"" &amp; $A$1 &amp; ""(_|$)""), 
  REGEXMATCH(RawData_Ensembles!$A$2:$A$1300, ""(?i)"" &amp; $A60), 
  REGEXMATCH(RawData_Ensembles!$A$2:$A$1300, ""(?i)"" &amp; $E$1), 
NOT"&amp;"(REGEXMATCH(RawData_Ensembles!$A$2:$A$1300, ""(?i)complete"")), 
  REGEXMATCH(RawData_Ensembles!$A$2:$A$1300, ""(?i)"" &amp; $B63)
)"),0.327050794459701)</f>
        <v>0.3270507945</v>
      </c>
      <c r="F63" s="88">
        <f>IFERROR(__xludf.DUMMYFUNCTION("FILTER(
  RawData_Ensembles!$C$2:$C$1300, 
  REGEXMATCH(RawData_Ensembles!$A$2:$A$1300, ""(?i)(_|^)"" &amp; $A$1 &amp; ""(_|$)""), 
  REGEXMATCH(RawData_Ensembles!$A$2:$A$1300, ""(?i)"" &amp; $A60), 
  REGEXMATCH(RawData_Ensembles!$A$2:$A$1300, ""(?i)"" &amp; $E$1), 
NOT"&amp;"(REGEXMATCH(RawData_Ensembles!$A$2:$A$1300, ""(?i)complete"")), 
  REGEXMATCH(RawData_Ensembles!$A$2:$A$1300, ""(?i)"" &amp; $B63)
)"),0.142401997462726)</f>
        <v>0.1424019975</v>
      </c>
      <c r="G63" s="88">
        <f>IFERROR(__xludf.DUMMYFUNCTION("FILTER(
  RawData_Ensembles!$B$2:$B$1300, 
  REGEXMATCH(RawData_Ensembles!$A$2:$A$1300, ""(?i)(_|^)"" &amp; $A$1 &amp; ""(_|$)""), 
  REGEXMATCH(RawData_Ensembles!$A$2:$A$1300, ""(?i)"" &amp; $A60), 
  REGEXMATCH(RawData_Ensembles!$A$2:$A$1300, ""(?i)"" &amp; $G$1), 
NOT"&amp;"(REGEXMATCH(RawData_Ensembles!$A$2:$A$1300, ""(?i)complete"")), 
  REGEXMATCH(RawData_Ensembles!$A$2:$A$1300, ""(?i)"" &amp; $B63)
)"),0.295837945230657)</f>
        <v>0.2958379452</v>
      </c>
      <c r="H63" s="88">
        <f>IFERROR(__xludf.DUMMYFUNCTION("FILTER(
  RawData_Ensembles!$C$2:$G$1300, 
  REGEXMATCH(RawData_Ensembles!$A$2:$A$1300, ""(?i)(_|^)"" &amp; $A$1 &amp; ""(_|$)""), 
  REGEXMATCH(RawData_Ensembles!$A$2:$A$1300, ""(?i)"" &amp; $A60), 
  REGEXMATCH(RawData_Ensembles!$A$2:$A$1300, ""(?i)"" &amp; $G$1), 
NOT"&amp;"(REGEXMATCH(RawData_Ensembles!$A$2:$A$1300, ""(?i)complete"")), 
  REGEXMATCH(RawData_Ensembles!$A$2:$A$1300, ""(?i)"" &amp; $B63)
)"),0.156231965864585)</f>
        <v>0.1562319659</v>
      </c>
      <c r="I63" s="11"/>
      <c r="J63" s="11"/>
      <c r="K63" s="11"/>
      <c r="L63" s="11"/>
    </row>
    <row r="64">
      <c r="A64" s="84" t="s">
        <v>1938</v>
      </c>
      <c r="B64" s="26" t="s">
        <v>29</v>
      </c>
      <c r="C64" s="93" t="str">
        <f>IFERROR(__xludf.DUMMYFUNCTION("FILTER(
    RawData_SemEval!$B$2:$B$800, 
    REGEXMATCH(RawData_SemEval!$A$2:$A$800, ""(?i)(_|^)"" &amp; $A$1 &amp; ""(_|$)""), 
    REGEXMATCH(RawData_SemEval!$A$2:$A$800, ""(?i)"" &amp; $A64), 
    REGEXMATCH(RawData_SemEval!$A$2:$A$800, ""(?i)"" &amp; $C$1),
    NOT("&amp;"REGEXMATCH(RawData_SemEval!$A$2:$A$800, ""(?i)ensemble""))
  )"),"")</f>
        <v/>
      </c>
      <c r="D64" s="93" t="str">
        <f>IFERROR(__xludf.DUMMYFUNCTION("FILTER(RawData_SemEval!$E$2:$E$800, 
  REGEXMATCH(RawData_SemEval!$A$2:$A$800, ""(?i)(_|^)"" &amp; $A$1 &amp; ""(_|$)""), 
  REGEXMATCH(RawData_SemEval!$A$2:$A$800, ""(?i)"" &amp; $A64), 
  REGEXMATCH(RawData_SemEval!$A$2:$A$800, ""(?i)"" &amp; $C$1), 
  NOT(REGEXMATCH(R"&amp;"awData_SemEval!$A$2:$A$800,  ""(?i)ensemble""))
)"),"")</f>
        <v/>
      </c>
      <c r="E64" s="88">
        <f>IFERROR(__xludf.DUMMYFUNCTION("FILTER(
    RawData_SemEval!$B$2:$B$800, 
    REGEXMATCH(RawData_SemEval!$A$2:$A$800, ""(?i)(_|^)"" &amp; $A$1 &amp; ""(_|$)""), 
    REGEXMATCH(RawData_SemEval!$A$2:$A$800, ""(?i)"" &amp; $A64), 
    REGEXMATCH(RawData_SemEval!$A$2:$A$800, ""(?i)"" &amp; $E$1),
    NOT("&amp;"REGEXMATCH(RawData_SemEval!$A$2:$A$800, ""(?i)ensemble""))
  )"),0.196936048454469)</f>
        <v>0.1969360485</v>
      </c>
      <c r="F64" s="88">
        <f>IFERROR(__xludf.DUMMYFUNCTION("FILTER(RawData_SemEval!$E$2:$E$800, 
  REGEXMATCH(RawData_SemEval!$A$2:$A$800, ""(?i)(_|^)"" &amp; $A$1 &amp; ""(_|$)""), 
  REGEXMATCH(RawData_SemEval!$A$2:$A$800, ""(?i)"" &amp; $A64), 
  REGEXMATCH(RawData_SemEval!$A$2:$A$800, ""(?i)"" &amp; $E$1), 
  NOT(REGEXMATCH(R"&amp;"awData_SemEval!$A$2:$A$800,  ""(?i)ensemble""))
)"),0.063800009931588)</f>
        <v>0.06380000993</v>
      </c>
      <c r="G64" s="88">
        <f>IFERROR(__xludf.DUMMYFUNCTION("FILTER(
    RawData_SemEval!$B$2:$B$800, 
    REGEXMATCH(RawData_SemEval!$A$2:$A$800, ""(?i)(_|^)"" &amp; $A$1 &amp; ""(_|$)""), 
    REGEXMATCH(RawData_SemEval!$A$2:$A$800, ""(?i)"" &amp; $A64), 
    REGEXMATCH(RawData_SemEval!$A$2:$A$800, ""(?i)"" &amp; $G$1),
    NOT("&amp;"REGEXMATCH(RawData_SemEval!$A$2:$A$800, ""(?i)ensemble""))
  )"),0.190261348592927)</f>
        <v>0.1902613486</v>
      </c>
      <c r="H64" s="88">
        <f>IFERROR(__xludf.DUMMYFUNCTION("FILTER(RawData_SemEval!$E$2:$E$800, 
  REGEXMATCH(RawData_SemEval!$A$2:$A$800, ""(?i)(_|^)"" &amp; $A$1 &amp; ""(_|$)""), 
  REGEXMATCH(RawData_SemEval!$A$2:$A$800, ""(?i)"" &amp; $A64), 
  REGEXMATCH(RawData_SemEval!$A$2:$A$800, ""(?i)"" &amp; $G$1), 
  NOT(REGEXMATCH(R"&amp;"awData_SemEval!$A$2:$A$800,  ""(?i)ensemble""))
)"),0.088050555691827)</f>
        <v>0.08805055569</v>
      </c>
    </row>
    <row r="65">
      <c r="A65" s="84"/>
      <c r="B65" s="26"/>
      <c r="C65" s="93" t="str">
        <f>IFERROR(__xludf.DUMMYFUNCTION("""("" &amp; 
TEXT(FILTER(RawData_SemEval!$C$2:$C$800, REGEXMATCH(RawData_SemEval!$A$2:$A$800, ""(?i)(_|^)"" &amp; $A$1 &amp; ""(_|$)""), REGEXMATCH(RawData_SemEval!$A$2:$A$800, ""(?i)"" &amp; $A64),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$A64), REGEXMA"&amp;"TCH(RawData_SemEval!$A$2:$A$800, ""(?i)"" &amp; $C$1), NOT(REGEXMATCH(RawData_SemEval!$A$2:$A$800, ""(?i)ensemble""))), ""0.00"") &amp; 
"")"""),"(0.00, 0.00)")</f>
        <v>(0.00, 0.00)</v>
      </c>
      <c r="D65" s="93" t="str">
        <f>IFERROR(__xludf.DUMMYFUNCTION("""("" &amp; 
TEXT(FILTER(RawData_SemEval!$F$2:$F$800, REGEXMATCH(RawData_SemEval!$A$2:$A$800, ""(?i)(_|^)"" &amp; $A$1 &amp; ""(_|$)""), REGEXMATCH(RawData_SemEval!$A$2:$A$800, ""(?i)"" &amp; $A64),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$A64), REGEXMA"&amp;"TCH(RawData_SemEval!$A$2:$A$800, ""(?i)"" &amp; $C$1), NOT(REGEXMATCH(RawData_SemEval!$A$2:$A$800, ""(?i)ensemble""))), ""0.00"") &amp; 
"")"""),"(0.00, 0.00)")</f>
        <v>(0.00, 0.00)</v>
      </c>
      <c r="E65" s="89" t="str">
        <f>IFERROR(__xludf.DUMMYFUNCTION("""("" &amp; 
TEXT(FILTER(RawData_SemEval!$C$2:$C$800, REGEXMATCH(RawData_SemEval!$A$2:$A$800, ""(?i)(_|^)"" &amp; $A$1 &amp; ""(_|$)""), REGEXMATCH(RawData_SemEval!$A$2:$A$800, ""(?i)"" &amp; $A64),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$A64), REGEXMA"&amp;"TCH(RawData_SemEval!$A$2:$A$800, ""(?i)"" &amp; $E$1), NOT(REGEXMATCH(RawData_SemEval!$A$2:$A$800, ""(?i)ensemble""))), ""0.00"") &amp; 
"")"""),"(0.16, 0.23)")</f>
        <v>(0.16, 0.23)</v>
      </c>
      <c r="F65" s="89" t="str">
        <f>IFERROR(__xludf.DUMMYFUNCTION("""("" &amp; 
TEXT(FILTER(RawData_SemEval!$F$2:$F$800, REGEXMATCH(RawData_SemEval!$A$2:$A$800, ""(?i)(_|^)"" &amp; $A$1 &amp; ""(_|$)""), REGEXMATCH(RawData_SemEval!$A$2:$A$800, ""(?i)"" &amp; $A64),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$A64), REGEXMA"&amp;"TCH(RawData_SemEval!$A$2:$A$800, ""(?i)"" &amp; $E$1), NOT(REGEXMATCH(RawData_SemEval!$A$2:$A$800, ""(?i)ensemble""))), ""0.00"") &amp; 
"")"""),"(0.04, 0.09)")</f>
        <v>(0.04, 0.09)</v>
      </c>
      <c r="G65" s="89" t="str">
        <f>IFERROR(__xludf.DUMMYFUNCTION("""("" &amp; 
TEXT(FILTER(RawData_SemEval!$C$2:$C$800, REGEXMATCH(RawData_SemEval!$A$2:$A$800, ""(?i)(_|^)"" &amp; $A$1 &amp; ""(_|$)""), REGEXMATCH(RawData_SemEval!$A$2:$A$800, ""(?i)"" &amp; $A64),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$A64), REGEXMA"&amp;"TCH(RawData_SemEval!$A$2:$A$800, ""(?i)"" &amp; $G$1), NOT(REGEXMATCH(RawData_SemEval!$A$2:$A$800, ""(?i)ensemble""))), ""0.00"") &amp; 
"")"""),"(0.16, 0.22)")</f>
        <v>(0.16, 0.22)</v>
      </c>
      <c r="H65" s="89" t="str">
        <f>IFERROR(__xludf.DUMMYFUNCTION("""("" &amp; 
TEXT(FILTER(RawData_SemEval!$F$2:$F$800, REGEXMATCH(RawData_SemEval!$A$2:$A$800, ""(?i)(_|^)"" &amp; $A$1 &amp; ""(_|$)""), REGEXMATCH(RawData_SemEval!$A$2:$A$800, ""(?i)"" &amp; $A64),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$A64), REGEXMA"&amp;"TCH(RawData_SemEval!$A$2:$A$800, ""(?i)"" &amp; $G$1), NOT(REGEXMATCH(RawData_SemEval!$A$2:$A$800, ""(?i)ensemble""))), ""0.00"") &amp; 
"")"""),"(0.07, 0.11)")</f>
        <v>(0.07, 0.11)</v>
      </c>
    </row>
    <row r="66">
      <c r="A66" s="84"/>
      <c r="B66" s="26" t="s">
        <v>74</v>
      </c>
      <c r="C66" s="93" t="str">
        <f>IFERROR(__xludf.DUMMYFUNCTION("FILTER(
  RawData_Ensembles!$B$2:$B$1300, 
  REGEXMATCH(RawData_Ensembles!$A$2:$A$1300, ""(?i)(_|^)"" &amp; $A$1 &amp; ""(_|$)""), 
  REGEXMATCH(RawData_Ensembles!$A$2:$A$1300, ""(?i)"" &amp; $A64), 
  REGEXMATCH(RawData_Ensembles!$A$2:$A$1300, ""(?i)"" &amp; $C$1), 
  R"&amp;"EGEXMATCH(RawData_Ensembles!$A$2:$A$1300, ""(?i)"" &amp; $B66)
)"),"")</f>
        <v/>
      </c>
      <c r="D66" s="93" t="str">
        <f>IFERROR(__xludf.DUMMYFUNCTION("FILTER(
  RawData_Ensembles!$C$2:$C$1300, 
  REGEXMATCH(RawData_Ensembles!$A$2:$A$1300, ""(?i)(_|^)"" &amp; $A$1 &amp; ""(_|$)""), 
  REGEXMATCH(RawData_Ensembles!$A$2:$A$1300, ""(?i)"" &amp; $A64), 
  REGEXMATCH(RawData_Ensembles!$A$2:$A$1300, ""(?i)"" &amp; $C$1), 
  R"&amp;"EGEXMATCH(RawData_Ensembles!$A$2:$A$1300, ""(?i)"" &amp; $B66)
)"),"")</f>
        <v/>
      </c>
      <c r="E66" s="88">
        <f>IFERROR(__xludf.DUMMYFUNCTION("FILTER(
  RawData_Ensembles!$B$2:$B$1300, 
  REGEXMATCH(RawData_Ensembles!$A$2:$A$1300, ""(?i)(_|^)"" &amp; $A$1 &amp; ""(_|$)""), 
  REGEXMATCH(RawData_Ensembles!$A$2:$A$1300, ""(?i)"" &amp; $A64), 
  REGEXMATCH(RawData_Ensembles!$A$2:$A$1300, ""(?i)"" &amp; $E$1), 
  R"&amp;"EGEXMATCH(RawData_Ensembles!$A$2:$A$1300, ""(?i)"" &amp; $B66)
)"),0.171197223828802)</f>
        <v>0.1711972238</v>
      </c>
      <c r="F66" s="88">
        <f>IFERROR(__xludf.DUMMYFUNCTION("FILTER(
  RawData_Ensembles!$C$2:$C$1300, 
  REGEXMATCH(RawData_Ensembles!$A$2:$A$1300, ""(?i)(_|^)"" &amp; $A$1 &amp; ""(_|$)""), 
  REGEXMATCH(RawData_Ensembles!$A$2:$A$1300, ""(?i)"" &amp; $A64), 
  REGEXMATCH(RawData_Ensembles!$A$2:$A$1300, ""(?i)"" &amp; $E$1), 
  R"&amp;"EGEXMATCH(RawData_Ensembles!$A$2:$A$1300, ""(?i)"" &amp; $B66)
)"),0.055018957650536)</f>
        <v>0.05501895765</v>
      </c>
      <c r="G66" s="88">
        <f>IFERROR(__xludf.DUMMYFUNCTION("FILTER(
  RawData_Ensembles!$B$2:$B$1300, 
  REGEXMATCH(RawData_Ensembles!$A$2:$A$1300, ""(?i)(_|^)"" &amp; $A$1 &amp; ""(_|$)""), 
  REGEXMATCH(RawData_Ensembles!$A$2:$A$1300, ""(?i)"" &amp; $A64), 
  REGEXMATCH(RawData_Ensembles!$A$2:$A$1300, ""(?i)"" &amp; $G$1), 
  R"&amp;"EGEXMATCH(RawData_Ensembles!$A$2:$A$1300, ""(?i)"" &amp; $B66)
)"),0.185709027814291)</f>
        <v>0.1857090278</v>
      </c>
      <c r="H66" s="88">
        <f>IFERROR(__xludf.DUMMYFUNCTION("FILTER(
  RawData_Ensembles!$C$2:$G$1300, 
  REGEXMATCH(RawData_Ensembles!$A$2:$A$1300, ""(?i)(_|^)"" &amp; $A$1 &amp; ""(_|$)""), 
  REGEXMATCH(RawData_Ensembles!$A$2:$A$1300, ""(?i)"" &amp; $A64), 
  REGEXMATCH(RawData_Ensembles!$A$2:$A$1300, ""(?i)"" &amp; $G$1), 
  R"&amp;"EGEXMATCH(RawData_Ensembles!$A$2:$A$1300, ""(?i)"" &amp; $B66)
)"),0.08525487108483)</f>
        <v>0.08525487108</v>
      </c>
      <c r="I66" s="11"/>
      <c r="J66" s="11"/>
      <c r="K66" s="11"/>
      <c r="L66" s="11"/>
    </row>
    <row r="67">
      <c r="A67" s="98"/>
      <c r="B67" s="51" t="s">
        <v>75</v>
      </c>
      <c r="C67" s="93" t="str">
        <f>IFERROR(__xludf.DUMMYFUNCTION("FILTER(
  RawData_Ensembles!$B$2:$B$1300, 
  REGEXMATCH(RawData_Ensembles!$A$2:$A$1300, ""(?i)(_|^)"" &amp; $A$1 &amp; ""(_|$)""), 
  REGEXMATCH(RawData_Ensembles!$A$2:$A$1300, ""(?i)"" &amp; $A64), 
  REGEXMATCH(RawData_Ensembles!$A$2:$A$1300, ""(?i)"" &amp; $C$1), 
  R"&amp;"EGEXMATCH(RawData_Ensembles!$A$2:$A$1300, ""(?i)"" &amp; $B67)
)"),"")</f>
        <v/>
      </c>
      <c r="D67" s="93" t="str">
        <f>IFERROR(__xludf.DUMMYFUNCTION("FILTER(
  RawData_Ensembles!$C$2:$C$1300, 
  REGEXMATCH(RawData_Ensembles!$A$2:$A$1300, ""(?i)(_|^)"" &amp; $A$1 &amp; ""(_|$)""), 
  REGEXMATCH(RawData_Ensembles!$A$2:$A$1300, ""(?i)"" &amp; $A64), 
  REGEXMATCH(RawData_Ensembles!$A$2:$A$1300, ""(?i)"" &amp; $C$1), 
  R"&amp;"EGEXMATCH(RawData_Ensembles!$A$2:$A$1300, ""(?i)"" &amp; $B67)
)"),"")</f>
        <v/>
      </c>
      <c r="E67" s="88">
        <f>IFERROR(__xludf.DUMMYFUNCTION("FILTER(
  RawData_Ensembles!$B$2:$B$1300, 
  REGEXMATCH(RawData_Ensembles!$A$2:$A$1300, ""(?i)(_|^)"" &amp; $A$1 &amp; ""(_|$)""), 
  REGEXMATCH(RawData_Ensembles!$A$2:$A$1300, ""(?i)"" &amp; $A64), 
  REGEXMATCH(RawData_Ensembles!$A$2:$A$1300, ""(?i)"" &amp; $E$1), 
  R"&amp;"EGEXMATCH(RawData_Ensembles!$A$2:$A$1300, ""(?i)"" &amp; $B67)
)"),0.314624848835375)</f>
        <v>0.3146248488</v>
      </c>
      <c r="F67" s="88">
        <f>IFERROR(__xludf.DUMMYFUNCTION("FILTER(
  RawData_Ensembles!$C$2:$C$1300, 
  REGEXMATCH(RawData_Ensembles!$A$2:$A$1300, ""(?i)(_|^)"" &amp; $A$1 &amp; ""(_|$)""), 
  REGEXMATCH(RawData_Ensembles!$A$2:$A$1300, ""(?i)"" &amp; $A64), 
  REGEXMATCH(RawData_Ensembles!$A$2:$A$1300, ""(?i)"" &amp; $E$1), 
  R"&amp;"EGEXMATCH(RawData_Ensembles!$A$2:$A$1300, ""(?i)"" &amp; $B67)
)"),0.106435982847033)</f>
        <v>0.1064359828</v>
      </c>
      <c r="G67" s="88">
        <f>IFERROR(__xludf.DUMMYFUNCTION("FILTER(
  RawData_Ensembles!$B$2:$B$1300, 
  REGEXMATCH(RawData_Ensembles!$A$2:$A$1300, ""(?i)(_|^)"" &amp; $A$1 &amp; ""(_|$)""), 
  REGEXMATCH(RawData_Ensembles!$A$2:$A$1300, ""(?i)"" &amp; $A64), 
  REGEXMATCH(RawData_Ensembles!$A$2:$A$1300, ""(?i)"" &amp; $G$1), 
  R"&amp;"EGEXMATCH(RawData_Ensembles!$A$2:$A$1300, ""(?i)"" &amp; $B67)
)"),0.261104684788895)</f>
        <v>0.2611046848</v>
      </c>
      <c r="H67" s="88">
        <f>IFERROR(__xludf.DUMMYFUNCTION("FILTER(
  RawData_Ensembles!$C$2:$G$1300, 
  REGEXMATCH(RawData_Ensembles!$A$2:$A$1300, ""(?i)(_|^)"" &amp; $A$1 &amp; ""(_|$)""), 
  REGEXMATCH(RawData_Ensembles!$A$2:$A$1300, ""(?i)"" &amp; $A64), 
  REGEXMATCH(RawData_Ensembles!$A$2:$A$1300, ""(?i)"" &amp; $G$1), 
  R"&amp;"EGEXMATCH(RawData_Ensembles!$A$2:$A$1300, ""(?i)"" &amp; $B67)
)"),0.122412269268663)</f>
        <v>0.1224122693</v>
      </c>
      <c r="I67" s="11"/>
      <c r="J67" s="11"/>
      <c r="K67" s="11"/>
      <c r="L67" s="11"/>
    </row>
    <row r="68">
      <c r="A68" s="26" t="s">
        <v>1988</v>
      </c>
      <c r="B68" s="43" t="s">
        <v>21</v>
      </c>
      <c r="C68" s="88">
        <f>IFERROR(__xludf.DUMMYFUNCTION("FILTER(
    RawData_SemEval!$B$2:$B$800, 
    REGEXMATCH(RawData_SemEval!$A$2:$A$800, ""(?i)(_|^)"" &amp; $A$1 &amp; ""(_|$)""), 
    REGEXMATCH(RawData_SemEval!$A$2:$A$800, ""(?i)"" &amp; $A68), 
    REGEXMATCH(RawData_SemEval!$A$2:$A$800, ""(?i)"" &amp; $C$1),
    NOT("&amp;"REGEXMATCH(RawData_SemEval!$A$2:$A$800, ""(?i)ensemble""))
  )"),0.300086787481524)</f>
        <v>0.3000867875</v>
      </c>
      <c r="D68" s="88">
        <f>IFERROR(__xludf.DUMMYFUNCTION("FILTER(RawData_SemEval!$E$2:$E$800, 
  REGEXMATCH(RawData_SemEval!$A$2:$A$800, ""(?i)(_|^)"" &amp; $A$1 &amp; ""(_|$)""), 
  REGEXMATCH(RawData_SemEval!$A$2:$A$800, ""(?i)"" &amp; $A68), 
  REGEXMATCH(RawData_SemEval!$A$2:$A$800, ""(?i)"" &amp; $C$1), 
  NOT(REGEXMATCH(R"&amp;"awData_SemEval!$A$2:$A$800,  ""(?i)ensemble""))
)"),0.093026101855858)</f>
        <v>0.09302610186</v>
      </c>
      <c r="E68" s="88">
        <f>IFERROR(__xludf.DUMMYFUNCTION("FILTER(
    RawData_SemEval!$B$2:$B$800, 
    REGEXMATCH(RawData_SemEval!$A$2:$A$800, ""(?i)(_|^)"" &amp; $A$1 &amp; ""(_|$)""), 
    REGEXMATCH(RawData_SemEval!$A$2:$A$800, ""(?i)"" &amp; $A68), 
    REGEXMATCH(RawData_SemEval!$A$2:$A$800, ""(?i)"" &amp; $E$1),
    NOT("&amp;"REGEXMATCH(RawData_SemEval!$A$2:$A$800, ""(?i)ensemble""))
  )"),0.357943207377417)</f>
        <v>0.3579432074</v>
      </c>
      <c r="F68" s="88">
        <f>IFERROR(__xludf.DUMMYFUNCTION("FILTER(RawData_SemEval!$E$2:$E$800, 
  REGEXMATCH(RawData_SemEval!$A$2:$A$800, ""(?i)(_|^)"" &amp; $A$1 &amp; ""(_|$)""), 
  REGEXMATCH(RawData_SemEval!$A$2:$A$800, ""(?i)"" &amp; $A68), 
  REGEXMATCH(RawData_SemEval!$A$2:$A$800, ""(?i)"" &amp; $E$1), 
  NOT(REGEXMATCH(R"&amp;"awData_SemEval!$A$2:$A$800,  ""(?i)ensemble""))
)"),0.106532844056528)</f>
        <v>0.1065328441</v>
      </c>
      <c r="G68" s="88">
        <f>IFERROR(__xludf.DUMMYFUNCTION("FILTER(
    RawData_SemEval!$B$2:$B$800, 
    REGEXMATCH(RawData_SemEval!$A$2:$A$800, ""(?i)(_|^)"" &amp; $A$1 &amp; ""(_|$)""), 
    REGEXMATCH(RawData_SemEval!$A$2:$A$800, ""(?i)"" &amp; $A68), 
    REGEXMATCH(RawData_SemEval!$A$2:$A$800, ""(?i)"" &amp; $G$1),
    NOT("&amp;"REGEXMATCH(RawData_SemEval!$A$2:$A$800, ""(?i)ensemble""))
  )"),0.322135984191247)</f>
        <v>0.3221359842</v>
      </c>
      <c r="H68" s="88">
        <f>IFERROR(__xludf.DUMMYFUNCTION("FILTER(RawData_SemEval!$E$2:$E$800, 
  REGEXMATCH(RawData_SemEval!$A$2:$A$800, ""(?i)(_|^)"" &amp; $A$1 &amp; ""(_|$)""), 
  REGEXMATCH(RawData_SemEval!$A$2:$A$800, ""(?i)"" &amp; $A68), 
  REGEXMATCH(RawData_SemEval!$A$2:$A$800, ""(?i)"" &amp; $G$1), 
  NOT(REGEXMATCH(R"&amp;"awData_SemEval!$A$2:$A$800,  ""(?i)ensemble""))
)"),0.15832344209996)</f>
        <v>0.1583234421</v>
      </c>
    </row>
    <row r="69">
      <c r="A69" s="26"/>
      <c r="B69" s="43"/>
      <c r="C69" s="89" t="str">
        <f>IFERROR(__xludf.DUMMYFUNCTION("""("" &amp; 
TEXT(FILTER(RawData_SemEval!$C$2:$C$800, REGEXMATCH(RawData_SemEval!$A$2:$A$800, ""(?i)(_|^)"" &amp; $A$1 &amp; ""(_|$)""), REGEXMATCH(RawData_SemEval!$A$2:$A$800, ""(?i)"" &amp; $A68),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$A68), REGEXMA"&amp;"TCH(RawData_SemEval!$A$2:$A$800, ""(?i)"" &amp; $C$1), NOT(REGEXMATCH(RawData_SemEval!$A$2:$A$800, ""(?i)ensemble""))), ""0.00"") &amp; 
"")"""),"(0.26, 0.34)")</f>
        <v>(0.26, 0.34)</v>
      </c>
      <c r="D69" s="89" t="str">
        <f>IFERROR(__xludf.DUMMYFUNCTION("""("" &amp; 
TEXT(FILTER(RawData_SemEval!$F$2:$F$800, REGEXMATCH(RawData_SemEval!$A$2:$A$800, ""(?i)(_|^)"" &amp; $A$1 &amp; ""(_|$)""), REGEXMATCH(RawData_SemEval!$A$2:$A$800, ""(?i)"" &amp; $A68),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$A68), REGEXMA"&amp;"TCH(RawData_SemEval!$A$2:$A$800, ""(?i)"" &amp; $C$1), NOT(REGEXMATCH(RawData_SemEval!$A$2:$A$800, ""(?i)ensemble""))), ""0.00"") &amp; 
"")"""),"(0.07, 0.12)")</f>
        <v>(0.07, 0.12)</v>
      </c>
      <c r="E69" s="89" t="str">
        <f>IFERROR(__xludf.DUMMYFUNCTION("""("" &amp; 
TEXT(FILTER(RawData_SemEval!$C$2:$C$800, REGEXMATCH(RawData_SemEval!$A$2:$A$800, ""(?i)(_|^)"" &amp; $A$1 &amp; ""(_|$)""), REGEXMATCH(RawData_SemEval!$A$2:$A$800, ""(?i)"" &amp; $A68),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$A68), REGEXMA"&amp;"TCH(RawData_SemEval!$A$2:$A$800, ""(?i)"" &amp; $E$1), NOT(REGEXMATCH(RawData_SemEval!$A$2:$A$800, ""(?i)ensemble""))), ""0.00"") &amp; 
"")"""),"(0.32, 0.40)")</f>
        <v>(0.32, 0.40)</v>
      </c>
      <c r="F69" s="89" t="str">
        <f>IFERROR(__xludf.DUMMYFUNCTION("""("" &amp; 
TEXT(FILTER(RawData_SemEval!$F$2:$F$800, REGEXMATCH(RawData_SemEval!$A$2:$A$800, ""(?i)(_|^)"" &amp; $A$1 &amp; ""(_|$)""), REGEXMATCH(RawData_SemEval!$A$2:$A$800, ""(?i)"" &amp; $A68),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$A68), REGEXMA"&amp;"TCH(RawData_SemEval!$A$2:$A$800, ""(?i)"" &amp; $E$1), NOT(REGEXMATCH(RawData_SemEval!$A$2:$A$800, ""(?i)ensemble""))), ""0.00"") &amp; 
"")"""),"(0.08, 0.13)")</f>
        <v>(0.08, 0.13)</v>
      </c>
      <c r="G69" s="89" t="str">
        <f>IFERROR(__xludf.DUMMYFUNCTION("""("" &amp; 
TEXT(FILTER(RawData_SemEval!$C$2:$C$800, REGEXMATCH(RawData_SemEval!$A$2:$A$800, ""(?i)(_|^)"" &amp; $A$1 &amp; ""(_|$)""), REGEXMATCH(RawData_SemEval!$A$2:$A$800, ""(?i)"" &amp; $A68),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$A68), REGEXMA"&amp;"TCH(RawData_SemEval!$A$2:$A$800, ""(?i)"" &amp; $G$1), NOT(REGEXMATCH(RawData_SemEval!$A$2:$A$800, ""(?i)ensemble""))), ""0.00"") &amp; 
"")"""),"(0.28, 0.36)")</f>
        <v>(0.28, 0.36)</v>
      </c>
      <c r="H69" s="89" t="str">
        <f>IFERROR(__xludf.DUMMYFUNCTION("""("" &amp; 
TEXT(FILTER(RawData_SemEval!$F$2:$F$800, REGEXMATCH(RawData_SemEval!$A$2:$A$800, ""(?i)(_|^)"" &amp; $A$1 &amp; ""(_|$)""), REGEXMATCH(RawData_SemEval!$A$2:$A$800, ""(?i)"" &amp; $A68),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$A68), REGEXMA"&amp;"TCH(RawData_SemEval!$A$2:$A$800, ""(?i)"" &amp; $G$1), NOT(REGEXMATCH(RawData_SemEval!$A$2:$A$800, ""(?i)ensemble""))), ""0.00"") &amp; 
"")"""),"(0.13, 0.19)")</f>
        <v>(0.13, 0.19)</v>
      </c>
    </row>
    <row r="70">
      <c r="A70" s="84"/>
      <c r="B70" s="43" t="s">
        <v>74</v>
      </c>
      <c r="C70" s="88">
        <f>IFERROR(__xludf.DUMMYFUNCTION("FILTER(
  RawData_Ensembles!$B$2:$B$1300, 
  REGEXMATCH(RawData_Ensembles!$A$2:$A$1300, ""(?i)(_|^)"" &amp; $A$1 &amp; ""(_|$)""), 
  REGEXMATCH(RawData_Ensembles!$A$2:$A$1300, ""(?i)"" &amp; $A68), 
  REGEXMATCH(RawData_Ensembles!$A$2:$A$1300, ""(?i)"" &amp; $C$1), 
  R"&amp;"EGEXMATCH(RawData_Ensembles!$A$2:$A$1300, ""(?i)"" &amp; $B70)
)"),0.215895508000771)</f>
        <v>0.215895508</v>
      </c>
      <c r="D70" s="88">
        <f>IFERROR(__xludf.DUMMYFUNCTION("FILTER(
  RawData_Ensembles!$C$2:$C$1300, 
  REGEXMATCH(RawData_Ensembles!$A$2:$A$1300, ""(?i)(_|^)"" &amp; $A$1 &amp; ""(_|$)""), 
  REGEXMATCH(RawData_Ensembles!$A$2:$A$1300, ""(?i)"" &amp; $A68), 
  REGEXMATCH(RawData_Ensembles!$A$2:$A$1300, ""(?i)"" &amp; $C$1), 
  R"&amp;"EGEXMATCH(RawData_Ensembles!$A$2:$A$1300, ""(?i)"" &amp; $B70)
)"),0.085200179937022)</f>
        <v>0.08520017994</v>
      </c>
      <c r="E70" s="88">
        <f>IFERROR(__xludf.DUMMYFUNCTION("FILTER(
  RawData_Ensembles!$B$2:$B$1300, 
  REGEXMATCH(RawData_Ensembles!$A$2:$A$1300, ""(?i)(_|^)"" &amp; $A$1 &amp; ""(_|$)""), 
  REGEXMATCH(RawData_Ensembles!$A$2:$A$1300, ""(?i)"" &amp; $A68), 
  REGEXMATCH(RawData_Ensembles!$A$2:$A$1300, ""(?i)"" &amp; $E$1), 
  R"&amp;"EGEXMATCH(RawData_Ensembles!$A$2:$A$1300, ""(?i)"" &amp; $B70)
)"),0.312711265342844)</f>
        <v>0.3127112653</v>
      </c>
      <c r="F70" s="88">
        <f>IFERROR(__xludf.DUMMYFUNCTION("FILTER(
  RawData_Ensembles!$C$2:$C$1300, 
  REGEXMATCH(RawData_Ensembles!$A$2:$A$1300, ""(?i)(_|^)"" &amp; $A$1 &amp; ""(_|$)""), 
  REGEXMATCH(RawData_Ensembles!$A$2:$A$1300, ""(?i)"" &amp; $A68), 
  REGEXMATCH(RawData_Ensembles!$A$2:$A$1300, ""(?i)"" &amp; $E$1), 
  R"&amp;"EGEXMATCH(RawData_Ensembles!$A$2:$A$1300, ""(?i)"" &amp; $B70)
)"),0.10810309798164)</f>
        <v>0.108103098</v>
      </c>
      <c r="G70" s="88">
        <f>IFERROR(__xludf.DUMMYFUNCTION("FILTER(
  RawData_Ensembles!$B$2:$B$1300, 
  REGEXMATCH(RawData_Ensembles!$A$2:$A$1300, ""(?i)(_|^)"" &amp; $A$1 &amp; ""(_|$)""), 
  REGEXMATCH(RawData_Ensembles!$A$2:$A$1300, ""(?i)"" &amp; $A68), 
  REGEXMATCH(RawData_Ensembles!$A$2:$A$1300, ""(?i)"" &amp; $G$1), 
  R"&amp;"EGEXMATCH(RawData_Ensembles!$A$2:$A$1300, ""(?i)"" &amp; $B70)
)"),0.323484994537626)</f>
        <v>0.3234849945</v>
      </c>
      <c r="H70" s="88">
        <f>IFERROR(__xludf.DUMMYFUNCTION("FILTER(
  RawData_Ensembles!$C$2:$G$1300, 
  REGEXMATCH(RawData_Ensembles!$A$2:$A$1300, ""(?i)(_|^)"" &amp; $A$1 &amp; ""(_|$)""), 
  REGEXMATCH(RawData_Ensembles!$A$2:$A$1300, ""(?i)"" &amp; $A68), 
  REGEXMATCH(RawData_Ensembles!$A$2:$A$1300, ""(?i)"" &amp; $G$1), 
  R"&amp;"EGEXMATCH(RawData_Ensembles!$A$2:$A$1300, ""(?i)"" &amp; $B70)
)"),0.164776833602744)</f>
        <v>0.1647768336</v>
      </c>
      <c r="I70" s="11"/>
      <c r="J70" s="11"/>
      <c r="K70" s="11"/>
      <c r="L70" s="11"/>
    </row>
    <row r="71">
      <c r="A71" s="84"/>
      <c r="B71" s="91" t="s">
        <v>75</v>
      </c>
      <c r="C71" s="88">
        <f>IFERROR(__xludf.DUMMYFUNCTION("FILTER(
  RawData_Ensembles!$B$2:$B$1300, 
  REGEXMATCH(RawData_Ensembles!$A$2:$A$1300, ""(?i)(_|^)"" &amp; $A$1 &amp; ""(_|$)""), 
  REGEXMATCH(RawData_Ensembles!$A$2:$A$1300, ""(?i)"" &amp; $A68), 
  REGEXMATCH(RawData_Ensembles!$A$2:$A$1300, ""(?i)"" &amp; $C$1), 
  R"&amp;"EGEXMATCH(RawData_Ensembles!$A$2:$A$1300, ""(?i)"" &amp; $B71)
)"),0.319373608847293)</f>
        <v>0.3193736088</v>
      </c>
      <c r="D71" s="88">
        <f>IFERROR(__xludf.DUMMYFUNCTION("FILTER(
  RawData_Ensembles!$C$2:$C$1300, 
  REGEXMATCH(RawData_Ensembles!$A$2:$A$1300, ""(?i)(_|^)"" &amp; $A$1 &amp; ""(_|$)""), 
  REGEXMATCH(RawData_Ensembles!$A$2:$A$1300, ""(?i)"" &amp; $A68), 
  REGEXMATCH(RawData_Ensembles!$A$2:$A$1300, ""(?i)"" &amp; $C$1), 
  R"&amp;"EGEXMATCH(RawData_Ensembles!$A$2:$A$1300, ""(?i)"" &amp; $B71)
)"),0.109289779756432)</f>
        <v>0.1092897798</v>
      </c>
      <c r="E71" s="88">
        <f>IFERROR(__xludf.DUMMYFUNCTION("FILTER(
  RawData_Ensembles!$B$2:$B$1300, 
  REGEXMATCH(RawData_Ensembles!$A$2:$A$1300, ""(?i)(_|^)"" &amp; $A$1 &amp; ""(_|$)""), 
  REGEXMATCH(RawData_Ensembles!$A$2:$A$1300, ""(?i)"" &amp; $A68), 
  REGEXMATCH(RawData_Ensembles!$A$2:$A$1300, ""(?i)"" &amp; $E$1), 
  R"&amp;"EGEXMATCH(RawData_Ensembles!$A$2:$A$1300, ""(?i)"" &amp; $B71)
)"),0.397876976824345)</f>
        <v>0.3978769768</v>
      </c>
      <c r="F71" s="88">
        <f>IFERROR(__xludf.DUMMYFUNCTION("FILTER(
  RawData_Ensembles!$C$2:$C$1300, 
  REGEXMATCH(RawData_Ensembles!$A$2:$A$1300, ""(?i)(_|^)"" &amp; $A$1 &amp; ""(_|$)""), 
  REGEXMATCH(RawData_Ensembles!$A$2:$A$1300, ""(?i)"" &amp; $A68), 
  REGEXMATCH(RawData_Ensembles!$A$2:$A$1300, ""(?i)"" &amp; $E$1), 
  R"&amp;"EGEXMATCH(RawData_Ensembles!$A$2:$A$1300, ""(?i)"" &amp; $B71)
)"),0.127078438052228)</f>
        <v>0.1270784381</v>
      </c>
      <c r="G71" s="88">
        <f>IFERROR(__xludf.DUMMYFUNCTION("FILTER(
  RawData_Ensembles!$B$2:$B$1300, 
  REGEXMATCH(RawData_Ensembles!$A$2:$A$1300, ""(?i)(_|^)"" &amp; $A$1 &amp; ""(_|$)""), 
  REGEXMATCH(RawData_Ensembles!$A$2:$A$1300, ""(?i)"" &amp; $A68), 
  REGEXMATCH(RawData_Ensembles!$A$2:$A$1300, ""(?i)"" &amp; $G$1), 
  R"&amp;"EGEXMATCH(RawData_Ensembles!$A$2:$A$1300, ""(?i)"" &amp; $B71)
)"),0.340219137587558)</f>
        <v>0.3402191376</v>
      </c>
      <c r="H71" s="88">
        <f>IFERROR(__xludf.DUMMYFUNCTION("FILTER(
  RawData_Ensembles!$C$2:$G$1300, 
  REGEXMATCH(RawData_Ensembles!$A$2:$A$1300, ""(?i)(_|^)"" &amp; $A$1 &amp; ""(_|$)""), 
  REGEXMATCH(RawData_Ensembles!$A$2:$A$1300, ""(?i)"" &amp; $A68), 
  REGEXMATCH(RawData_Ensembles!$A$2:$A$1300, ""(?i)"" &amp; $G$1), 
  R"&amp;"EGEXMATCH(RawData_Ensembles!$A$2:$A$1300, ""(?i)"" &amp; $B71)
)"),0.161722486020877)</f>
        <v>0.161722486</v>
      </c>
      <c r="I71" s="11"/>
      <c r="J71" s="11"/>
      <c r="K71" s="11"/>
      <c r="L71" s="11"/>
    </row>
    <row r="72">
      <c r="A72" s="84" t="s">
        <v>2022</v>
      </c>
      <c r="B72" s="26" t="s">
        <v>26</v>
      </c>
      <c r="C72" s="88">
        <f>IFERROR(__xludf.DUMMYFUNCTION("FILTER(
    RawData_SemEval!$B$2:$B$800, 
    REGEXMATCH(RawData_SemEval!$A$2:$A$800, ""(?i)(_|^)"" &amp; $A$1 &amp; ""(_|$)""), 
    REGEXMATCH(RawData_SemEval!$A$2:$A$800, ""(?i)"" &amp; $A72), 
    REGEXMATCH(RawData_SemEval!$A$2:$A$800, ""(?i)"" &amp; $C$1),
    NOT("&amp;"REGEXMATCH(RawData_SemEval!$A$2:$A$800, ""(?i)ensemble""))
  )"),0.260835643596169)</f>
        <v>0.2608356436</v>
      </c>
      <c r="D72" s="88">
        <f>IFERROR(__xludf.DUMMYFUNCTION("FILTER(RawData_SemEval!$E$2:$E$800, 
  REGEXMATCH(RawData_SemEval!$A$2:$A$800, ""(?i)(_|^)"" &amp; $A$1 &amp; ""(_|$)""), 
  REGEXMATCH(RawData_SemEval!$A$2:$A$800, ""(?i)"" &amp; $A72), 
  REGEXMATCH(RawData_SemEval!$A$2:$A$800, ""(?i)"" &amp; $C$1), 
  NOT(REGEXMATCH(R"&amp;"awData_SemEval!$A$2:$A$800,  ""(?i)ensemble""))
)"),0.06056911772438)</f>
        <v>0.06056911772</v>
      </c>
      <c r="E72" s="88">
        <f>IFERROR(__xludf.DUMMYFUNCTION("FILTER(
    RawData_SemEval!$B$2:$B$800, 
    REGEXMATCH(RawData_SemEval!$A$2:$A$800, ""(?i)(_|^)"" &amp; $A$1 &amp; ""(_|$)""), 
    REGEXMATCH(RawData_SemEval!$A$2:$A$800, ""(?i)"" &amp; $A72), 
    REGEXMATCH(RawData_SemEval!$A$2:$A$800, ""(?i)"" &amp; $E$1),
    NOT("&amp;"REGEXMATCH(RawData_SemEval!$A$2:$A$800, ""(?i)ensemble""))
  )"),0.29827218687745)</f>
        <v>0.2982721869</v>
      </c>
      <c r="F72" s="88">
        <f>IFERROR(__xludf.DUMMYFUNCTION("FILTER(RawData_SemEval!$E$2:$E$800, 
  REGEXMATCH(RawData_SemEval!$A$2:$A$800, ""(?i)(_|^)"" &amp; $A$1 &amp; ""(_|$)""), 
  REGEXMATCH(RawData_SemEval!$A$2:$A$800, ""(?i)"" &amp; $A72), 
  REGEXMATCH(RawData_SemEval!$A$2:$A$800, ""(?i)"" &amp; $E$1), 
  NOT(REGEXMATCH(R"&amp;"awData_SemEval!$A$2:$A$800,  ""(?i)ensemble""))
)"),0.096927893451577)</f>
        <v>0.09692789345</v>
      </c>
      <c r="G72" s="88">
        <f>IFERROR(__xludf.DUMMYFUNCTION("FILTER(
    RawData_SemEval!$B$2:$B$800, 
    REGEXMATCH(RawData_SemEval!$A$2:$A$800, ""(?i)(_|^)"" &amp; $A$1 &amp; ""(_|$)""), 
    REGEXMATCH(RawData_SemEval!$A$2:$A$800, ""(?i)"" &amp; $A72), 
    REGEXMATCH(RawData_SemEval!$A$2:$A$800, ""(?i)"" &amp; $G$1),
    NOT("&amp;"REGEXMATCH(RawData_SemEval!$A$2:$A$800, ""(?i)ensemble""))
  )"),0.297130229419703)</f>
        <v>0.2971302294</v>
      </c>
      <c r="H72" s="88">
        <f>IFERROR(__xludf.DUMMYFUNCTION("FILTER(RawData_SemEval!$E$2:$E$800, 
  REGEXMATCH(RawData_SemEval!$A$2:$A$800, ""(?i)(_|^)"" &amp; $A$1 &amp; ""(_|$)""), 
  REGEXMATCH(RawData_SemEval!$A$2:$A$800, ""(?i)"" &amp; $A72), 
  REGEXMATCH(RawData_SemEval!$A$2:$A$800, ""(?i)"" &amp; $G$1), 
  NOT(REGEXMATCH(R"&amp;"awData_SemEval!$A$2:$A$800,  ""(?i)ensemble""))
)"),0.118694163326551)</f>
        <v>0.1186941633</v>
      </c>
    </row>
    <row r="73">
      <c r="A73" s="84"/>
      <c r="B73" s="26"/>
      <c r="C73" s="89" t="str">
        <f>IFERROR(__xludf.DUMMYFUNCTION("""("" &amp; 
TEXT(FILTER(RawData_SemEval!$C$2:$C$800, REGEXMATCH(RawData_SemEval!$A$2:$A$800, ""(?i)(_|^)"" &amp; $A$1 &amp; ""(_|$)""), REGEXMATCH(RawData_SemEval!$A$2:$A$800, ""(?i)"" &amp; $A72),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$A72), REGEXMA"&amp;"TCH(RawData_SemEval!$A$2:$A$800, ""(?i)"" &amp; $C$1), NOT(REGEXMATCH(RawData_SemEval!$A$2:$A$800, ""(?i)ensemble""))), ""0.00"") &amp; 
"")"""),"(0.23, 0.30)")</f>
        <v>(0.23, 0.30)</v>
      </c>
      <c r="D73" s="89" t="str">
        <f>IFERROR(__xludf.DUMMYFUNCTION("""("" &amp; 
TEXT(FILTER(RawData_SemEval!$F$2:$F$800, REGEXMATCH(RawData_SemEval!$A$2:$A$800, ""(?i)(_|^)"" &amp; $A$1 &amp; ""(_|$)""), REGEXMATCH(RawData_SemEval!$A$2:$A$800, ""(?i)"" &amp; $A72),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$A72), REGEXMA"&amp;"TCH(RawData_SemEval!$A$2:$A$800, ""(?i)"" &amp; $C$1), NOT(REGEXMATCH(RawData_SemEval!$A$2:$A$800, ""(?i)ensemble""))), ""0.00"") &amp; 
"")"""),"(0.04, 0.08)")</f>
        <v>(0.04, 0.08)</v>
      </c>
      <c r="E73" s="89" t="str">
        <f>IFERROR(__xludf.DUMMYFUNCTION("""("" &amp; 
TEXT(FILTER(RawData_SemEval!$C$2:$C$800, REGEXMATCH(RawData_SemEval!$A$2:$A$800, ""(?i)(_|^)"" &amp; $A$1 &amp; ""(_|$)""), REGEXMATCH(RawData_SemEval!$A$2:$A$800, ""(?i)"" &amp; $A72),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$A72), REGEXMA"&amp;"TCH(RawData_SemEval!$A$2:$A$800, ""(?i)"" &amp; $E$1), NOT(REGEXMATCH(RawData_SemEval!$A$2:$A$800, ""(?i)ensemble""))), ""0.00"") &amp; 
"")"""),"(0.26, 0.33)")</f>
        <v>(0.26, 0.33)</v>
      </c>
      <c r="F73" s="89" t="str">
        <f>IFERROR(__xludf.DUMMYFUNCTION("""("" &amp; 
TEXT(FILTER(RawData_SemEval!$F$2:$F$800, REGEXMATCH(RawData_SemEval!$A$2:$A$800, ""(?i)(_|^)"" &amp; $A$1 &amp; ""(_|$)""), REGEXMATCH(RawData_SemEval!$A$2:$A$800, ""(?i)"" &amp; $A72),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$A72), REGEXMA"&amp;"TCH(RawData_SemEval!$A$2:$A$800, ""(?i)"" &amp; $E$1), NOT(REGEXMATCH(RawData_SemEval!$A$2:$A$800, ""(?i)ensemble""))), ""0.00"") &amp; 
"")"""),"(0.07, 0.12)")</f>
        <v>(0.07, 0.12)</v>
      </c>
      <c r="G73" s="89" t="str">
        <f>IFERROR(__xludf.DUMMYFUNCTION("""("" &amp; 
TEXT(FILTER(RawData_SemEval!$C$2:$C$800, REGEXMATCH(RawData_SemEval!$A$2:$A$800, ""(?i)(_|^)"" &amp; $A$1 &amp; ""(_|$)""), REGEXMATCH(RawData_SemEval!$A$2:$A$800, ""(?i)"" &amp; $A72),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$A72), REGEXMA"&amp;"TCH(RawData_SemEval!$A$2:$A$800, ""(?i)"" &amp; $G$1), NOT(REGEXMATCH(RawData_SemEval!$A$2:$A$800, ""(?i)ensemble""))), ""0.00"") &amp; 
"")"""),"(0.26, 0.34)")</f>
        <v>(0.26, 0.34)</v>
      </c>
      <c r="H73" s="89" t="str">
        <f>IFERROR(__xludf.DUMMYFUNCTION("""("" &amp; 
TEXT(FILTER(RawData_SemEval!$F$2:$F$800, REGEXMATCH(RawData_SemEval!$A$2:$A$800, ""(?i)(_|^)"" &amp; $A$1 &amp; ""(_|$)""), REGEXMATCH(RawData_SemEval!$A$2:$A$800, ""(?i)"" &amp; $A72),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$A72), REGEXMA"&amp;"TCH(RawData_SemEval!$A$2:$A$800, ""(?i)"" &amp; $G$1), NOT(REGEXMATCH(RawData_SemEval!$A$2:$A$800, ""(?i)ensemble""))), ""0.00"") &amp; 
"")"""),"(0.09, 0.15)")</f>
        <v>(0.09, 0.15)</v>
      </c>
    </row>
    <row r="74">
      <c r="A74" s="84"/>
      <c r="B74" s="26" t="s">
        <v>74</v>
      </c>
      <c r="C74" s="88">
        <f>IFERROR(__xludf.DUMMYFUNCTION("FILTER(
  RawData_Ensembles!$B$2:$B$1300, 
  REGEXMATCH(RawData_Ensembles!$A$2:$A$1300, ""(?i)(_|^)"" &amp; $A$1 &amp; ""(_|$)""), 
  REGEXMATCH(RawData_Ensembles!$A$2:$A$1300, ""(?i)"" &amp; $A72), 
  REGEXMATCH(RawData_Ensembles!$A$2:$A$1300, ""(?i)"" &amp; $C$1), 
  R"&amp;"EGEXMATCH(RawData_Ensembles!$A$2:$A$1300, ""(?i)"" &amp; $B74)
)"),0.129525737420474)</f>
        <v>0.1295257374</v>
      </c>
      <c r="D74" s="88">
        <f>IFERROR(__xludf.DUMMYFUNCTION("FILTER(
  RawData_Ensembles!$C$2:$C$1300, 
  REGEXMATCH(RawData_Ensembles!$A$2:$A$1300, ""(?i)(_|^)"" &amp; $A$1 &amp; ""(_|$)""), 
  REGEXMATCH(RawData_Ensembles!$A$2:$A$1300, ""(?i)"" &amp; $A72), 
  REGEXMATCH(RawData_Ensembles!$A$2:$A$1300, ""(?i)"" &amp; $C$1), 
  R"&amp;"EGEXMATCH(RawData_Ensembles!$A$2:$A$1300, ""(?i)"" &amp; $B74)
)"),0.037539361223571)</f>
        <v>0.03753936122</v>
      </c>
      <c r="E74" s="88">
        <f>IFERROR(__xludf.DUMMYFUNCTION("FILTER(
  RawData_Ensembles!$B$2:$B$1300, 
  REGEXMATCH(RawData_Ensembles!$A$2:$A$1300, ""(?i)(_|^)"" &amp; $A$1 &amp; ""(_|$)""), 
  REGEXMATCH(RawData_Ensembles!$A$2:$A$1300, ""(?i)"" &amp; $A72), 
  REGEXMATCH(RawData_Ensembles!$A$2:$A$1300, ""(?i)"" &amp; $E$1), 
  R"&amp;"EGEXMATCH(RawData_Ensembles!$A$2:$A$1300, ""(?i)"" &amp; $B74)
)"),0.267498875393612)</f>
        <v>0.2674988754</v>
      </c>
      <c r="F74" s="88">
        <f>IFERROR(__xludf.DUMMYFUNCTION("FILTER(
  RawData_Ensembles!$C$2:$C$1300, 
  REGEXMATCH(RawData_Ensembles!$A$2:$A$1300, ""(?i)(_|^)"" &amp; $A$1 &amp; ""(_|$)""), 
  REGEXMATCH(RawData_Ensembles!$A$2:$A$1300, ""(?i)"" &amp; $A72), 
  REGEXMATCH(RawData_Ensembles!$A$2:$A$1300, ""(?i)"" &amp; $E$1), 
  R"&amp;"EGEXMATCH(RawData_Ensembles!$A$2:$A$1300, ""(?i)"" &amp; $B74)
)"),0.092465429307534)</f>
        <v>0.09246542931</v>
      </c>
      <c r="G74" s="88">
        <f>IFERROR(__xludf.DUMMYFUNCTION("FILTER(
  RawData_Ensembles!$B$2:$B$1300, 
  REGEXMATCH(RawData_Ensembles!$A$2:$A$1300, ""(?i)(_|^)"" &amp; $A$1 &amp; ""(_|$)""), 
  REGEXMATCH(RawData_Ensembles!$A$2:$A$1300, ""(?i)"" &amp; $A72), 
  REGEXMATCH(RawData_Ensembles!$A$2:$A$1300, ""(?i)"" &amp; $G$1), 
  R"&amp;"EGEXMATCH(RawData_Ensembles!$A$2:$A$1300, ""(?i)"" &amp; $B74)
)"),0.281996658312447)</f>
        <v>0.2819966583</v>
      </c>
      <c r="H74" s="88">
        <f>IFERROR(__xludf.DUMMYFUNCTION("FILTER(
  RawData_Ensembles!$C$2:$G$1300, 
  REGEXMATCH(RawData_Ensembles!$A$2:$A$1300, ""(?i)(_|^)"" &amp; $A$1 &amp; ""(_|$)""), 
  REGEXMATCH(RawData_Ensembles!$A$2:$A$1300, ""(?i)"" &amp; $A72), 
  REGEXMATCH(RawData_Ensembles!$A$2:$A$1300, ""(?i)"" &amp; $G$1), 
  R"&amp;"EGEXMATCH(RawData_Ensembles!$A$2:$A$1300, ""(?i)"" &amp; $B74)
)"),0.114075398285924)</f>
        <v>0.1140753983</v>
      </c>
      <c r="I74" s="11"/>
      <c r="J74" s="11"/>
      <c r="K74" s="11"/>
      <c r="L74" s="11"/>
    </row>
    <row r="75">
      <c r="A75" s="84"/>
      <c r="B75" s="91" t="s">
        <v>75</v>
      </c>
      <c r="C75" s="88">
        <f>IFERROR(__xludf.DUMMYFUNCTION("FILTER(
  RawData_Ensembles!$B$2:$B$1300, 
  REGEXMATCH(RawData_Ensembles!$A$2:$A$1300, ""(?i)(_|^)"" &amp; $A$1 &amp; ""(_|$)""), 
  REGEXMATCH(RawData_Ensembles!$A$2:$A$1300, ""(?i)"" &amp; $A72), 
  REGEXMATCH(RawData_Ensembles!$A$2:$A$1300, ""(?i)"" &amp; $C$1), 
  R"&amp;"EGEXMATCH(RawData_Ensembles!$A$2:$A$1300, ""(?i)"" &amp; $B75)
)"),0.318281718281718)</f>
        <v>0.3182817183</v>
      </c>
      <c r="D75" s="88">
        <f>IFERROR(__xludf.DUMMYFUNCTION("FILTER(
  RawData_Ensembles!$C$2:$C$1300, 
  REGEXMATCH(RawData_Ensembles!$A$2:$A$1300, ""(?i)(_|^)"" &amp; $A$1 &amp; ""(_|$)""), 
  REGEXMATCH(RawData_Ensembles!$A$2:$A$1300, ""(?i)"" &amp; $A72), 
  REGEXMATCH(RawData_Ensembles!$A$2:$A$1300, ""(?i)"" &amp; $C$1), 
  R"&amp;"EGEXMATCH(RawData_Ensembles!$A$2:$A$1300, ""(?i)"" &amp; $B75)
)"),0.089269435018422)</f>
        <v>0.08926943502</v>
      </c>
      <c r="E75" s="88">
        <f>IFERROR(__xludf.DUMMYFUNCTION("FILTER(
  RawData_Ensembles!$B$2:$B$1300, 
  REGEXMATCH(RawData_Ensembles!$A$2:$A$1300, ""(?i)(_|^)"" &amp; $A$1 &amp; ""(_|$)""), 
  REGEXMATCH(RawData_Ensembles!$A$2:$A$1300, ""(?i)"" &amp; $A72), 
  REGEXMATCH(RawData_Ensembles!$A$2:$A$1300, ""(?i)"" &amp; $E$1), 
  R"&amp;"EGEXMATCH(RawData_Ensembles!$A$2:$A$1300, ""(?i)"" &amp; $B75)
)"),0.330267977636398)</f>
        <v>0.3302679776</v>
      </c>
      <c r="F75" s="88">
        <f>IFERROR(__xludf.DUMMYFUNCTION("FILTER(
  RawData_Ensembles!$C$2:$C$1300, 
  REGEXMATCH(RawData_Ensembles!$A$2:$A$1300, ""(?i)(_|^)"" &amp; $A$1 &amp; ""(_|$)""), 
  REGEXMATCH(RawData_Ensembles!$A$2:$A$1300, ""(?i)"" &amp; $A72), 
  REGEXMATCH(RawData_Ensembles!$A$2:$A$1300, ""(?i)"" &amp; $E$1), 
  R"&amp;"EGEXMATCH(RawData_Ensembles!$A$2:$A$1300, ""(?i)"" &amp; $B75)
)"),0.118135747452251)</f>
        <v>0.1181357475</v>
      </c>
      <c r="G75" s="88">
        <f>IFERROR(__xludf.DUMMYFUNCTION("FILTER(
  RawData_Ensembles!$B$2:$B$1300, 
  REGEXMATCH(RawData_Ensembles!$A$2:$A$1300, ""(?i)(_|^)"" &amp; $A$1 &amp; ""(_|$)""), 
  REGEXMATCH(RawData_Ensembles!$A$2:$A$1300, ""(?i)"" &amp; $A72), 
  REGEXMATCH(RawData_Ensembles!$A$2:$A$1300, ""(?i)"" &amp; $G$1), 
  R"&amp;"EGEXMATCH(RawData_Ensembles!$A$2:$A$1300, ""(?i)"" &amp; $B75)
)"),0.32624509992931)</f>
        <v>0.3262450999</v>
      </c>
      <c r="H75" s="88">
        <f>IFERROR(__xludf.DUMMYFUNCTION("FILTER(
  RawData_Ensembles!$C$2:$G$1300, 
  REGEXMATCH(RawData_Ensembles!$A$2:$A$1300, ""(?i)(_|^)"" &amp; $A$1 &amp; ""(_|$)""), 
  REGEXMATCH(RawData_Ensembles!$A$2:$A$1300, ""(?i)"" &amp; $A72), 
  REGEXMATCH(RawData_Ensembles!$A$2:$A$1300, ""(?i)"" &amp; $G$1), 
  R"&amp;"EGEXMATCH(RawData_Ensembles!$A$2:$A$1300, ""(?i)"" &amp; $B75)
)"),0.136365001064929)</f>
        <v>0.1363650011</v>
      </c>
      <c r="I75" s="11"/>
      <c r="J75" s="11"/>
      <c r="K75" s="11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84" t="s">
        <v>2030</v>
      </c>
      <c r="B76" s="26" t="s">
        <v>20</v>
      </c>
      <c r="C76" s="88">
        <f>IFERROR(__xludf.DUMMYFUNCTION("FILTER(
    RawData_SemEval!$B$2:$B$800, 
    REGEXMATCH(RawData_SemEval!$A$2:$A$800, ""(?i)(_|^)"" &amp; $A$1 &amp; ""(_|$)""), 
    REGEXMATCH(RawData_SemEval!$A$2:$A$800, ""(?i)"" &amp; $A76), 
    REGEXMATCH(RawData_SemEval!$A$2:$A$800, ""(?i)"" &amp; $C$1),
    NOT("&amp;"REGEXMATCH(RawData_SemEval!$A$2:$A$800, ""(?i)ensemble""))
  )"),0.286909321380373)</f>
        <v>0.2869093214</v>
      </c>
      <c r="D76" s="88">
        <f>IFERROR(__xludf.DUMMYFUNCTION("FILTER(RawData_SemEval!$E$2:$E$800, 
  REGEXMATCH(RawData_SemEval!$A$2:$A$800, ""(?i)(_|^)"" &amp; $A$1 &amp; ""(_|$)""), 
  REGEXMATCH(RawData_SemEval!$A$2:$A$800, ""(?i)"" &amp; $A76), 
  REGEXMATCH(RawData_SemEval!$A$2:$A$800, ""(?i)"" &amp; $C$1), 
  NOT(REGEXMATCH(R"&amp;"awData_SemEval!$A$2:$A$800,  ""(?i)ensemble""))
)"),0.040739516331621)</f>
        <v>0.04073951633</v>
      </c>
      <c r="E76" s="88">
        <f>IFERROR(__xludf.DUMMYFUNCTION("FILTER(
    RawData_SemEval!$B$2:$B$800, 
    REGEXMATCH(RawData_SemEval!$A$2:$A$800, ""(?i)(_|^)"" &amp; $A$1 &amp; ""(_|$)""), 
    REGEXMATCH(RawData_SemEval!$A$2:$A$800, ""(?i)"" &amp; $A76), 
    REGEXMATCH(RawData_SemEval!$A$2:$A$800, ""(?i)"" &amp; $E$1),
    NOT("&amp;"REGEXMATCH(RawData_SemEval!$A$2:$A$800, ""(?i)ensemble""))
  )"),0.319426180836707)</f>
        <v>0.3194261808</v>
      </c>
      <c r="F76" s="88">
        <f>IFERROR(__xludf.DUMMYFUNCTION("FILTER(RawData_SemEval!$E$2:$E$800, 
  REGEXMATCH(RawData_SemEval!$A$2:$A$800, ""(?i)(_|^)"" &amp; $A$1 &amp; ""(_|$)""), 
  REGEXMATCH(RawData_SemEval!$A$2:$A$800, ""(?i)"" &amp; $A76), 
  REGEXMATCH(RawData_SemEval!$A$2:$A$800, ""(?i)"" &amp; $E$1), 
  NOT(REGEXMATCH(R"&amp;"awData_SemEval!$A$2:$A$800,  ""(?i)ensemble""))
)"),0.06204916136495)</f>
        <v>0.06204916136</v>
      </c>
      <c r="G76" s="88">
        <f>IFERROR(__xludf.DUMMYFUNCTION("FILTER(
    RawData_SemEval!$B$2:$B$800, 
    REGEXMATCH(RawData_SemEval!$A$2:$A$800, ""(?i)(_|^)"" &amp; $A$1 &amp; ""(_|$)""), 
    REGEXMATCH(RawData_SemEval!$A$2:$A$800, ""(?i)"" &amp; $A76), 
    REGEXMATCH(RawData_SemEval!$A$2:$A$800, ""(?i)"" &amp; $G$1),
    NOT("&amp;"REGEXMATCH(RawData_SemEval!$A$2:$A$800, ""(?i)ensemble""))
  )"),0.322483844225949)</f>
        <v>0.3224838442</v>
      </c>
      <c r="H76" s="88">
        <f>IFERROR(__xludf.DUMMYFUNCTION("FILTER(RawData_SemEval!$E$2:$E$800, 
  REGEXMATCH(RawData_SemEval!$A$2:$A$800, ""(?i)(_|^)"" &amp; $A$1 &amp; ""(_|$)""), 
  REGEXMATCH(RawData_SemEval!$A$2:$A$800, ""(?i)"" &amp; $A76), 
  REGEXMATCH(RawData_SemEval!$A$2:$A$800, ""(?i)"" &amp; $G$1), 
  NOT(REGEXMATCH(R"&amp;"awData_SemEval!$A$2:$A$800,  ""(?i)ensemble""))
)"),0.137031714619164)</f>
        <v>0.1370317146</v>
      </c>
    </row>
    <row r="77">
      <c r="A77" s="84"/>
      <c r="B77" s="26"/>
      <c r="C77" s="89" t="str">
        <f>IFERROR(__xludf.DUMMYFUNCTION("""("" &amp; 
TEXT(FILTER(RawData_SemEval!$C$2:$C$800, REGEXMATCH(RawData_SemEval!$A$2:$A$800, ""(?i)(_|^)"" &amp; $A$1 &amp; ""(_|$)""), REGEXMATCH(RawData_SemEval!$A$2:$A$800, ""(?i)"" &amp; $A76),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$A76), REGEXMA"&amp;"TCH(RawData_SemEval!$A$2:$A$800, ""(?i)"" &amp; $C$1), NOT(REGEXMATCH(RawData_SemEval!$A$2:$A$800, ""(?i)ensemble""))), ""0.00"") &amp; 
"")"""),"(0.25, 0.32)")</f>
        <v>(0.25, 0.32)</v>
      </c>
      <c r="D77" s="89" t="str">
        <f>IFERROR(__xludf.DUMMYFUNCTION("""("" &amp; 
TEXT(FILTER(RawData_SemEval!$F$2:$F$800, REGEXMATCH(RawData_SemEval!$A$2:$A$800, ""(?i)(_|^)"" &amp; $A$1 &amp; ""(_|$)""), REGEXMATCH(RawData_SemEval!$A$2:$A$800, ""(?i)"" &amp; $A76),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$A76), REGEXMA"&amp;"TCH(RawData_SemEval!$A$2:$A$800, ""(?i)"" &amp; $C$1), NOT(REGEXMATCH(RawData_SemEval!$A$2:$A$800, ""(?i)ensemble""))), ""0.00"") &amp; 
"")"""),"(0.02, 0.06)")</f>
        <v>(0.02, 0.06)</v>
      </c>
      <c r="E77" s="89" t="str">
        <f>IFERROR(__xludf.DUMMYFUNCTION("""("" &amp; 
TEXT(FILTER(RawData_SemEval!$C$2:$C$800, REGEXMATCH(RawData_SemEval!$A$2:$A$800, ""(?i)(_|^)"" &amp; $A$1 &amp; ""(_|$)""), REGEXMATCH(RawData_SemEval!$A$2:$A$800, ""(?i)"" &amp; $A76),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$A76), REGEXMA"&amp;"TCH(RawData_SemEval!$A$2:$A$800, ""(?i)"" &amp; $E$1), NOT(REGEXMATCH(RawData_SemEval!$A$2:$A$800, ""(?i)ensemble""))), ""0.00"") &amp; 
"")"""),"(0.28, 0.36)")</f>
        <v>(0.28, 0.36)</v>
      </c>
      <c r="F77" s="89" t="str">
        <f>IFERROR(__xludf.DUMMYFUNCTION("""("" &amp; 
TEXT(FILTER(RawData_SemEval!$F$2:$F$800, REGEXMATCH(RawData_SemEval!$A$2:$A$800, ""(?i)(_|^)"" &amp; $A$1 &amp; ""(_|$)""), REGEXMATCH(RawData_SemEval!$A$2:$A$800, ""(?i)"" &amp; $A76),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$A76), REGEXMA"&amp;"TCH(RawData_SemEval!$A$2:$A$800, ""(?i)"" &amp; $E$1), NOT(REGEXMATCH(RawData_SemEval!$A$2:$A$800, ""(?i)ensemble""))), ""0.00"") &amp; 
"")"""),"(0.04, 0.08)")</f>
        <v>(0.04, 0.08)</v>
      </c>
      <c r="G77" s="89" t="str">
        <f>IFERROR(__xludf.DUMMYFUNCTION("""("" &amp; 
TEXT(FILTER(RawData_SemEval!$C$2:$C$800, REGEXMATCH(RawData_SemEval!$A$2:$A$800, ""(?i)(_|^)"" &amp; $A$1 &amp; ""(_|$)""), REGEXMATCH(RawData_SemEval!$A$2:$A$800, ""(?i)"" &amp; $A76),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$A76), REGEXMA"&amp;"TCH(RawData_SemEval!$A$2:$A$800, ""(?i)"" &amp; $G$1), NOT(REGEXMATCH(RawData_SemEval!$A$2:$A$800, ""(?i)ensemble""))), ""0.00"") &amp; 
"")"""),"(0.28, 0.37)")</f>
        <v>(0.28, 0.37)</v>
      </c>
      <c r="H77" s="89" t="str">
        <f>IFERROR(__xludf.DUMMYFUNCTION("""("" &amp; 
TEXT(FILTER(RawData_SemEval!$F$2:$F$800, REGEXMATCH(RawData_SemEval!$A$2:$A$800, ""(?i)(_|^)"" &amp; $A$1 &amp; ""(_|$)""), REGEXMATCH(RawData_SemEval!$A$2:$A$800, ""(?i)"" &amp; $A76),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$A76), REGEXMA"&amp;"TCH(RawData_SemEval!$A$2:$A$800, ""(?i)"" &amp; $G$1), NOT(REGEXMATCH(RawData_SemEval!$A$2:$A$800, ""(?i)ensemble""))), ""0.00"") &amp; 
"")"""),"(0.11, 0.17)")</f>
        <v>(0.11, 0.17)</v>
      </c>
    </row>
    <row r="78">
      <c r="A78" s="84"/>
      <c r="B78" s="26" t="s">
        <v>74</v>
      </c>
      <c r="C78" s="88">
        <f>IFERROR(__xludf.DUMMYFUNCTION("FILTER(
  RawData_Ensembles!$B$2:$B$1300, 
  REGEXMATCH(RawData_Ensembles!$A$2:$A$1300, ""(?i)(_|^)"" &amp; $A$1 &amp; ""(_|$)""), 
  REGEXMATCH(RawData_Ensembles!$A$2:$A$1300, ""(?i)"" &amp; $A76), 
  REGEXMATCH(RawData_Ensembles!$A$2:$A$1300, ""(?i)"" &amp; $C$1), 
  R"&amp;"EGEXMATCH(RawData_Ensembles!$A$2:$A$1300, ""(?i)"" &amp; $B78)
)"),0.256660882976672)</f>
        <v>0.256660883</v>
      </c>
      <c r="D78" s="88">
        <f>IFERROR(__xludf.DUMMYFUNCTION("FILTER(
  RawData_Ensembles!$C$2:$C$1300, 
  REGEXMATCH(RawData_Ensembles!$A$2:$A$1300, ""(?i)(_|^)"" &amp; $A$1 &amp; ""(_|$)""), 
  REGEXMATCH(RawData_Ensembles!$A$2:$A$1300, ""(?i)"" &amp; $A76), 
  REGEXMATCH(RawData_Ensembles!$A$2:$A$1300, ""(?i)"" &amp; $C$1), 
  R"&amp;"EGEXMATCH(RawData_Ensembles!$A$2:$A$1300, ""(?i)"" &amp; $B78)
)"),0.032812801233853)</f>
        <v>0.03281280123</v>
      </c>
      <c r="E78" s="88">
        <f>IFERROR(__xludf.DUMMYFUNCTION("FILTER(
  RawData_Ensembles!$B$2:$B$1300, 
  REGEXMATCH(RawData_Ensembles!$A$2:$A$1300, ""(?i)(_|^)"" &amp; $A$1 &amp; ""(_|$)""), 
  REGEXMATCH(RawData_Ensembles!$A$2:$A$1300, ""(?i)"" &amp; $A76), 
  REGEXMATCH(RawData_Ensembles!$A$2:$A$1300, ""(?i)"" &amp; $E$1), 
  R"&amp;"EGEXMATCH(RawData_Ensembles!$A$2:$A$1300, ""(?i)"" &amp; $B78)
)"),0.277276524644945)</f>
        <v>0.2772765246</v>
      </c>
      <c r="F78" s="88">
        <f>IFERROR(__xludf.DUMMYFUNCTION("FILTER(
  RawData_Ensembles!$C$2:$C$1300, 
  REGEXMATCH(RawData_Ensembles!$A$2:$A$1300, ""(?i)(_|^)"" &amp; $A$1 &amp; ""(_|$)""), 
  REGEXMATCH(RawData_Ensembles!$A$2:$A$1300, ""(?i)"" &amp; $A76), 
  REGEXMATCH(RawData_Ensembles!$A$2:$A$1300, ""(?i)"" &amp; $E$1), 
  R"&amp;"EGEXMATCH(RawData_Ensembles!$A$2:$A$1300, ""(?i)"" &amp; $B78)
)"),0.058614484930274)</f>
        <v>0.05861448493</v>
      </c>
      <c r="G78" s="88">
        <f>IFERROR(__xludf.DUMMYFUNCTION("FILTER(
  RawData_Ensembles!$B$2:$B$1300, 
  REGEXMATCH(RawData_Ensembles!$A$2:$A$1300, ""(?i)(_|^)"" &amp; $A$1 &amp; ""(_|$)""), 
  REGEXMATCH(RawData_Ensembles!$A$2:$A$1300, ""(?i)"" &amp; $A76), 
  REGEXMATCH(RawData_Ensembles!$A$2:$A$1300, ""(?i)"" &amp; $G$1), 
  R"&amp;"EGEXMATCH(RawData_Ensembles!$A$2:$A$1300, ""(?i)"" &amp; $B78)
)"),0.305070368228262)</f>
        <v>0.3050703682</v>
      </c>
      <c r="H78" s="88">
        <f>IFERROR(__xludf.DUMMYFUNCTION("FILTER(
  RawData_Ensembles!$C$2:$G$1300, 
  REGEXMATCH(RawData_Ensembles!$A$2:$A$1300, ""(?i)(_|^)"" &amp; $A$1 &amp; ""(_|$)""), 
  REGEXMATCH(RawData_Ensembles!$A$2:$A$1300, ""(?i)"" &amp; $A76), 
  REGEXMATCH(RawData_Ensembles!$A$2:$A$1300, ""(?i)"" &amp; $G$1), 
  R"&amp;"EGEXMATCH(RawData_Ensembles!$A$2:$A$1300, ""(?i)"" &amp; $B78)
)"),0.141568170920397)</f>
        <v>0.1415681709</v>
      </c>
      <c r="I78" s="11"/>
      <c r="J78" s="11"/>
      <c r="K78" s="11"/>
      <c r="L78" s="11"/>
    </row>
    <row r="79">
      <c r="A79" s="84"/>
      <c r="B79" s="91" t="s">
        <v>75</v>
      </c>
      <c r="C79" s="88">
        <f>IFERROR(__xludf.DUMMYFUNCTION("FILTER(
  RawData_Ensembles!$B$2:$B$1300, 
  REGEXMATCH(RawData_Ensembles!$A$2:$A$1300, ""(?i)(_|^)"" &amp; $A$1 &amp; ""(_|$)""), 
  REGEXMATCH(RawData_Ensembles!$A$2:$A$1300, ""(?i)"" &amp; $A76), 
  REGEXMATCH(RawData_Ensembles!$A$2:$A$1300, ""(?i)"" &amp; $C$1), 
  R"&amp;"EGEXMATCH(RawData_Ensembles!$A$2:$A$1300, ""(?i)"" &amp; $B79)
)"),0.30201348359243)</f>
        <v>0.3020134836</v>
      </c>
      <c r="D79" s="88">
        <f>IFERROR(__xludf.DUMMYFUNCTION("FILTER(
  RawData_Ensembles!$C$2:$C$1300, 
  REGEXMATCH(RawData_Ensembles!$A$2:$A$1300, ""(?i)(_|^)"" &amp; $A$1 &amp; ""(_|$)""), 
  REGEXMATCH(RawData_Ensembles!$A$2:$A$1300, ""(?i)"" &amp; $A76), 
  REGEXMATCH(RawData_Ensembles!$A$2:$A$1300, ""(?i)"" &amp; $C$1), 
  R"&amp;"EGEXMATCH(RawData_Ensembles!$A$2:$A$1300, ""(?i)"" &amp; $B79)
)"),0.062430675487355)</f>
        <v>0.06243067549</v>
      </c>
      <c r="E79" s="88">
        <f>IFERROR(__xludf.DUMMYFUNCTION("FILTER(
  RawData_Ensembles!$B$2:$B$1300, 
  REGEXMATCH(RawData_Ensembles!$A$2:$A$1300, ""(?i)(_|^)"" &amp; $A$1 &amp; ""(_|$)""), 
  REGEXMATCH(RawData_Ensembles!$A$2:$A$1300, ""(?i)"" &amp; $A76), 
  REGEXMATCH(RawData_Ensembles!$A$2:$A$1300, ""(?i)"" &amp; $E$1), 
  R"&amp;"EGEXMATCH(RawData_Ensembles!$A$2:$A$1300, ""(?i)"" &amp; $B79)
)"),0.367656612393454)</f>
        <v>0.3676566124</v>
      </c>
      <c r="F79" s="88">
        <f>IFERROR(__xludf.DUMMYFUNCTION("FILTER(
  RawData_Ensembles!$C$2:$C$1300, 
  REGEXMATCH(RawData_Ensembles!$A$2:$A$1300, ""(?i)(_|^)"" &amp; $A$1 &amp; ""(_|$)""), 
  REGEXMATCH(RawData_Ensembles!$A$2:$A$1300, ""(?i)"" &amp; $A76), 
  REGEXMATCH(RawData_Ensembles!$A$2:$A$1300, ""(?i)"" &amp; $E$1), 
  R"&amp;"EGEXMATCH(RawData_Ensembles!$A$2:$A$1300, ""(?i)"" &amp; $B79)
)"),0.085627271963304)</f>
        <v>0.08562727196</v>
      </c>
      <c r="G79" s="88">
        <f>IFERROR(__xludf.DUMMYFUNCTION("FILTER(
  RawData_Ensembles!$B$2:$B$1300, 
  REGEXMATCH(RawData_Ensembles!$A$2:$A$1300, ""(?i)(_|^)"" &amp; $A$1 &amp; ""(_|$)""), 
  REGEXMATCH(RawData_Ensembles!$A$2:$A$1300, ""(?i)"" &amp; $A76), 
  REGEXMATCH(RawData_Ensembles!$A$2:$A$1300, ""(?i)"" &amp; $G$1), 
  R"&amp;"EGEXMATCH(RawData_Ensembles!$A$2:$A$1300, ""(?i)"" &amp; $B79)
)"),0.331226375963218)</f>
        <v>0.331226376</v>
      </c>
      <c r="H79" s="88">
        <f>IFERROR(__xludf.DUMMYFUNCTION("FILTER(
  RawData_Ensembles!$C$2:$G$1300, 
  REGEXMATCH(RawData_Ensembles!$A$2:$A$1300, ""(?i)(_|^)"" &amp; $A$1 &amp; ""(_|$)""), 
  REGEXMATCH(RawData_Ensembles!$A$2:$A$1300, ""(?i)"" &amp; $A76), 
  REGEXMATCH(RawData_Ensembles!$A$2:$A$1300, ""(?i)"" &amp; $G$1), 
  R"&amp;"EGEXMATCH(RawData_Ensembles!$A$2:$A$1300, ""(?i)"" &amp; $B79)
)"),0.158116912195264)</f>
        <v>0.1581169122</v>
      </c>
      <c r="I79" s="11"/>
      <c r="J79" s="11"/>
      <c r="K79" s="11"/>
      <c r="L79" s="11"/>
    </row>
    <row r="80">
      <c r="A80" s="84" t="s">
        <v>2040</v>
      </c>
      <c r="B80" s="26" t="s">
        <v>24</v>
      </c>
      <c r="C80" s="88">
        <f>IFERROR(__xludf.DUMMYFUNCTION("FILTER(
    RawData_SemEval!$B$2:$B$800, 
    REGEXMATCH(RawData_SemEval!$A$2:$A$800, ""(?i)(_|^)"" &amp; $A$1 &amp; ""(_|$)""), 
    REGEXMATCH(RawData_SemEval!$A$2:$A$800, ""(?i)"" &amp; $A80), 
    REGEXMATCH(RawData_SemEval!$A$2:$A$800, ""(?i)"" &amp; $C$1),
NOT(REGE"&amp;"XMATCH(RawData_SemEval!$A$2:$A$800, ""(?i)complete"")), 
    NOT(REGEXMATCH(RawData_SemEval!$A$2:$A$800, ""(?i)ensemble""))
  )"),0.273295328063749)</f>
        <v>0.2732953281</v>
      </c>
      <c r="D80" s="88">
        <f>IFERROR(__xludf.DUMMYFUNCTION("FILTER(RawData_SemEval!$E$2:$E$800, 
  REGEXMATCH(RawData_SemEval!$A$2:$A$800, ""(?i)(_|^)"" &amp; $A$1 &amp; ""(_|$)""), 
  REGEXMATCH(RawData_SemEval!$A$2:$A$800, ""(?i)"" &amp; $A80), 
  REGEXMATCH(RawData_SemEval!$A$2:$A$800, ""(?i)"" &amp; $C$1), 
NOT(REGEXMATCH(Raw"&amp;"Data_SemEval!$A$2:$A$800, ""(?i)complete"")), 
  NOT(REGEXMATCH(RawData_SemEval!$A$2:$A$800,  ""(?i)ensemble""))
)"),0.051847278160436)</f>
        <v>0.05184727816</v>
      </c>
      <c r="E80" s="88">
        <f>IFERROR(__xludf.DUMMYFUNCTION("FILTER(
    RawData_SemEval!$B$2:$B$800, 
    REGEXMATCH(RawData_SemEval!$A$2:$A$800, ""(?i)(_|^)"" &amp; $A$1 &amp; ""(_|$)""), 
    REGEXMATCH(RawData_SemEval!$A$2:$A$800, ""(?i)"" &amp; $A80), 
    REGEXMATCH(RawData_SemEval!$A$2:$A$800, ""(?i)"" &amp; $E$1),
NOT(REGE"&amp;"XMATCH(RawData_SemEval!$A$2:$A$800, ""(?i)complete"")), 
    NOT(REGEXMATCH(RawData_SemEval!$A$2:$A$800, ""(?i)ensemble""))
  )"),0.303224179037336)</f>
        <v>0.303224179</v>
      </c>
      <c r="F80" s="88">
        <f>IFERROR(__xludf.DUMMYFUNCTION("FILTER(RawData_SemEval!$E$2:$E$800, 
  REGEXMATCH(RawData_SemEval!$A$2:$A$800, ""(?i)(_|^)"" &amp; $A$1 &amp; ""(_|$)""), 
  REGEXMATCH(RawData_SemEval!$A$2:$A$800, ""(?i)"" &amp; $A80), 
  REGEXMATCH(RawData_SemEval!$A$2:$A$800, ""(?i)"" &amp; $E$1), 
NOT(REGEXMATCH(Raw"&amp;"Data_SemEval!$A$2:$A$800, ""(?i)complete"")), 
  NOT(REGEXMATCH(RawData_SemEval!$A$2:$A$800,  ""(?i)ensemble""))
)"),0.06794643339117)</f>
        <v>0.06794643339</v>
      </c>
      <c r="G80" s="88">
        <f>IFERROR(__xludf.DUMMYFUNCTION("FILTER(
    RawData_SemEval!$B$2:$B$800, 
    REGEXMATCH(RawData_SemEval!$A$2:$A$800, ""(?i)(_|^)"" &amp; $A$1 &amp; ""(_|$)""), 
    REGEXMATCH(RawData_SemEval!$A$2:$A$800, ""(?i)"" &amp; $A80), 
    REGEXMATCH(RawData_SemEval!$A$2:$A$800, ""(?i)"" &amp; $G$1),
NOT(REGE"&amp;"XMATCH(RawData_SemEval!$A$2:$A$800, ""(?i)complete"")), 
    NOT(REGEXMATCH(RawData_SemEval!$A$2:$A$800, ""(?i)ensemble""))
  )"),0.301315471370734)</f>
        <v>0.3013154714</v>
      </c>
      <c r="H80" s="88">
        <f>IFERROR(__xludf.DUMMYFUNCTION("FILTER(RawData_SemEval!$E$2:$E$800, 
  REGEXMATCH(RawData_SemEval!$A$2:$A$800, ""(?i)(_|^)"" &amp; $A$1 &amp; ""(_|$)""), 
  REGEXMATCH(RawData_SemEval!$A$2:$A$800, ""(?i)"" &amp; $A80), 
  REGEXMATCH(RawData_SemEval!$A$2:$A$800, ""(?i)"" &amp; $G$1), 
NOT(REGEXMATCH(Raw"&amp;"Data_SemEval!$A$2:$A$800, ""(?i)complete"")), 
  NOT(REGEXMATCH(RawData_SemEval!$A$2:$A$800,  ""(?i)ensemble""))
)"),0.111016939313498)</f>
        <v>0.1110169393</v>
      </c>
    </row>
    <row r="81">
      <c r="A81" s="84"/>
      <c r="B81" s="26"/>
      <c r="C81" s="89" t="str">
        <f>IFERROR(__xludf.DUMMYFUNCTION("""("" &amp; 
TEXT(FILTER(RawData_SemEval!$C$2:$C$800, REGEXMATCH(RawData_SemEval!$A$2:$A$800, ""(?i)(_|^)"" &amp; $A$1 &amp; ""(_|$)""), REGEXMATCH(RawData_SemEval!$A$2:$A$800, ""(?i)"" &amp; $A80), REGEXMATCH(RawData_SemEval!$A$2:$A$800, ""(?i)"" &amp; $C$1),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$A80), REGEXMATCH(RawData_SemEval!$A$2:$A$800, ""(?i)"" &amp; $C$1), NOT(REGEXMATCH(RawData_SemEval!$A$2:$A$800, ""(?i)complete"")), NOT(REGEXMATCH(RawData_SemEval!$A$2:$A$800, ""(?i)ensemble""))), ""0.00"") &amp;"&amp;" 
"")"""),"(0.24, 0.31)")</f>
        <v>(0.24, 0.31)</v>
      </c>
      <c r="D81" s="89" t="str">
        <f>IFERROR(__xludf.DUMMYFUNCTION("""("" &amp; 
TEXT(FILTER(RawData_SemEval!$F$2:$F$800, REGEXMATCH(RawData_SemEval!$A$2:$A$800, ""(?i)(_|^)"" &amp; $A$1 &amp; ""(_|$)""), REGEXMATCH(RawData_SemEval!$A$2:$A$800, ""(?i)"" &amp; $A80), REGEXMATCH(RawData_SemEval!$A$2:$A$800, ""(?i)"" &amp; $C$1),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$A80), REGEXMATCH(RawData_SemEval!$A$2:$A$800, ""(?i)"" &amp; $C$1), NOT(REGEXMATCH(RawData_SemEval!$A$2:$A$800, ""(?i)complete"")), NOT(REGEXMATCH(RawData_SemEval!$A$2:$A$800, ""(?i)ensemble""))), ""0.00"") &amp;"&amp;" 
"")"""),"(0.03, 0.07)")</f>
        <v>(0.03, 0.07)</v>
      </c>
      <c r="E81" s="89" t="str">
        <f>IFERROR(__xludf.DUMMYFUNCTION("""("" &amp; 
TEXT(FILTER(RawData_SemEval!$C$2:$C$800, REGEXMATCH(RawData_SemEval!$A$2:$A$800, ""(?i)(_|^)"" &amp; $A$1 &amp; ""(_|$)""), REGEXMATCH(RawData_SemEval!$A$2:$A$800, ""(?i)"" &amp; $A80), REGEXMATCH(RawData_SemEval!$A$2:$A$800, ""(?i)"" &amp; $E$1),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$A80), REGEXMATCH(RawData_SemEval!$A$2:$A$800, ""(?i)"" &amp; $E$1), NOT(REGEXMATCH(RawData_SemEval!$A$2:$A$800, ""(?i)complete"")), NOT(REGEXMATCH(RawData_SemEval!$A$2:$A$800, ""(?i)ensemble""))), ""0.00"") &amp;"&amp;" 
"")"""),"(0.27, 0.34)")</f>
        <v>(0.27, 0.34)</v>
      </c>
      <c r="F81" s="89" t="str">
        <f>IFERROR(__xludf.DUMMYFUNCTION("""("" &amp; 
TEXT(FILTER(RawData_SemEval!$F$2:$F$800, REGEXMATCH(RawData_SemEval!$A$2:$A$800, ""(?i)(_|^)"" &amp; $A$1 &amp; ""(_|$)""), REGEXMATCH(RawData_SemEval!$A$2:$A$800, ""(?i)"" &amp; $A80), REGEXMATCH(RawData_SemEval!$A$2:$A$800, ""(?i)"" &amp; $E$1),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$A80), REGEXMATCH(RawData_SemEval!$A$2:$A$800, ""(?i)"" &amp; $E$1), NOT(REGEXMATCH(RawData_SemEval!$A$2:$A$800, ""(?i)complete"")), NOT(REGEXMATCH(RawData_SemEval!$A$2:$A$800, ""(?i)ensemble""))), ""0.00"") &amp;"&amp;" 
"")"""),"(0.05, 0.09)")</f>
        <v>(0.05, 0.09)</v>
      </c>
      <c r="G81" s="89" t="str">
        <f>IFERROR(__xludf.DUMMYFUNCTION("""("" &amp; 
TEXT(FILTER(RawData_SemEval!$C$2:$C$800, REGEXMATCH(RawData_SemEval!$A$2:$A$800, ""(?i)(_|^)"" &amp; $A$1 &amp; ""(_|$)""), REGEXMATCH(RawData_SemEval!$A$2:$A$800, ""(?i)"" &amp; $A80), REGEXMATCH(RawData_SemEval!$A$2:$A$800, ""(?i)"" &amp; $G$1),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$A80), REGEXMATCH(RawData_SemEval!$A$2:$A$800, ""(?i)"" &amp; $G$1), NOT(REGEXMATCH(RawData_SemEval!$A$2:$A$800, ""(?i)complete"")), NOT(REGEXMATCH(RawData_SemEval!$A$2:$A$800, ""(?i)ensemble""))), ""0.00"") &amp;"&amp;" 
"")"""),"(0.26, 0.34)")</f>
        <v>(0.26, 0.34)</v>
      </c>
      <c r="H81" s="89" t="str">
        <f>IFERROR(__xludf.DUMMYFUNCTION("""("" &amp; 
TEXT(FILTER(RawData_SemEval!$F$2:$F$800, REGEXMATCH(RawData_SemEval!$A$2:$A$800, ""(?i)(_|^)"" &amp; $A$1 &amp; ""(_|$)""), REGEXMATCH(RawData_SemEval!$A$2:$A$800, ""(?i)"" &amp; $A80), REGEXMATCH(RawData_SemEval!$A$2:$A$800, ""(?i)"" &amp; $G$1),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$A80), REGEXMATCH(RawData_SemEval!$A$2:$A$800, ""(?i)"" &amp; $G$1), NOT(REGEXMATCH(RawData_SemEval!$A$2:$A$800, ""(?i)complete"")), NOT(REGEXMATCH(RawData_SemEval!$A$2:$A$800, ""(?i)ensemble""))), ""0.00"") &amp;"&amp;" 
"")"""),"(0.08, 0.14)")</f>
        <v>(0.08, 0.14)</v>
      </c>
    </row>
    <row r="82">
      <c r="A82" s="84"/>
      <c r="B82" s="26" t="s">
        <v>74</v>
      </c>
      <c r="C82" s="88">
        <f>IFERROR(__xludf.DUMMYFUNCTION("FILTER(
  RawData_Ensembles!$B$2:$B$1300, 
  REGEXMATCH(RawData_Ensembles!$A$2:$A$1300, ""(?i)(_|^)"" &amp; $A$1 &amp; ""(_|$)""), 
  REGEXMATCH(RawData_Ensembles!$A$2:$A$1300, ""(?i)"" &amp; $A80), 
  REGEXMATCH(RawData_Ensembles!$A$2:$A$1300, ""(?i)"" &amp; $C$1), 
NOT"&amp;"(REGEXMATCH(RawData_Ensembles!$A$2:$A$1300, ""(?i)complete"")), 
  REGEXMATCH(RawData_Ensembles!$A$2:$A$1300, ""(?i)"" &amp; $B82)
)"),0.212116830537883)</f>
        <v>0.2121168305</v>
      </c>
      <c r="D82" s="88">
        <f>IFERROR(__xludf.DUMMYFUNCTION("FILTER(
  RawData_Ensembles!$C$2:$C$1300, 
  REGEXMATCH(RawData_Ensembles!$A$2:$A$1300, ""(?i)(_|^)"" &amp; $A$1 &amp; ""(_|$)""), 
  REGEXMATCH(RawData_Ensembles!$A$2:$A$1300, ""(?i)"" &amp; $A80), 
  REGEXMATCH(RawData_Ensembles!$A$2:$A$1300, ""(?i)"" &amp; $C$1), 
NOT"&amp;"(REGEXMATCH(RawData_Ensembles!$A$2:$A$1300, ""(?i)complete"")), 
  REGEXMATCH(RawData_Ensembles!$A$2:$A$1300, ""(?i)"" &amp; $B82)
)"),0.043657219973009)</f>
        <v>0.04365721997</v>
      </c>
      <c r="E82" s="88">
        <f>IFERROR(__xludf.DUMMYFUNCTION("FILTER(
  RawData_Ensembles!$B$2:$B$1300, 
  REGEXMATCH(RawData_Ensembles!$A$2:$A$1300, ""(?i)(_|^)"" &amp; $A$1 &amp; ""(_|$)""), 
  REGEXMATCH(RawData_Ensembles!$A$2:$A$1300, ""(?i)"" &amp; $A80), 
  REGEXMATCH(RawData_Ensembles!$A$2:$A$1300, ""(?i)"" &amp; $E$1), 
NOT"&amp;"(REGEXMATCH(RawData_Ensembles!$A$2:$A$1300, ""(?i)complete"")), 
  REGEXMATCH(RawData_Ensembles!$A$2:$A$1300, ""(?i)"" &amp; $B82)
)"),0.24816528500739)</f>
        <v>0.248165285</v>
      </c>
      <c r="F82" s="88">
        <f>IFERROR(__xludf.DUMMYFUNCTION("FILTER(
  RawData_Ensembles!$C$2:$C$1300, 
  REGEXMATCH(RawData_Ensembles!$A$2:$A$1300, ""(?i)(_|^)"" &amp; $A$1 &amp; ""(_|$)""), 
  REGEXMATCH(RawData_Ensembles!$A$2:$A$1300, ""(?i)"" &amp; $A80), 
  REGEXMATCH(RawData_Ensembles!$A$2:$A$1300, ""(?i)"" &amp; $E$1), 
NOT"&amp;"(REGEXMATCH(RawData_Ensembles!$A$2:$A$1300, ""(?i)complete"")), 
  REGEXMATCH(RawData_Ensembles!$A$2:$A$1300, ""(?i)"" &amp; $B82)
)"),0.061869417132575)</f>
        <v>0.06186941713</v>
      </c>
      <c r="G82" s="88">
        <f>IFERROR(__xludf.DUMMYFUNCTION("FILTER(
  RawData_Ensembles!$B$2:$B$1300, 
  REGEXMATCH(RawData_Ensembles!$A$2:$A$1300, ""(?i)(_|^)"" &amp; $A$1 &amp; ""(_|$)""), 
  REGEXMATCH(RawData_Ensembles!$A$2:$A$1300, ""(?i)"" &amp; $A80), 
  REGEXMATCH(RawData_Ensembles!$A$2:$A$1300, ""(?i)"" &amp; $G$1), 
NOT"&amp;"(REGEXMATCH(RawData_Ensembles!$A$2:$A$1300, ""(?i)complete"")), 
  REGEXMATCH(RawData_Ensembles!$A$2:$A$1300, ""(?i)"" &amp; $B82)
)"),0.306329927382558)</f>
        <v>0.3063299274</v>
      </c>
      <c r="H82" s="88">
        <f>IFERROR(__xludf.DUMMYFUNCTION("FILTER(
  RawData_Ensembles!$C$2:$G$1300, 
  REGEXMATCH(RawData_Ensembles!$A$2:$A$1300, ""(?i)(_|^)"" &amp; $A$1 &amp; ""(_|$)""), 
  REGEXMATCH(RawData_Ensembles!$A$2:$A$1300, ""(?i)"" &amp; $A80), 
  REGEXMATCH(RawData_Ensembles!$A$2:$A$1300, ""(?i)"" &amp; $G$1), 
NOT"&amp;"(REGEXMATCH(RawData_Ensembles!$A$2:$A$1300, ""(?i)complete"")), 
  REGEXMATCH(RawData_Ensembles!$A$2:$A$1300, ""(?i)"" &amp; $B82)
)"),0.105314658351095)</f>
        <v>0.1053146584</v>
      </c>
      <c r="I82" s="11"/>
      <c r="J82" s="11"/>
      <c r="K82" s="11"/>
      <c r="L82" s="11"/>
    </row>
    <row r="83">
      <c r="A83" s="84"/>
      <c r="B83" s="91" t="s">
        <v>75</v>
      </c>
      <c r="C83" s="88">
        <f>IFERROR(__xludf.DUMMYFUNCTION("FILTER(
  RawData_Ensembles!$B$2:$B$1300, 
  REGEXMATCH(RawData_Ensembles!$A$2:$A$1300, ""(?i)(_|^)"" &amp; $A$1 &amp; ""(_|$)""), 
  REGEXMATCH(RawData_Ensembles!$A$2:$A$1300, ""(?i)"" &amp; $A80), 
  REGEXMATCH(RawData_Ensembles!$A$2:$A$1300, ""(?i)"" &amp; $C$1), 
NOT"&amp;"(REGEXMATCH(RawData_Ensembles!$A$2:$A$1300, ""(?i)complete"")), 
  REGEXMATCH(RawData_Ensembles!$A$2:$A$1300, ""(?i)"" &amp; $B83)
)"),0.311155511155511)</f>
        <v>0.3111555112</v>
      </c>
      <c r="D83" s="88">
        <f>IFERROR(__xludf.DUMMYFUNCTION("FILTER(
  RawData_Ensembles!$C$2:$C$1300, 
  REGEXMATCH(RawData_Ensembles!$A$2:$A$1300, ""(?i)(_|^)"" &amp; $A$1 &amp; ""(_|$)""), 
  REGEXMATCH(RawData_Ensembles!$A$2:$A$1300, ""(?i)"" &amp; $A80), 
  REGEXMATCH(RawData_Ensembles!$A$2:$A$1300, ""(?i)"" &amp; $C$1), 
NOT"&amp;"(REGEXMATCH(RawData_Ensembles!$A$2:$A$1300, ""(?i)complete"")), 
  REGEXMATCH(RawData_Ensembles!$A$2:$A$1300, ""(?i)"" &amp; $B83)
)"),0.070738849412343)</f>
        <v>0.07073884941</v>
      </c>
      <c r="E83" s="88">
        <f>IFERROR(__xludf.DUMMYFUNCTION("FILTER(
  RawData_Ensembles!$B$2:$B$1300, 
  REGEXMATCH(RawData_Ensembles!$A$2:$A$1300, ""(?i)(_|^)"" &amp; $A$1 &amp; ""(_|$)""), 
  REGEXMATCH(RawData_Ensembles!$A$2:$A$1300, ""(?i)"" &amp; $A80), 
  REGEXMATCH(RawData_Ensembles!$A$2:$A$1300, ""(?i)"" &amp; $E$1), 
NOT"&amp;"(REGEXMATCH(RawData_Ensembles!$A$2:$A$1300, ""(?i)complete"")), 
  REGEXMATCH(RawData_Ensembles!$A$2:$A$1300, ""(?i)"" &amp; $B83)
)"),0.348030332240858)</f>
        <v>0.3480303322</v>
      </c>
      <c r="F83" s="88">
        <f>IFERROR(__xludf.DUMMYFUNCTION("FILTER(
  RawData_Ensembles!$C$2:$C$1300, 
  REGEXMATCH(RawData_Ensembles!$A$2:$A$1300, ""(?i)(_|^)"" &amp; $A$1 &amp; ""(_|$)""), 
  REGEXMATCH(RawData_Ensembles!$A$2:$A$1300, ""(?i)"" &amp; $A80), 
  REGEXMATCH(RawData_Ensembles!$A$2:$A$1300, ""(?i)"" &amp; $E$1), 
NOT"&amp;"(REGEXMATCH(RawData_Ensembles!$A$2:$A$1300, ""(?i)complete"")), 
  REGEXMATCH(RawData_Ensembles!$A$2:$A$1300, ""(?i)"" &amp; $B83)
)"),0.085415842393694)</f>
        <v>0.08541584239</v>
      </c>
      <c r="G83" s="88">
        <f>IFERROR(__xludf.DUMMYFUNCTION("FILTER(
  RawData_Ensembles!$B$2:$B$1300, 
  REGEXMATCH(RawData_Ensembles!$A$2:$A$1300, ""(?i)(_|^)"" &amp; $A$1 &amp; ""(_|$)""), 
  REGEXMATCH(RawData_Ensembles!$A$2:$A$1300, ""(?i)"" &amp; $A80), 
  REGEXMATCH(RawData_Ensembles!$A$2:$A$1300, ""(?i)"" &amp; $G$1), 
NOT"&amp;"(REGEXMATCH(RawData_Ensembles!$A$2:$A$1300, ""(?i)complete"")), 
  REGEXMATCH(RawData_Ensembles!$A$2:$A$1300, ""(?i)"" &amp; $B83)
)"),0.329326521431784)</f>
        <v>0.3293265214</v>
      </c>
      <c r="H83" s="88">
        <f>IFERROR(__xludf.DUMMYFUNCTION("FILTER(
  RawData_Ensembles!$C$2:$G$1300, 
  REGEXMATCH(RawData_Ensembles!$A$2:$A$1300, ""(?i)(_|^)"" &amp; $A$1 &amp; ""(_|$)""), 
  REGEXMATCH(RawData_Ensembles!$A$2:$A$1300, ""(?i)"" &amp; $A80), 
  REGEXMATCH(RawData_Ensembles!$A$2:$A$1300, ""(?i)"" &amp; $G$1), 
NOT"&amp;"(REGEXMATCH(RawData_Ensembles!$A$2:$A$1300, ""(?i)complete"")), 
  REGEXMATCH(RawData_Ensembles!$A$2:$A$1300, ""(?i)"" &amp; $B83)
)"),0.139962004733378)</f>
        <v>0.1399620047</v>
      </c>
      <c r="I83" s="11"/>
      <c r="J83" s="11"/>
      <c r="K83" s="11"/>
      <c r="L83" s="11"/>
    </row>
    <row r="84">
      <c r="A84" s="84" t="s">
        <v>2137</v>
      </c>
      <c r="B84" s="26" t="s">
        <v>28</v>
      </c>
      <c r="C84" s="93" t="str">
        <f>IFERROR(__xludf.DUMMYFUNCTION("FILTER(
    RawData_SemEval!$B$2:$B$800, 
    REGEXMATCH(RawData_SemEval!$A$2:$A$800, ""(?i)(_|^)"" &amp; $A$1 &amp; ""(_|$)""), 
    REGEXMATCH(RawData_SemEval!$A$2:$A$800, ""(?i)"" &amp; $A84), 
    REGEXMATCH(RawData_SemEval!$A$2:$A$800, ""(?i)"" &amp; $C$1),
    NOT("&amp;"REGEXMATCH(RawData_SemEval!$A$2:$A$800, ""(?i)ensemble""))
  )"),"")</f>
        <v/>
      </c>
      <c r="D84" s="93" t="str">
        <f>IFERROR(__xludf.DUMMYFUNCTION("FILTER(RawData_SemEval!$E$2:$E$800, 
  REGEXMATCH(RawData_SemEval!$A$2:$A$800, ""(?i)(_|^)"" &amp; $A$1 &amp; ""(_|$)""), 
  REGEXMATCH(RawData_SemEval!$A$2:$A$800, ""(?i)"" &amp; $A84), 
  REGEXMATCH(RawData_SemEval!$A$2:$A$800, ""(?i)"" &amp; $C$1), 
  NOT(REGEXMATCH(R"&amp;"awData_SemEval!$A$2:$A$800,  ""(?i)ensemble""))
)"),"")</f>
        <v/>
      </c>
      <c r="E84" s="88">
        <f>IFERROR(__xludf.DUMMYFUNCTION("FILTER(
    RawData_SemEval!$B$2:$B$800, 
    REGEXMATCH(RawData_SemEval!$A$2:$A$800, ""(?i)(_|^)"" &amp; $A$1 &amp; ""(_|$)""), 
    REGEXMATCH(RawData_SemEval!$A$2:$A$800, ""(?i)"" &amp; $A84), 
    REGEXMATCH(RawData_SemEval!$A$2:$A$800, ""(?i)"" &amp; $E$1),
    NOT("&amp;"REGEXMATCH(RawData_SemEval!$A$2:$A$800, ""(?i)ensemble""))
  )"),0.300439374076216)</f>
        <v>0.3004393741</v>
      </c>
      <c r="F84" s="88">
        <f>IFERROR(__xludf.DUMMYFUNCTION("FILTER(RawData_SemEval!$E$2:$E$800, 
  REGEXMATCH(RawData_SemEval!$A$2:$A$800, ""(?i)(_|^)"" &amp; $A$1 &amp; ""(_|$)""), 
  REGEXMATCH(RawData_SemEval!$A$2:$A$800, ""(?i)"" &amp; $A84), 
  REGEXMATCH(RawData_SemEval!$A$2:$A$800, ""(?i)"" &amp; $E$1), 
  NOT(REGEXMATCH(R"&amp;"awData_SemEval!$A$2:$A$800,  ""(?i)ensemble""))
)"),0.040366798406272)</f>
        <v>0.04036679841</v>
      </c>
      <c r="G84" s="88">
        <f>IFERROR(__xludf.DUMMYFUNCTION("FILTER(
    RawData_SemEval!$B$2:$B$800, 
    REGEXMATCH(RawData_SemEval!$A$2:$A$800, ""(?i)(_|^)"" &amp; $A$1 &amp; ""(_|$)""), 
    REGEXMATCH(RawData_SemEval!$A$2:$A$800, ""(?i)"" &amp; $A84), 
    REGEXMATCH(RawData_SemEval!$A$2:$A$800, ""(?i)"" &amp; $G$1),
    NOT("&amp;"REGEXMATCH(RawData_SemEval!$A$2:$A$800, ""(?i)ensemble""))
  )"),0.288692243429085)</f>
        <v>0.2886922434</v>
      </c>
      <c r="H84" s="88">
        <f>IFERROR(__xludf.DUMMYFUNCTION("FILTER(RawData_SemEval!$E$2:$E$800, 
  REGEXMATCH(RawData_SemEval!$A$2:$A$800, ""(?i)(_|^)"" &amp; $A$1 &amp; ""(_|$)""), 
  REGEXMATCH(RawData_SemEval!$A$2:$A$800, ""(?i)"" &amp; $A84), 
  REGEXMATCH(RawData_SemEval!$A$2:$A$800, ""(?i)"" &amp; $G$1), 
  NOT(REGEXMATCH(R"&amp;"awData_SemEval!$A$2:$A$800,  ""(?i)ensemble""))
)"),0.125237610500161)</f>
        <v>0.1252376105</v>
      </c>
    </row>
    <row r="85">
      <c r="A85" s="84"/>
      <c r="B85" s="26"/>
      <c r="C85" s="93" t="str">
        <f>IFERROR(__xludf.DUMMYFUNCTION("""("" &amp; 
TEXT(FILTER(RawData_SemEval!$C$2:$C$800, REGEXMATCH(RawData_SemEval!$A$2:$A$800, ""(?i)(_|^)"" &amp; $A$1 &amp; ""(_|$)""), REGEXMATCH(RawData_SemEval!$A$2:$A$800, ""(?i)"" &amp; $A84),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$A84), REGEXMA"&amp;"TCH(RawData_SemEval!$A$2:$A$800, ""(?i)"" &amp; $C$1), NOT(REGEXMATCH(RawData_SemEval!$A$2:$A$800, ""(?i)ensemble""))), ""0.00"") &amp; 
"")"""),"(0.00, 0.00)")</f>
        <v>(0.00, 0.00)</v>
      </c>
      <c r="D85" s="93" t="str">
        <f>IFERROR(__xludf.DUMMYFUNCTION("""("" &amp; 
TEXT(FILTER(RawData_SemEval!$F$2:$F$800, REGEXMATCH(RawData_SemEval!$A$2:$A$800, ""(?i)(_|^)"" &amp; $A$1 &amp; ""(_|$)""), REGEXMATCH(RawData_SemEval!$A$2:$A$800, ""(?i)"" &amp; $A84),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$A84), REGEXMA"&amp;"TCH(RawData_SemEval!$A$2:$A$800, ""(?i)"" &amp; $C$1), NOT(REGEXMATCH(RawData_SemEval!$A$2:$A$800, ""(?i)ensemble""))), ""0.00"") &amp; 
"")"""),"(0.00, 0.00)")</f>
        <v>(0.00, 0.00)</v>
      </c>
      <c r="E85" s="89" t="str">
        <f>IFERROR(__xludf.DUMMYFUNCTION("""("" &amp; 
TEXT(FILTER(RawData_SemEval!$C$2:$C$800, REGEXMATCH(RawData_SemEval!$A$2:$A$800, ""(?i)(_|^)"" &amp; $A$1 &amp; ""(_|$)""), REGEXMATCH(RawData_SemEval!$A$2:$A$800, ""(?i)"" &amp; $A84),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$A84), REGEXMA"&amp;"TCH(RawData_SemEval!$A$2:$A$800, ""(?i)"" &amp; $E$1), NOT(REGEXMATCH(RawData_SemEval!$A$2:$A$800, ""(?i)ensemble""))), ""0.00"") &amp; 
"")"""),"(0.26, 0.34)")</f>
        <v>(0.26, 0.34)</v>
      </c>
      <c r="F85" s="89" t="str">
        <f>IFERROR(__xludf.DUMMYFUNCTION("""("" &amp; 
TEXT(FILTER(RawData_SemEval!$F$2:$F$800, REGEXMATCH(RawData_SemEval!$A$2:$A$800, ""(?i)(_|^)"" &amp; $A$1 &amp; ""(_|$)""), REGEXMATCH(RawData_SemEval!$A$2:$A$800, ""(?i)"" &amp; $A84),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$A84), REGEXMA"&amp;"TCH(RawData_SemEval!$A$2:$A$800, ""(?i)"" &amp; $E$1), NOT(REGEXMATCH(RawData_SemEval!$A$2:$A$800, ""(?i)ensemble""))), ""0.00"") &amp; 
"")"""),"(0.02, 0.06)")</f>
        <v>(0.02, 0.06)</v>
      </c>
      <c r="G85" s="89" t="str">
        <f>IFERROR(__xludf.DUMMYFUNCTION("""("" &amp; 
TEXT(FILTER(RawData_SemEval!$C$2:$C$800, REGEXMATCH(RawData_SemEval!$A$2:$A$800, ""(?i)(_|^)"" &amp; $A$1 &amp; ""(_|$)""), REGEXMATCH(RawData_SemEval!$A$2:$A$800, ""(?i)"" &amp; $A84),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$A84), REGEXMA"&amp;"TCH(RawData_SemEval!$A$2:$A$800, ""(?i)"" &amp; $G$1), NOT(REGEXMATCH(RawData_SemEval!$A$2:$A$800, ""(?i)ensemble""))), ""0.00"") &amp; 
"")"""),"(0.25, 0.33)")</f>
        <v>(0.25, 0.33)</v>
      </c>
      <c r="H85" s="89" t="str">
        <f>IFERROR(__xludf.DUMMYFUNCTION("""("" &amp; 
TEXT(FILTER(RawData_SemEval!$F$2:$F$800, REGEXMATCH(RawData_SemEval!$A$2:$A$800, ""(?i)(_|^)"" &amp; $A$1 &amp; ""(_|$)""), REGEXMATCH(RawData_SemEval!$A$2:$A$800, ""(?i)"" &amp; $A84),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$A84), REGEXMA"&amp;"TCH(RawData_SemEval!$A$2:$A$800, ""(?i)"" &amp; $G$1), NOT(REGEXMATCH(RawData_SemEval!$A$2:$A$800, ""(?i)ensemble""))), ""0.00"") &amp; 
"")"""),"(0.09, 0.16)")</f>
        <v>(0.09, 0.16)</v>
      </c>
    </row>
    <row r="86">
      <c r="A86" s="84"/>
      <c r="B86" s="26" t="s">
        <v>74</v>
      </c>
      <c r="C86" s="93" t="str">
        <f>IFERROR(__xludf.DUMMYFUNCTION("FILTER(
  RawData_Ensembles!$B$2:$B$1300, 
  REGEXMATCH(RawData_Ensembles!$A$2:$A$1300, ""(?i)(_|^)"" &amp; $A$1 &amp; ""(_|$)""), 
  REGEXMATCH(RawData_Ensembles!$A$2:$A$1300, ""(?i)"" &amp; $A84), 
  REGEXMATCH(RawData_Ensembles!$A$2:$A$1300, ""(?i)"" &amp; $C$1), 
  R"&amp;"EGEXMATCH(RawData_Ensembles!$A$2:$A$1300, ""(?i)"" &amp; $B86)
)"),"")</f>
        <v/>
      </c>
      <c r="D86" s="93" t="str">
        <f>IFERROR(__xludf.DUMMYFUNCTION("FILTER(
  RawData_Ensembles!$C$2:$C$1300, 
  REGEXMATCH(RawData_Ensembles!$A$2:$A$1300, ""(?i)(_|^)"" &amp; $A$1 &amp; ""(_|$)""), 
  REGEXMATCH(RawData_Ensembles!$A$2:$A$1300, ""(?i)"" &amp; $A84), 
  REGEXMATCH(RawData_Ensembles!$A$2:$A$1300, ""(?i)"" &amp; $C$1), 
  R"&amp;"EGEXMATCH(RawData_Ensembles!$A$2:$A$1300, ""(?i)"" &amp; $B86)
)"),"")</f>
        <v/>
      </c>
      <c r="E86" s="88">
        <f>IFERROR(__xludf.DUMMYFUNCTION("FILTER(
  RawData_Ensembles!$B$2:$B$1300, 
  REGEXMATCH(RawData_Ensembles!$A$2:$A$1300, ""(?i)(_|^)"" &amp; $A$1 &amp; ""(_|$)""), 
  REGEXMATCH(RawData_Ensembles!$A$2:$A$1300, ""(?i)"" &amp; $A84), 
  REGEXMATCH(RawData_Ensembles!$A$2:$A$1300, ""(?i)"" &amp; $E$1), 
  R"&amp;"EGEXMATCH(RawData_Ensembles!$A$2:$A$1300, ""(?i)"" &amp; $B86)
)"),0.223950902898271)</f>
        <v>0.2239509029</v>
      </c>
      <c r="F86" s="88">
        <f>IFERROR(__xludf.DUMMYFUNCTION("FILTER(
  RawData_Ensembles!$C$2:$C$1300, 
  REGEXMATCH(RawData_Ensembles!$A$2:$A$1300, ""(?i)(_|^)"" &amp; $A$1 &amp; ""(_|$)""), 
  REGEXMATCH(RawData_Ensembles!$A$2:$A$1300, ""(?i)"" &amp; $A84), 
  REGEXMATCH(RawData_Ensembles!$A$2:$A$1300, ""(?i)"" &amp; $E$1), 
  R"&amp;"EGEXMATCH(RawData_Ensembles!$A$2:$A$1300, ""(?i)"" &amp; $B86)
)"),0.027674956622325)</f>
        <v>0.02767495662</v>
      </c>
      <c r="G86" s="88">
        <f>IFERROR(__xludf.DUMMYFUNCTION("FILTER(
  RawData_Ensembles!$B$2:$B$1300, 
  REGEXMATCH(RawData_Ensembles!$A$2:$A$1300, ""(?i)(_|^)"" &amp; $A$1 &amp; ""(_|$)""), 
  REGEXMATCH(RawData_Ensembles!$A$2:$A$1300, ""(?i)"" &amp; $A84), 
  REGEXMATCH(RawData_Ensembles!$A$2:$A$1300, ""(?i)"" &amp; $G$1), 
  R"&amp;"EGEXMATCH(RawData_Ensembles!$A$2:$A$1300, ""(?i)"" &amp; $B86)
)"),0.235135916714864)</f>
        <v>0.2351359167</v>
      </c>
      <c r="H86" s="88">
        <f>IFERROR(__xludf.DUMMYFUNCTION("FILTER(
  RawData_Ensembles!$C$2:$G$1300, 
  REGEXMATCH(RawData_Ensembles!$A$2:$A$1300, ""(?i)(_|^)"" &amp; $A$1 &amp; ""(_|$)""), 
  REGEXMATCH(RawData_Ensembles!$A$2:$A$1300, ""(?i)"" &amp; $A84), 
  REGEXMATCH(RawData_Ensembles!$A$2:$A$1300, ""(?i)"" &amp; $G$1), 
  R"&amp;"EGEXMATCH(RawData_Ensembles!$A$2:$A$1300, ""(?i)"" &amp; $B86)
)"),0.106860391070917)</f>
        <v>0.1068603911</v>
      </c>
      <c r="I86" s="11"/>
      <c r="J86" s="11"/>
      <c r="K86" s="11"/>
      <c r="L86" s="11"/>
    </row>
    <row r="87">
      <c r="A87" s="84"/>
      <c r="B87" s="91" t="s">
        <v>75</v>
      </c>
      <c r="C87" s="93" t="str">
        <f>IFERROR(__xludf.DUMMYFUNCTION("FILTER(
  RawData_Ensembles!$B$2:$B$1300, 
  REGEXMATCH(RawData_Ensembles!$A$2:$A$1300, ""(?i)(_|^)"" &amp; $A$1 &amp; ""(_|$)""), 
  REGEXMATCH(RawData_Ensembles!$A$2:$A$1300, ""(?i)"" &amp; $A84), 
  REGEXMATCH(RawData_Ensembles!$A$2:$A$1300, ""(?i)"" &amp; $C$1), 
  R"&amp;"EGEXMATCH(RawData_Ensembles!$A$2:$A$1300, ""(?i)"" &amp; $B87)
)"),"")</f>
        <v/>
      </c>
      <c r="D87" s="93" t="str">
        <f>IFERROR(__xludf.DUMMYFUNCTION("FILTER(
  RawData_Ensembles!$C$2:$C$1300, 
  REGEXMATCH(RawData_Ensembles!$A$2:$A$1300, ""(?i)(_|^)"" &amp; $A$1 &amp; ""(_|$)""), 
  REGEXMATCH(RawData_Ensembles!$A$2:$A$1300, ""(?i)"" &amp; $A84), 
  REGEXMATCH(RawData_Ensembles!$A$2:$A$1300, ""(?i)"" &amp; $C$1), 
  R"&amp;"EGEXMATCH(RawData_Ensembles!$A$2:$A$1300, ""(?i)"" &amp; $B87)
)"),"")</f>
        <v/>
      </c>
      <c r="E87" s="88">
        <f>IFERROR(__xludf.DUMMYFUNCTION("FILTER(
  RawData_Ensembles!$B$2:$B$1300, 
  REGEXMATCH(RawData_Ensembles!$A$2:$A$1300, ""(?i)(_|^)"" &amp; $A$1 &amp; ""(_|$)""), 
  REGEXMATCH(RawData_Ensembles!$A$2:$A$1300, ""(?i)"" &amp; $A84), 
  REGEXMATCH(RawData_Ensembles!$A$2:$A$1300, ""(?i)"" &amp; $E$1), 
  R"&amp;"EGEXMATCH(RawData_Ensembles!$A$2:$A$1300, ""(?i)"" &amp; $B87)
)"),0.358168439747387)</f>
        <v>0.3581684397</v>
      </c>
      <c r="F87" s="88">
        <f>IFERROR(__xludf.DUMMYFUNCTION("FILTER(
  RawData_Ensembles!$C$2:$C$1300, 
  REGEXMATCH(RawData_Ensembles!$A$2:$A$1300, ""(?i)(_|^)"" &amp; $A$1 &amp; ""(_|$)""), 
  REGEXMATCH(RawData_Ensembles!$A$2:$A$1300, ""(?i)"" &amp; $A84), 
  REGEXMATCH(RawData_Ensembles!$A$2:$A$1300, ""(?i)"" &amp; $E$1), 
  R"&amp;"EGEXMATCH(RawData_Ensembles!$A$2:$A$1300, ""(?i)"" &amp; $B87)
)"),0.064909719160731)</f>
        <v>0.06490971916</v>
      </c>
      <c r="G87" s="88">
        <f>IFERROR(__xludf.DUMMYFUNCTION("FILTER(
  RawData_Ensembles!$B$2:$B$1300, 
  REGEXMATCH(RawData_Ensembles!$A$2:$A$1300, ""(?i)(_|^)"" &amp; $A$1 &amp; ""(_|$)""), 
  REGEXMATCH(RawData_Ensembles!$A$2:$A$1300, ""(?i)"" &amp; $A84), 
  REGEXMATCH(RawData_Ensembles!$A$2:$A$1300, ""(?i)"" &amp; $G$1), 
  R"&amp;"EGEXMATCH(RawData_Ensembles!$A$2:$A$1300, ""(?i)"" &amp; $B87)
)"),0.346771941508783)</f>
        <v>0.3467719415</v>
      </c>
      <c r="H87" s="88">
        <f>IFERROR(__xludf.DUMMYFUNCTION("FILTER(
  RawData_Ensembles!$C$2:$G$1300, 
  REGEXMATCH(RawData_Ensembles!$A$2:$A$1300, ""(?i)(_|^)"" &amp; $A$1 &amp; ""(_|$)""), 
  REGEXMATCH(RawData_Ensembles!$A$2:$A$1300, ""(?i)"" &amp; $A84), 
  REGEXMATCH(RawData_Ensembles!$A$2:$A$1300, ""(?i)"" &amp; $G$1), 
  R"&amp;"EGEXMATCH(RawData_Ensembles!$A$2:$A$1300, ""(?i)"" &amp; $B87)
)"),0.154839948980157)</f>
        <v>0.154839949</v>
      </c>
      <c r="I87" s="11"/>
      <c r="J87" s="11"/>
      <c r="K87" s="11"/>
      <c r="L87" s="11"/>
    </row>
    <row r="88">
      <c r="A88" s="84" t="s">
        <v>139</v>
      </c>
      <c r="B88" s="26" t="s">
        <v>22</v>
      </c>
      <c r="C88" s="88">
        <f>IFERROR(__xludf.DUMMYFUNCTION("FILTER(
    RawData_SemEval!$B$2:$B$800, 
    REGEXMATCH(RawData_SemEval!$A$2:$A$800, ""(?i)(_|^)"" &amp; $A$1 &amp; ""(_|$)""), 
    REGEXMATCH(RawData_SemEval!$A$2:$A$800, ""(?i)"" &amp; $A88), 
    REGEXMATCH(RawData_SemEval!$A$2:$A$800, ""(?i)"" &amp; $C$1),
    NOT("&amp;"REGEXMATCH(RawData_SemEval!$A$2:$A$800, ""(?i)ensemble""))
  )"),0.281565625602467)</f>
        <v>0.2815656256</v>
      </c>
      <c r="D88" s="88">
        <f>IFERROR(__xludf.DUMMYFUNCTION("FILTER(RawData_SemEval!$E$2:$E$800, 
  REGEXMATCH(RawData_SemEval!$A$2:$A$800, ""(?i)(_|^)"" &amp; $A$1 &amp; ""(_|$)""), 
  REGEXMATCH(RawData_SemEval!$A$2:$A$800, ""(?i)"" &amp; $A88), 
  REGEXMATCH(RawData_SemEval!$A$2:$A$800, ""(?i)"" &amp; $C$1), 
  NOT(REGEXMATCH(R"&amp;"awData_SemEval!$A$2:$A$800,  ""(?i)ensemble""))
)"),0.036163580571475)</f>
        <v>0.03616358057</v>
      </c>
      <c r="E88" s="88">
        <f>IFERROR(__xludf.DUMMYFUNCTION("FILTER(
    RawData_SemEval!$B$2:$B$800, 
    REGEXMATCH(RawData_SemEval!$A$2:$A$800, ""(?i)(_|^)"" &amp; $A$1 &amp; ""(_|$)""), 
    REGEXMATCH(RawData_SemEval!$A$2:$A$800, ""(?i)"" &amp; $A88), 
    REGEXMATCH(RawData_SemEval!$A$2:$A$800, ""(?i)"" &amp; $E$1),
    NOT("&amp;"REGEXMATCH(RawData_SemEval!$A$2:$A$800, ""(?i)ensemble""))
  )"),0.32236522717049)</f>
        <v>0.3223652272</v>
      </c>
      <c r="F88" s="88">
        <f>IFERROR(__xludf.DUMMYFUNCTION("FILTER(RawData_SemEval!$E$2:$E$800, 
  REGEXMATCH(RawData_SemEval!$A$2:$A$800, ""(?i)(_|^)"" &amp; $A$1 &amp; ""(_|$)""), 
  REGEXMATCH(RawData_SemEval!$A$2:$A$800, ""(?i)"" &amp; $A88), 
  REGEXMATCH(RawData_SemEval!$A$2:$A$800, ""(?i)"" &amp; $E$1), 
  NOT(REGEXMATCH(R"&amp;"awData_SemEval!$A$2:$A$800,  ""(?i)ensemble""))
)"),0.068857975942186)</f>
        <v>0.06885797594</v>
      </c>
      <c r="G88" s="88">
        <f>IFERROR(__xludf.DUMMYFUNCTION("FILTER(
    RawData_SemEval!$B$2:$B$800, 
    REGEXMATCH(RawData_SemEval!$A$2:$A$800, ""(?i)(_|^)"" &amp; $A$1 &amp; ""(_|$)""), 
    REGEXMATCH(RawData_SemEval!$A$2:$A$800, ""(?i)"" &amp; $A88), 
    REGEXMATCH(RawData_SemEval!$A$2:$A$800, ""(?i)"" &amp; $G$1),
    NOT("&amp;"REGEXMATCH(RawData_SemEval!$A$2:$A$800, ""(?i)ensemble""))
  )"),0.266104055009318)</f>
        <v>0.266104055</v>
      </c>
      <c r="H88" s="88">
        <f>IFERROR(__xludf.DUMMYFUNCTION("FILTER(RawData_SemEval!$E$2:$E$800, 
  REGEXMATCH(RawData_SemEval!$A$2:$A$800, ""(?i)(_|^)"" &amp; $A$1 &amp; ""(_|$)""), 
  REGEXMATCH(RawData_SemEval!$A$2:$A$800, ""(?i)"" &amp; $A88), 
  REGEXMATCH(RawData_SemEval!$A$2:$A$800, ""(?i)"" &amp; $G$1), 
  NOT(REGEXMATCH(R"&amp;"awData_SemEval!$A$2:$A$800,  ""(?i)ensemble""))
)"),0.099810456390213)</f>
        <v>0.09981045639</v>
      </c>
    </row>
    <row r="89">
      <c r="A89" s="84"/>
      <c r="B89" s="26"/>
      <c r="C89" s="89" t="str">
        <f>IFERROR(__xludf.DUMMYFUNCTION("""("" &amp; 
TEXT(FILTER(RawData_SemEval!$C$2:$C$800, REGEXMATCH(RawData_SemEval!$A$2:$A$800, ""(?i)(_|^)"" &amp; $A$1 &amp; ""(_|$)""), REGEXMATCH(RawData_SemEval!$A$2:$A$800, ""(?i)"" &amp; $A88),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$A88), REGEXMA"&amp;"TCH(RawData_SemEval!$A$2:$A$800, ""(?i)"" &amp; $C$1), NOT(REGEXMATCH(RawData_SemEval!$A$2:$A$800, ""(?i)ensemble""))), ""0.00"") &amp; 
"")"""),"(0.25, 0.32)")</f>
        <v>(0.25, 0.32)</v>
      </c>
      <c r="D89" s="89" t="str">
        <f>IFERROR(__xludf.DUMMYFUNCTION("""("" &amp; 
TEXT(FILTER(RawData_SemEval!$F$2:$F$800, REGEXMATCH(RawData_SemEval!$A$2:$A$800, ""(?i)(_|^)"" &amp; $A$1 &amp; ""(_|$)""), REGEXMATCH(RawData_SemEval!$A$2:$A$800, ""(?i)"" &amp; $A88),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$A88), REGEXMA"&amp;"TCH(RawData_SemEval!$A$2:$A$800, ""(?i)"" &amp; $C$1), NOT(REGEXMATCH(RawData_SemEval!$A$2:$A$800, ""(?i)ensemble""))), ""0.00"") &amp; 
"")"""),"(0.02, 0.05)")</f>
        <v>(0.02, 0.05)</v>
      </c>
      <c r="E89" s="89" t="str">
        <f>IFERROR(__xludf.DUMMYFUNCTION("""("" &amp; 
TEXT(FILTER(RawData_SemEval!$C$2:$C$800, REGEXMATCH(RawData_SemEval!$A$2:$A$800, ""(?i)(_|^)"" &amp; $A$1 &amp; ""(_|$)""), REGEXMATCH(RawData_SemEval!$A$2:$A$800, ""(?i)"" &amp; $A88),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$A88), REGEXMA"&amp;"TCH(RawData_SemEval!$A$2:$A$800, ""(?i)"" &amp; $E$1), NOT(REGEXMATCH(RawData_SemEval!$A$2:$A$800, ""(?i)ensemble""))), ""0.00"") &amp; 
"")"""),"(0.28, 0.36)")</f>
        <v>(0.28, 0.36)</v>
      </c>
      <c r="F89" s="89" t="str">
        <f>IFERROR(__xludf.DUMMYFUNCTION("""("" &amp; 
TEXT(FILTER(RawData_SemEval!$F$2:$F$800, REGEXMATCH(RawData_SemEval!$A$2:$A$800, ""(?i)(_|^)"" &amp; $A$1 &amp; ""(_|$)""), REGEXMATCH(RawData_SemEval!$A$2:$A$800, ""(?i)"" &amp; $A88),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$A88), REGEXMA"&amp;"TCH(RawData_SemEval!$A$2:$A$800, ""(?i)"" &amp; $E$1), NOT(REGEXMATCH(RawData_SemEval!$A$2:$A$800, ""(?i)ensemble""))), ""0.00"") &amp; 
"")"""),"(0.05, 0.09)")</f>
        <v>(0.05, 0.09)</v>
      </c>
      <c r="G89" s="89" t="str">
        <f>IFERROR(__xludf.DUMMYFUNCTION("""("" &amp; 
TEXT(FILTER(RawData_SemEval!$C$2:$C$800, REGEXMATCH(RawData_SemEval!$A$2:$A$800, ""(?i)(_|^)"" &amp; $A$1 &amp; ""(_|$)""), REGEXMATCH(RawData_SemEval!$A$2:$A$800, ""(?i)"" &amp; $A88),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$A88), REGEXMA"&amp;"TCH(RawData_SemEval!$A$2:$A$800, ""(?i)"" &amp; $G$1), NOT(REGEXMATCH(RawData_SemEval!$A$2:$A$800, ""(?i)ensemble""))), ""0.00"") &amp; 
"")"""),"(0.23, 0.31)")</f>
        <v>(0.23, 0.31)</v>
      </c>
      <c r="H89" s="89" t="str">
        <f>IFERROR(__xludf.DUMMYFUNCTION("""("" &amp; 
TEXT(FILTER(RawData_SemEval!$F$2:$F$800, REGEXMATCH(RawData_SemEval!$A$2:$A$800, ""(?i)(_|^)"" &amp; $A$1 &amp; ""(_|$)""), REGEXMATCH(RawData_SemEval!$A$2:$A$800, ""(?i)"" &amp; $A88),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$A88), REGEXMA"&amp;"TCH(RawData_SemEval!$A$2:$A$800, ""(?i)"" &amp; $G$1), NOT(REGEXMATCH(RawData_SemEval!$A$2:$A$800, ""(?i)ensemble""))), ""0.00"") &amp; 
"")"""),"(0.08, 0.13)")</f>
        <v>(0.08, 0.13)</v>
      </c>
    </row>
    <row r="90">
      <c r="A90" s="84"/>
      <c r="B90" s="26" t="s">
        <v>74</v>
      </c>
      <c r="C90" s="88">
        <f>IFERROR(__xludf.DUMMYFUNCTION("FILTER(
  RawData_Ensembles!$B$2:$B$1300, 
  REGEXMATCH(RawData_Ensembles!$A$2:$A$1300, ""(?i)(_|^)"" &amp; $A$1 &amp; ""(_|$)""), 
  REGEXMATCH(RawData_Ensembles!$A$2:$A$1300, ""(?i)"" &amp; $A88), 
  REGEXMATCH(RawData_Ensembles!$A$2:$A$1300, ""(?i)"" &amp; $C$1), 
  R"&amp;"EGEXMATCH(RawData_Ensembles!$A$2:$A$1300, ""(?i)"" &amp; $B90)
)"),0.265092217723796)</f>
        <v>0.2650922177</v>
      </c>
      <c r="D90" s="88">
        <f>IFERROR(__xludf.DUMMYFUNCTION("FILTER(
  RawData_Ensembles!$C$2:$C$1300, 
  REGEXMATCH(RawData_Ensembles!$A$2:$A$1300, ""(?i)(_|^)"" &amp; $A$1 &amp; ""(_|$)""), 
  REGEXMATCH(RawData_Ensembles!$A$2:$A$1300, ""(?i)"" &amp; $A88), 
  REGEXMATCH(RawData_Ensembles!$A$2:$A$1300, ""(?i)"" &amp; $C$1), 
  R"&amp;"EGEXMATCH(RawData_Ensembles!$A$2:$A$1300, ""(?i)"" &amp; $B90)
)"),0.025785617890881)</f>
        <v>0.02578561789</v>
      </c>
      <c r="E90" s="88">
        <f>IFERROR(__xludf.DUMMYFUNCTION("FILTER(
  RawData_Ensembles!$B$2:$B$1300, 
  REGEXMATCH(RawData_Ensembles!$A$2:$A$1300, ""(?i)(_|^)"" &amp; $A$1 &amp; ""(_|$)""), 
  REGEXMATCH(RawData_Ensembles!$A$2:$A$1300, ""(?i)"" &amp; $A88), 
  REGEXMATCH(RawData_Ensembles!$A$2:$A$1300, ""(?i)"" &amp; $E$1), 
  R"&amp;"EGEXMATCH(RawData_Ensembles!$A$2:$A$1300, ""(?i)"" &amp; $B90)
)"),0.261149669044405)</f>
        <v>0.261149669</v>
      </c>
      <c r="F90" s="88">
        <f>IFERROR(__xludf.DUMMYFUNCTION("FILTER(
  RawData_Ensembles!$C$2:$C$1300, 
  REGEXMATCH(RawData_Ensembles!$A$2:$A$1300, ""(?i)(_|^)"" &amp; $A$1 &amp; ""(_|$)""), 
  REGEXMATCH(RawData_Ensembles!$A$2:$A$1300, ""(?i)"" &amp; $A88), 
  REGEXMATCH(RawData_Ensembles!$A$2:$A$1300, ""(?i)"" &amp; $E$1), 
  R"&amp;"EGEXMATCH(RawData_Ensembles!$A$2:$A$1300, ""(?i)"" &amp; $B90)
)"),0.059816207184628)</f>
        <v>0.05981620718</v>
      </c>
      <c r="G90" s="88">
        <f>IFERROR(__xludf.DUMMYFUNCTION("FILTER(
  RawData_Ensembles!$B$2:$B$1300, 
  REGEXMATCH(RawData_Ensembles!$A$2:$A$1300, ""(?i)(_|^)"" &amp; $A$1 &amp; ""(_|$)""), 
  REGEXMATCH(RawData_Ensembles!$A$2:$A$1300, ""(?i)"" &amp; $A88), 
  REGEXMATCH(RawData_Ensembles!$A$2:$A$1300, ""(?i)"" &amp; $G$1), 
  R"&amp;"EGEXMATCH(RawData_Ensembles!$A$2:$A$1300, ""(?i)"" &amp; $B90)
)"),0.26823468928732)</f>
        <v>0.2682346893</v>
      </c>
      <c r="H90" s="88">
        <f>IFERROR(__xludf.DUMMYFUNCTION("FILTER(
  RawData_Ensembles!$C$2:$G$1300, 
  REGEXMATCH(RawData_Ensembles!$A$2:$A$1300, ""(?i)(_|^)"" &amp; $A$1 &amp; ""(_|$)""), 
  REGEXMATCH(RawData_Ensembles!$A$2:$A$1300, ""(?i)"" &amp; $A88), 
  REGEXMATCH(RawData_Ensembles!$A$2:$A$1300, ""(?i)"" &amp; $G$1), 
  R"&amp;"EGEXMATCH(RawData_Ensembles!$A$2:$A$1300, ""(?i)"" &amp; $B90)
)"),0.107937676358728)</f>
        <v>0.1079376764</v>
      </c>
      <c r="I90" s="11"/>
      <c r="J90" s="11"/>
      <c r="K90" s="11"/>
      <c r="L90" s="11"/>
    </row>
    <row r="91">
      <c r="A91" s="84"/>
      <c r="B91" s="91" t="s">
        <v>75</v>
      </c>
      <c r="C91" s="88">
        <f>IFERROR(__xludf.DUMMYFUNCTION("FILTER(
  RawData_Ensembles!$B$2:$B$1300, 
  REGEXMATCH(RawData_Ensembles!$A$2:$A$1300, ""(?i)(_|^)"" &amp; $A$1 &amp; ""(_|$)""), 
  REGEXMATCH(RawData_Ensembles!$A$2:$A$1300, ""(?i)"" &amp; $A88), 
  REGEXMATCH(RawData_Ensembles!$A$2:$A$1300, ""(?i)"" &amp; $C$1), 
  R"&amp;"EGEXMATCH(RawData_Ensembles!$A$2:$A$1300, ""(?i)"" &amp; $B91)
)"),0.294220848876719)</f>
        <v>0.2942208489</v>
      </c>
      <c r="D91" s="88">
        <f>IFERROR(__xludf.DUMMYFUNCTION("FILTER(
  RawData_Ensembles!$C$2:$C$1300, 
  REGEXMATCH(RawData_Ensembles!$A$2:$A$1300, ""(?i)(_|^)"" &amp; $A$1 &amp; ""(_|$)""), 
  REGEXMATCH(RawData_Ensembles!$A$2:$A$1300, ""(?i)"" &amp; $A88), 
  REGEXMATCH(RawData_Ensembles!$A$2:$A$1300, ""(?i)"" &amp; $C$1), 
  R"&amp;"EGEXMATCH(RawData_Ensembles!$A$2:$A$1300, ""(?i)"" &amp; $B91)
)"),0.063357548883864)</f>
        <v>0.06335754888</v>
      </c>
      <c r="E91" s="88">
        <f>IFERROR(__xludf.DUMMYFUNCTION("FILTER(
  RawData_Ensembles!$B$2:$B$1300, 
  REGEXMATCH(RawData_Ensembles!$A$2:$A$1300, ""(?i)(_|^)"" &amp; $A$1 &amp; ""(_|$)""), 
  REGEXMATCH(RawData_Ensembles!$A$2:$A$1300, ""(?i)"" &amp; $A88), 
  REGEXMATCH(RawData_Ensembles!$A$2:$A$1300, ""(?i)"" &amp; $E$1), 
  R"&amp;"EGEXMATCH(RawData_Ensembles!$A$2:$A$1300, ""(?i)"" &amp; $B91)
)"),0.387855419434366)</f>
        <v>0.3878554194</v>
      </c>
      <c r="F91" s="88">
        <f>IFERROR(__xludf.DUMMYFUNCTION("FILTER(
  RawData_Ensembles!$C$2:$C$1300, 
  REGEXMATCH(RawData_Ensembles!$A$2:$A$1300, ""(?i)(_|^)"" &amp; $A$1 &amp; ""(_|$)""), 
  REGEXMATCH(RawData_Ensembles!$A$2:$A$1300, ""(?i)"" &amp; $A88), 
  REGEXMATCH(RawData_Ensembles!$A$2:$A$1300, ""(?i)"" &amp; $E$1), 
  R"&amp;"EGEXMATCH(RawData_Ensembles!$A$2:$A$1300, ""(?i)"" &amp; $B91)
)"),0.087379152561338)</f>
        <v>0.08737915256</v>
      </c>
      <c r="G91" s="88">
        <f>IFERROR(__xludf.DUMMYFUNCTION("FILTER(
  RawData_Ensembles!$B$2:$B$1300, 
  REGEXMATCH(RawData_Ensembles!$A$2:$A$1300, ""(?i)(_|^)"" &amp; $A$1 &amp; ""(_|$)""), 
  REGEXMATCH(RawData_Ensembles!$A$2:$A$1300, ""(?i)"" &amp; $A88), 
  REGEXMATCH(RawData_Ensembles!$A$2:$A$1300, ""(?i)"" &amp; $G$1), 
  R"&amp;"EGEXMATCH(RawData_Ensembles!$A$2:$A$1300, ""(?i)"" &amp; $B91)
)"),0.288226977700661)</f>
        <v>0.2882269777</v>
      </c>
      <c r="H91" s="88">
        <f>IFERROR(__xludf.DUMMYFUNCTION("FILTER(
  RawData_Ensembles!$C$2:$G$1300, 
  REGEXMATCH(RawData_Ensembles!$A$2:$A$1300, ""(?i)(_|^)"" &amp; $A$1 &amp; ""(_|$)""), 
  REGEXMATCH(RawData_Ensembles!$A$2:$A$1300, ""(?i)"" &amp; $A88), 
  REGEXMATCH(RawData_Ensembles!$A$2:$A$1300, ""(?i)"" &amp; $G$1), 
  R"&amp;"EGEXMATCH(RawData_Ensembles!$A$2:$A$1300, ""(?i)"" &amp; $B91)
)"),0.115896204560172)</f>
        <v>0.1158962046</v>
      </c>
      <c r="I91" s="11"/>
      <c r="J91" s="11"/>
      <c r="K91" s="11"/>
      <c r="L91" s="11"/>
    </row>
    <row r="92">
      <c r="A92" s="84" t="s">
        <v>2294</v>
      </c>
      <c r="B92" s="26" t="s">
        <v>25</v>
      </c>
      <c r="C92" s="88">
        <f>IFERROR(__xludf.DUMMYFUNCTION("FILTER(
    RawData_SemEval!$B$2:$B$800, 
    REGEXMATCH(RawData_SemEval!$A$2:$A$800, ""(?i)(_|^)"" &amp; $A$1 &amp; ""(_|$)""), 
    REGEXMATCH(RawData_SemEval!$A$2:$A$800, ""(?i)"" &amp; $A92), 
    REGEXMATCH(RawData_SemEval!$A$2:$A$800, ""(?i)"" &amp; $C$1),
NOT(REGE"&amp;"XMATCH(RawData_SemEval!$A$2:$A$800, ""(?i)complete"")), 
    NOT(REGEXMATCH(RawData_SemEval!$A$2:$A$800, ""(?i)ensemble""))
  )"),0.273765442452284)</f>
        <v>0.2737654425</v>
      </c>
      <c r="D92" s="88">
        <f>IFERROR(__xludf.DUMMYFUNCTION("FILTER(RawData_SemEval!$E$2:$E$800, 
  REGEXMATCH(RawData_SemEval!$A$2:$A$800, ""(?i)(_|^)"" &amp; $A$1 &amp; ""(_|$)""), 
  REGEXMATCH(RawData_SemEval!$A$2:$A$800, ""(?i)"" &amp; $A92), 
  REGEXMATCH(RawData_SemEval!$A$2:$A$800, ""(?i)"" &amp; $C$1), 
NOT(REGEXMATCH(Raw"&amp;"Data_SemEval!$A$2:$A$800, ""(?i)complete"")), 
  NOT(REGEXMATCH(RawData_SemEval!$A$2:$A$800,  ""(?i)ensemble""))
)"),0.039897929555824)</f>
        <v>0.03989792956</v>
      </c>
      <c r="E92" s="88">
        <f>IFERROR(__xludf.DUMMYFUNCTION("FILTER(
    RawData_SemEval!$B$2:$B$800, 
    REGEXMATCH(RawData_SemEval!$A$2:$A$800, ""(?i)(_|^)"" &amp; $A$1 &amp; ""(_|$)""), 
    REGEXMATCH(RawData_SemEval!$A$2:$A$800, ""(?i)"" &amp; $A92), 
    REGEXMATCH(RawData_SemEval!$A$2:$A$800, ""(?i)"" &amp; $E$1),
NOT(REGE"&amp;"XMATCH(RawData_SemEval!$A$2:$A$800, ""(?i)complete"")), 
    NOT(REGEXMATCH(RawData_SemEval!$A$2:$A$800, ""(?i)ensemble""))
  )"),0.283900443416232)</f>
        <v>0.2839004434</v>
      </c>
      <c r="F92" s="88">
        <f>IFERROR(__xludf.DUMMYFUNCTION("FILTER(RawData_SemEval!$E$2:$E$800, 
  REGEXMATCH(RawData_SemEval!$A$2:$A$800, ""(?i)(_|^)"" &amp; $A$1 &amp; ""(_|$)""), 
  REGEXMATCH(RawData_SemEval!$A$2:$A$800, ""(?i)"" &amp; $A92), 
  REGEXMATCH(RawData_SemEval!$A$2:$A$800, ""(?i)"" &amp; $E$1), 
NOT(REGEXMATCH(Raw"&amp;"Data_SemEval!$A$2:$A$800, ""(?i)complete"")), 
  NOT(REGEXMATCH(RawData_SemEval!$A$2:$A$800,  ""(?i)ensemble""))
)"),0.063735660223716)</f>
        <v>0.06373566022</v>
      </c>
      <c r="G92" s="88">
        <f>IFERROR(__xludf.DUMMYFUNCTION("FILTER(
    RawData_SemEval!$B$2:$B$800, 
    REGEXMATCH(RawData_SemEval!$A$2:$A$800, ""(?i)(_|^)"" &amp; $A$1 &amp; ""(_|$)""), 
    REGEXMATCH(RawData_SemEval!$A$2:$A$800, ""(?i)"" &amp; $A92), 
    REGEXMATCH(RawData_SemEval!$A$2:$A$800, ""(?i)"" &amp; $G$1),
NOT(REGE"&amp;"XMATCH(RawData_SemEval!$A$2:$A$800, ""(?i)complete"")), 
    NOT(REGEXMATCH(RawData_SemEval!$A$2:$A$800, ""(?i)ensemble""))
  )"),0.283892118115802)</f>
        <v>0.2838921181</v>
      </c>
      <c r="H92" s="88">
        <f>IFERROR(__xludf.DUMMYFUNCTION("FILTER(RawData_SemEval!$E$2:$E$800, 
  REGEXMATCH(RawData_SemEval!$A$2:$A$800, ""(?i)(_|^)"" &amp; $A$1 &amp; ""(_|$)""), 
  REGEXMATCH(RawData_SemEval!$A$2:$A$800, ""(?i)"" &amp; $A92), 
  REGEXMATCH(RawData_SemEval!$A$2:$A$800, ""(?i)"" &amp; $G$1), 
NOT(REGEXMATCH(Raw"&amp;"Data_SemEval!$A$2:$A$800, ""(?i)complete"")), 
  NOT(REGEXMATCH(RawData_SemEval!$A$2:$A$800,  ""(?i)ensemble""))
)"),0.113968810788851)</f>
        <v>0.1139688108</v>
      </c>
    </row>
    <row r="93">
      <c r="A93" s="84"/>
      <c r="B93" s="26"/>
      <c r="C93" s="89" t="str">
        <f>IFERROR(__xludf.DUMMYFUNCTION("""("" &amp; 
TEXT(FILTER(RawData_SemEval!$C$2:$C$800, REGEXMATCH(RawData_SemEval!$A$2:$A$800, ""(?i)(_|^)"" &amp; $A$1 &amp; ""(_|$)""), REGEXMATCH(RawData_SemEval!$A$2:$A$800, ""(?i)"" &amp; $A92), REGEXMATCH(RawData_SemEval!$A$2:$A$800, ""(?i)"" &amp; $C$1),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$A92), REGEXMATCH(RawData_SemEval!$A$2:$A$800, ""(?i)"" &amp; $C$1), NOT(REGEXMATCH(RawData_SemEval!$A$2:$A$800, ""(?i)complete"")), NOT(REGEXMATCH(RawData_SemEval!$A$2:$A$800, ""(?i)ensemble""))), ""0.00"") &amp;"&amp;" 
"")"""),"(0.24, 0.31)")</f>
        <v>(0.24, 0.31)</v>
      </c>
      <c r="D93" s="89" t="str">
        <f>IFERROR(__xludf.DUMMYFUNCTION("""("" &amp; 
TEXT(FILTER(RawData_SemEval!$F$2:$F$800, REGEXMATCH(RawData_SemEval!$A$2:$A$800, ""(?i)(_|^)"" &amp; $A$1 &amp; ""(_|$)""), REGEXMATCH(RawData_SemEval!$A$2:$A$800, ""(?i)"" &amp; $A92), REGEXMATCH(RawData_SemEval!$A$2:$A$800, ""(?i)"" &amp; $C$1),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$A92), REGEXMATCH(RawData_SemEval!$A$2:$A$800, ""(?i)"" &amp; $C$1), NOT(REGEXMATCH(RawData_SemEval!$A$2:$A$800, ""(?i)complete"")), NOT(REGEXMATCH(RawData_SemEval!$A$2:$A$800, ""(?i)ensemble""))), ""0.00"") &amp;"&amp;" 
"")"""),"(0.02, 0.06)")</f>
        <v>(0.02, 0.06)</v>
      </c>
      <c r="E93" s="89" t="str">
        <f>IFERROR(__xludf.DUMMYFUNCTION("""("" &amp; 
TEXT(FILTER(RawData_SemEval!$C$2:$C$800, REGEXMATCH(RawData_SemEval!$A$2:$A$800, ""(?i)(_|^)"" &amp; $A$1 &amp; ""(_|$)""), REGEXMATCH(RawData_SemEval!$A$2:$A$800, ""(?i)"" &amp; $A92), REGEXMATCH(RawData_SemEval!$A$2:$A$800, ""(?i)"" &amp; $E$1),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$A92), REGEXMATCH(RawData_SemEval!$A$2:$A$800, ""(?i)"" &amp; $E$1), NOT(REGEXMATCH(RawData_SemEval!$A$2:$A$800, ""(?i)complete"")), NOT(REGEXMATCH(RawData_SemEval!$A$2:$A$800, ""(?i)ensemble""))), ""0.00"") &amp;"&amp;" 
"")"""),"(0.25, 0.32)")</f>
        <v>(0.25, 0.32)</v>
      </c>
      <c r="F93" s="89" t="str">
        <f>IFERROR(__xludf.DUMMYFUNCTION("""("" &amp; 
TEXT(FILTER(RawData_SemEval!$F$2:$F$800, REGEXMATCH(RawData_SemEval!$A$2:$A$800, ""(?i)(_|^)"" &amp; $A$1 &amp; ""(_|$)""), REGEXMATCH(RawData_SemEval!$A$2:$A$800, ""(?i)"" &amp; $A92), REGEXMATCH(RawData_SemEval!$A$2:$A$800, ""(?i)"" &amp; $E$1),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$A92), REGEXMATCH(RawData_SemEval!$A$2:$A$800, ""(?i)"" &amp; $E$1), NOT(REGEXMATCH(RawData_SemEval!$A$2:$A$800, ""(?i)complete"")), NOT(REGEXMATCH(RawData_SemEval!$A$2:$A$800, ""(?i)ensemble""))), ""0.00"") &amp;"&amp;" 
"")"""),"(0.04, 0.09)")</f>
        <v>(0.04, 0.09)</v>
      </c>
      <c r="G93" s="89" t="str">
        <f>IFERROR(__xludf.DUMMYFUNCTION("""("" &amp; 
TEXT(FILTER(RawData_SemEval!$C$2:$C$800, REGEXMATCH(RawData_SemEval!$A$2:$A$800, ""(?i)(_|^)"" &amp; $A$1 &amp; ""(_|$)""), REGEXMATCH(RawData_SemEval!$A$2:$A$800, ""(?i)"" &amp; $A92), REGEXMATCH(RawData_SemEval!$A$2:$A$800, ""(?i)"" &amp; $G$1), NOT(REGEXMATCH"&amp;"(RawData_SemEval!$A$2:$A$800, ""(?i)complete"")), NOT(REGEXMATCH(RawData_SemEval!$A$2:$A$800, ""(?i)ensemble""))), ""0.00"") &amp; 
"", "" &amp; 
TEXT(FILTER(RawData_SemEval!$D$2:$D$800, REGEXMATCH(RawData_SemEval!$A$2:$A$800, ""(?i)(_|^)"" &amp; $A$1 &amp; ""(_|$)""), R"&amp;"EGEXMATCH(RawData_SemEval!$A$2:$A$800, ""(?i)"" &amp; $A92), REGEXMATCH(RawData_SemEval!$A$2:$A$800, ""(?i)"" &amp; $G$1), NOT(REGEXMATCH(RawData_SemEval!$A$2:$A$800, ""(?i)complete"")), NOT(REGEXMATCH(RawData_SemEval!$A$2:$A$800, ""(?i)ensemble""))), ""0.00"") &amp;"&amp;" 
"")"""),"(0.25, 0.32)")</f>
        <v>(0.25, 0.32)</v>
      </c>
      <c r="H93" s="89" t="str">
        <f>IFERROR(__xludf.DUMMYFUNCTION("""("" &amp; 
TEXT(FILTER(RawData_SemEval!$F$2:$F$800, REGEXMATCH(RawData_SemEval!$A$2:$A$800, ""(?i)(_|^)"" &amp; $A$1 &amp; ""(_|$)""), REGEXMATCH(RawData_SemEval!$A$2:$A$800, ""(?i)"" &amp; $A92), REGEXMATCH(RawData_SemEval!$A$2:$A$800, ""(?i)"" &amp; $G$1), NOT(REGEXMATCH"&amp;"(RawData_SemEval!$A$2:$A$800, ""(?i)complete"")), NOT(REGEXMATCH(RawData_SemEval!$A$2:$A$800, ""(?i)ensemble""))), ""0.00"") &amp; 
"", "" &amp; 
TEXT(FILTER(RawData_SemEval!$G$2:$G$800, REGEXMATCH(RawData_SemEval!$A$2:$A$800, ""(?i)(_|^)"" &amp; $A$1 &amp; ""(_|$)""), R"&amp;"EGEXMATCH(RawData_SemEval!$A$2:$A$800, ""(?i)"" &amp; $A92), REGEXMATCH(RawData_SemEval!$A$2:$A$800, ""(?i)"" &amp; $G$1), NOT(REGEXMATCH(RawData_SemEval!$A$2:$A$800, ""(?i)complete"")), NOT(REGEXMATCH(RawData_SemEval!$A$2:$A$800, ""(?i)ensemble""))), ""0.00"") &amp;"&amp;" 
"")"""),"(0.09, 0.14)")</f>
        <v>(0.09, 0.14)</v>
      </c>
    </row>
    <row r="94">
      <c r="A94" s="84"/>
      <c r="B94" s="26" t="s">
        <v>74</v>
      </c>
      <c r="C94" s="88">
        <f>IFERROR(__xludf.DUMMYFUNCTION("FILTER(
  RawData_Ensembles!$B$2:$B$1300, 
  REGEXMATCH(RawData_Ensembles!$A$2:$A$1300, ""(?i)(_|^)"" &amp; $A$1 &amp; ""(_|$)""), 
  REGEXMATCH(RawData_Ensembles!$A$2:$A$1300, ""(?i)"" &amp; $A92), 
  REGEXMATCH(RawData_Ensembles!$A$2:$A$1300, ""(?i)"" &amp; $C$1), 
NOT"&amp;"(REGEXMATCH(RawData_Ensembles!$A$2:$A$1300, ""(?i)complete"")), 
  REGEXMATCH(RawData_Ensembles!$A$2:$A$1300, ""(?i)"" &amp; $B94)
)"),0.240453698348435)</f>
        <v>0.2404536983</v>
      </c>
      <c r="D94" s="88">
        <f>IFERROR(__xludf.DUMMYFUNCTION("FILTER(
  RawData_Ensembles!$C$2:$C$1300, 
  REGEXMATCH(RawData_Ensembles!$A$2:$A$1300, ""(?i)(_|^)"" &amp; $A$1 &amp; ""(_|$)""), 
  REGEXMATCH(RawData_Ensembles!$A$2:$A$1300, ""(?i)"" &amp; $A92), 
  REGEXMATCH(RawData_Ensembles!$A$2:$A$1300, ""(?i)"" &amp; $C$1), 
NOT"&amp;"(REGEXMATCH(RawData_Ensembles!$A$2:$A$1300, ""(?i)complete"")), 
  REGEXMATCH(RawData_Ensembles!$A$2:$A$1300, ""(?i)"" &amp; $B94)
)"),0.027867746288798)</f>
        <v>0.02786774629</v>
      </c>
      <c r="E94" s="88">
        <f>IFERROR(__xludf.DUMMYFUNCTION("FILTER(
  RawData_Ensembles!$B$2:$B$1300, 
  REGEXMATCH(RawData_Ensembles!$A$2:$A$1300, ""(?i)(_|^)"" &amp; $A$1 &amp; ""(_|$)""), 
  REGEXMATCH(RawData_Ensembles!$A$2:$A$1300, ""(?i)"" &amp; $A92), 
  REGEXMATCH(RawData_Ensembles!$A$2:$A$1300, ""(?i)"" &amp; $E$1), 
NOT"&amp;"(REGEXMATCH(RawData_Ensembles!$A$2:$A$1300, ""(?i)complete"")), 
  REGEXMATCH(RawData_Ensembles!$A$2:$A$1300, ""(?i)"" &amp; $B94)
)"),0.225348627980206)</f>
        <v>0.225348628</v>
      </c>
      <c r="F94" s="88">
        <f>IFERROR(__xludf.DUMMYFUNCTION("FILTER(
  RawData_Ensembles!$C$2:$C$1300, 
  REGEXMATCH(RawData_Ensembles!$A$2:$A$1300, ""(?i)(_|^)"" &amp; $A$1 &amp; ""(_|$)""), 
  REGEXMATCH(RawData_Ensembles!$A$2:$A$1300, ""(?i)"" &amp; $A92), 
  REGEXMATCH(RawData_Ensembles!$A$2:$A$1300, ""(?i)"" &amp; $E$1), 
NOT"&amp;"(REGEXMATCH(RawData_Ensembles!$A$2:$A$1300, ""(?i)complete"")), 
  REGEXMATCH(RawData_Ensembles!$A$2:$A$1300, ""(?i)"" &amp; $B94)
)"),0.059687680740312)</f>
        <v>0.05968768074</v>
      </c>
      <c r="G94" s="88">
        <f>IFERROR(__xludf.DUMMYFUNCTION("FILTER(
  RawData_Ensembles!$B$2:$B$1300, 
  REGEXMATCH(RawData_Ensembles!$A$2:$A$1300, ""(?i)(_|^)"" &amp; $A$1 &amp; ""(_|$)""), 
  REGEXMATCH(RawData_Ensembles!$A$2:$A$1300, ""(?i)"" &amp; $A92), 
  REGEXMATCH(RawData_Ensembles!$A$2:$A$1300, ""(?i)"" &amp; $G$1), 
NOT"&amp;"(REGEXMATCH(RawData_Ensembles!$A$2:$A$1300, ""(?i)complete"")), 
  REGEXMATCH(RawData_Ensembles!$A$2:$A$1300, ""(?i)"" &amp; $B94)
)"),0.282141250562303)</f>
        <v>0.2821412506</v>
      </c>
      <c r="H94" s="88">
        <f>IFERROR(__xludf.DUMMYFUNCTION("FILTER(
  RawData_Ensembles!$C$2:$G$1300, 
  REGEXMATCH(RawData_Ensembles!$A$2:$A$1300, ""(?i)(_|^)"" &amp; $A$1 &amp; ""(_|$)""), 
  REGEXMATCH(RawData_Ensembles!$A$2:$A$1300, ""(?i)"" &amp; $A92), 
  REGEXMATCH(RawData_Ensembles!$A$2:$A$1300, ""(?i)"" &amp; $G$1), 
NOT"&amp;"(REGEXMATCH(RawData_Ensembles!$A$2:$A$1300, ""(?i)complete"")), 
  REGEXMATCH(RawData_Ensembles!$A$2:$A$1300, ""(?i)"" &amp; $B94)
)"),0.121891558733664)</f>
        <v>0.1218915587</v>
      </c>
      <c r="I94" s="11"/>
      <c r="J94" s="11"/>
      <c r="K94" s="11"/>
      <c r="L94" s="11"/>
    </row>
    <row r="95">
      <c r="A95" s="84"/>
      <c r="B95" s="91" t="s">
        <v>75</v>
      </c>
      <c r="C95" s="88">
        <f>IFERROR(__xludf.DUMMYFUNCTION("FILTER(
  RawData_Ensembles!$B$2:$B$1300, 
  REGEXMATCH(RawData_Ensembles!$A$2:$A$1300, ""(?i)(_|^)"" &amp; $A$1 &amp; ""(_|$)""), 
  REGEXMATCH(RawData_Ensembles!$A$2:$A$1300, ""(?i)"" &amp; $A92), 
  REGEXMATCH(RawData_Ensembles!$A$2:$A$1300, ""(?i)"" &amp; $C$1), 
NOT"&amp;"(REGEXMATCH(RawData_Ensembles!$A$2:$A$1300, ""(?i)complete"")), 
  REGEXMATCH(RawData_Ensembles!$A$2:$A$1300, ""(?i)"" &amp; $B95)
)"),0.322775537552865)</f>
        <v>0.3227755376</v>
      </c>
      <c r="D95" s="88">
        <f>IFERROR(__xludf.DUMMYFUNCTION("FILTER(
  RawData_Ensembles!$C$2:$C$1300, 
  REGEXMATCH(RawData_Ensembles!$A$2:$A$1300, ""(?i)(_|^)"" &amp; $A$1 &amp; ""(_|$)""), 
  REGEXMATCH(RawData_Ensembles!$A$2:$A$1300, ""(?i)"" &amp; $A92), 
  REGEXMATCH(RawData_Ensembles!$A$2:$A$1300, ""(?i)"" &amp; $C$1), 
NOT"&amp;"(REGEXMATCH(RawData_Ensembles!$A$2:$A$1300, ""(?i)complete"")), 
  REGEXMATCH(RawData_Ensembles!$A$2:$A$1300, ""(?i)"" &amp; $B95)
)"),0.064382236006432)</f>
        <v>0.06438223601</v>
      </c>
      <c r="E95" s="88">
        <f>IFERROR(__xludf.DUMMYFUNCTION("FILTER(
  RawData_Ensembles!$B$2:$B$1300, 
  REGEXMATCH(RawData_Ensembles!$A$2:$A$1300, ""(?i)(_|^)"" &amp; $A$1 &amp; ""(_|$)""), 
  REGEXMATCH(RawData_Ensembles!$A$2:$A$1300, ""(?i)"" &amp; $A92), 
  REGEXMATCH(RawData_Ensembles!$A$2:$A$1300, ""(?i)"" &amp; $E$1), 
NOT"&amp;"(REGEXMATCH(RawData_Ensembles!$A$2:$A$1300, ""(?i)complete"")), 
  REGEXMATCH(RawData_Ensembles!$A$2:$A$1300, ""(?i)"" &amp; $B95)
)"),0.337737700895595)</f>
        <v>0.3377377009</v>
      </c>
      <c r="F95" s="88">
        <f>IFERROR(__xludf.DUMMYFUNCTION("FILTER(
  RawData_Ensembles!$C$2:$C$1300, 
  REGEXMATCH(RawData_Ensembles!$A$2:$A$1300, ""(?i)(_|^)"" &amp; $A$1 &amp; ""(_|$)""), 
  REGEXMATCH(RawData_Ensembles!$A$2:$A$1300, ""(?i)"" &amp; $A92), 
  REGEXMATCH(RawData_Ensembles!$A$2:$A$1300, ""(?i)"" &amp; $E$1), 
NOT"&amp;"(REGEXMATCH(RawData_Ensembles!$A$2:$A$1300, ""(?i)complete"")), 
  REGEXMATCH(RawData_Ensembles!$A$2:$A$1300, ""(?i)"" &amp; $B95)
)"),0.08462890011473)</f>
        <v>0.08462890011</v>
      </c>
      <c r="G95" s="88">
        <f>IFERROR(__xludf.DUMMYFUNCTION("FILTER(
  RawData_Ensembles!$B$2:$B$1300, 
  REGEXMATCH(RawData_Ensembles!$A$2:$A$1300, ""(?i)(_|^)"" &amp; $A$1 &amp; ""(_|$)""), 
  REGEXMATCH(RawData_Ensembles!$A$2:$A$1300, ""(?i)"" &amp; $A92), 
  REGEXMATCH(RawData_Ensembles!$A$2:$A$1300, ""(?i)"" &amp; $G$1), 
NOT"&amp;"(REGEXMATCH(RawData_Ensembles!$A$2:$A$1300, ""(?i)complete"")), 
  REGEXMATCH(RawData_Ensembles!$A$2:$A$1300, ""(?i)"" &amp; $B95)
)"),0.301659451659451)</f>
        <v>0.3016594517</v>
      </c>
      <c r="H95" s="88">
        <f>IFERROR(__xludf.DUMMYFUNCTION("FILTER(
  RawData_Ensembles!$C$2:$G$1300, 
  REGEXMATCH(RawData_Ensembles!$A$2:$A$1300, ""(?i)(_|^)"" &amp; $A$1 &amp; ""(_|$)""), 
  REGEXMATCH(RawData_Ensembles!$A$2:$A$1300, ""(?i)"" &amp; $A92), 
  REGEXMATCH(RawData_Ensembles!$A$2:$A$1300, ""(?i)"" &amp; $G$1), 
NOT"&amp;"(REGEXMATCH(RawData_Ensembles!$A$2:$A$1300, ""(?i)complete"")), 
  REGEXMATCH(RawData_Ensembles!$A$2:$A$1300, ""(?i)"" &amp; $B95)
)"),0.125813469032092)</f>
        <v>0.125813469</v>
      </c>
      <c r="I95" s="11"/>
      <c r="J95" s="11"/>
      <c r="K95" s="11"/>
      <c r="L95" s="11"/>
    </row>
    <row r="96">
      <c r="A96" s="84" t="s">
        <v>2312</v>
      </c>
      <c r="B96" s="26" t="s">
        <v>29</v>
      </c>
      <c r="C96" s="93" t="str">
        <f>IFERROR(__xludf.DUMMYFUNCTION("FILTER(
    RawData_SemEval!$B$2:$B$800, 
    REGEXMATCH(RawData_SemEval!$A$2:$A$800, ""(?i)(_|^)"" &amp; $A$1 &amp; ""(_|$)""), 
    REGEXMATCH(RawData_SemEval!$A$2:$A$800, ""(?i)"" &amp; $A96), 
    REGEXMATCH(RawData_SemEval!$A$2:$A$800, ""(?i)"" &amp; $C$1),
    NOT("&amp;"REGEXMATCH(RawData_SemEval!$A$2:$A$800, ""(?i)ensemble""))
  )"),"")</f>
        <v/>
      </c>
      <c r="D96" s="93" t="str">
        <f>IFERROR(__xludf.DUMMYFUNCTION("FILTER(RawData_SemEval!$E$2:$E$800, 
  REGEXMATCH(RawData_SemEval!$A$2:$A$800, ""(?i)(_|^)"" &amp; $A$1 &amp; ""(_|$)""), 
  REGEXMATCH(RawData_SemEval!$A$2:$A$800, ""(?i)"" &amp; $A96), 
  REGEXMATCH(RawData_SemEval!$A$2:$A$800, ""(?i)"" &amp; $C$1), 
  NOT(REGEXMATCH(R"&amp;"awData_SemEval!$A$2:$A$800,  ""(?i)ensemble""))
)"),"")</f>
        <v/>
      </c>
      <c r="E96" s="88">
        <f>IFERROR(__xludf.DUMMYFUNCTION("FILTER(
    RawData_SemEval!$B$2:$B$800, 
    REGEXMATCH(RawData_SemEval!$A$2:$A$800, ""(?i)(_|^)"" &amp; $A$1 &amp; ""(_|$)""), 
    REGEXMATCH(RawData_SemEval!$A$2:$A$800, ""(?i)"" &amp; $A96), 
    REGEXMATCH(RawData_SemEval!$A$2:$A$800, ""(?i)"" &amp; $E$1),
    NOT("&amp;"REGEXMATCH(RawData_SemEval!$A$2:$A$800, ""(?i)ensemble""))
  )"),0.2725549900392)</f>
        <v>0.27255499</v>
      </c>
      <c r="F96" s="88">
        <f>IFERROR(__xludf.DUMMYFUNCTION("FILTER(RawData_SemEval!$E$2:$E$800, 
  REGEXMATCH(RawData_SemEval!$A$2:$A$800, ""(?i)(_|^)"" &amp; $A$1 &amp; ""(_|$)""), 
  REGEXMATCH(RawData_SemEval!$A$2:$A$800, ""(?i)"" &amp; $A96), 
  REGEXMATCH(RawData_SemEval!$A$2:$A$800, ""(?i)"" &amp; $E$1), 
  NOT(REGEXMATCH(R"&amp;"awData_SemEval!$A$2:$A$800,  ""(?i)ensemble""))
)"),0.056369605248552)</f>
        <v>0.05636960525</v>
      </c>
      <c r="G96" s="88">
        <f>IFERROR(__xludf.DUMMYFUNCTION("FILTER(
    RawData_SemEval!$B$2:$B$800, 
    REGEXMATCH(RawData_SemEval!$A$2:$A$800, ""(?i)(_|^)"" &amp; $A$1 &amp; ""(_|$)""), 
    REGEXMATCH(RawData_SemEval!$A$2:$A$800, ""(?i)"" &amp; $A96), 
    REGEXMATCH(RawData_SemEval!$A$2:$A$800, ""(?i)"" &amp; $G$1),
    NOT("&amp;"REGEXMATCH(RawData_SemEval!$A$2:$A$800, ""(?i)ensemble""))
  )"),0.259401876486087)</f>
        <v>0.2594018765</v>
      </c>
      <c r="H96" s="88">
        <f>IFERROR(__xludf.DUMMYFUNCTION("FILTER(RawData_SemEval!$E$2:$E$800, 
  REGEXMATCH(RawData_SemEval!$A$2:$A$800, ""(?i)(_|^)"" &amp; $A$1 &amp; ""(_|$)""), 
  REGEXMATCH(RawData_SemEval!$A$2:$A$800, ""(?i)"" &amp; $A96), 
  REGEXMATCH(RawData_SemEval!$A$2:$A$800, ""(?i)"" &amp; $G$1), 
  NOT(REGEXMATCH(R"&amp;"awData_SemEval!$A$2:$A$800,  ""(?i)ensemble""))
)"),0.116199203293332)</f>
        <v>0.1161992033</v>
      </c>
    </row>
    <row r="97">
      <c r="A97" s="84"/>
      <c r="B97" s="26"/>
      <c r="C97" s="93" t="str">
        <f>IFERROR(__xludf.DUMMYFUNCTION("""("" &amp; 
TEXT(FILTER(RawData_SemEval!$C$2:$C$800, REGEXMATCH(RawData_SemEval!$A$2:$A$800, ""(?i)(_|^)"" &amp; $A$1 &amp; ""(_|$)""), REGEXMATCH(RawData_SemEval!$A$2:$A$800, ""(?i)"" &amp; $A96), REGEXMATCH(RawData_SemEval!$A$2:$A$800, ""(?i)"" &amp; $C$1),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$A96), REGEXMA"&amp;"TCH(RawData_SemEval!$A$2:$A$800, ""(?i)"" &amp; $C$1), NOT(REGEXMATCH(RawData_SemEval!$A$2:$A$800, ""(?i)ensemble""))), ""0.00"") &amp; 
"")"""),"(0.00, 0.00)")</f>
        <v>(0.00, 0.00)</v>
      </c>
      <c r="D97" s="93" t="str">
        <f>IFERROR(__xludf.DUMMYFUNCTION("""("" &amp; 
TEXT(FILTER(RawData_SemEval!$F$2:$F$800, REGEXMATCH(RawData_SemEval!$A$2:$A$800, ""(?i)(_|^)"" &amp; $A$1 &amp; ""(_|$)""), REGEXMATCH(RawData_SemEval!$A$2:$A$800, ""(?i)"" &amp; $A96), REGEXMATCH(RawData_SemEval!$A$2:$A$800, ""(?i)"" &amp; $C$1),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$A96), REGEXMA"&amp;"TCH(RawData_SemEval!$A$2:$A$800, ""(?i)"" &amp; $C$1), NOT(REGEXMATCH(RawData_SemEval!$A$2:$A$800, ""(?i)ensemble""))), ""0.00"") &amp; 
"")"""),"(0.00, 0.00)")</f>
        <v>(0.00, 0.00)</v>
      </c>
      <c r="E97" s="89" t="str">
        <f>IFERROR(__xludf.DUMMYFUNCTION("""("" &amp; 
TEXT(FILTER(RawData_SemEval!$C$2:$C$800, REGEXMATCH(RawData_SemEval!$A$2:$A$800, ""(?i)(_|^)"" &amp; $A$1 &amp; ""(_|$)""), REGEXMATCH(RawData_SemEval!$A$2:$A$800, ""(?i)"" &amp; $A96), REGEXMATCH(RawData_SemEval!$A$2:$A$800, ""(?i)"" &amp; $E$1),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$A96), REGEXMA"&amp;"TCH(RawData_SemEval!$A$2:$A$800, ""(?i)"" &amp; $E$1), NOT(REGEXMATCH(RawData_SemEval!$A$2:$A$800, ""(?i)ensemble""))), ""0.00"") &amp; 
"")"""),"(0.23, 0.31)")</f>
        <v>(0.23, 0.31)</v>
      </c>
      <c r="F97" s="89" t="str">
        <f>IFERROR(__xludf.DUMMYFUNCTION("""("" &amp; 
TEXT(FILTER(RawData_SemEval!$F$2:$F$800, REGEXMATCH(RawData_SemEval!$A$2:$A$800, ""(?i)(_|^)"" &amp; $A$1 &amp; ""(_|$)""), REGEXMATCH(RawData_SemEval!$A$2:$A$800, ""(?i)"" &amp; $A96), REGEXMATCH(RawData_SemEval!$A$2:$A$800, ""(?i)"" &amp; $E$1),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$A96), REGEXMA"&amp;"TCH(RawData_SemEval!$A$2:$A$800, ""(?i)"" &amp; $E$1), NOT(REGEXMATCH(RawData_SemEval!$A$2:$A$800, ""(?i)ensemble""))), ""0.00"") &amp; 
"")"""),"(0.04, 0.08)")</f>
        <v>(0.04, 0.08)</v>
      </c>
      <c r="G97" s="89" t="str">
        <f>IFERROR(__xludf.DUMMYFUNCTION("""("" &amp; 
TEXT(FILTER(RawData_SemEval!$C$2:$C$800, REGEXMATCH(RawData_SemEval!$A$2:$A$800, ""(?i)(_|^)"" &amp; $A$1 &amp; ""(_|$)""), REGEXMATCH(RawData_SemEval!$A$2:$A$800, ""(?i)"" &amp; $A96), REGEXMATCH(RawData_SemEval!$A$2:$A$800, ""(?i)"" &amp; $G$1), NOT(REGEXMATCH"&amp;"(RawData_SemEval!$A$2:$A$800, ""(?i)ensemble""))), ""0.00"") &amp; 
"", "" &amp; 
TEXT(FILTER(RawData_SemEval!$D$2:$D$800, REGEXMATCH(RawData_SemEval!$A$2:$A$800, ""(?i)(_|^)"" &amp; $A$1 &amp; ""(_|$)""), REGEXMATCH(RawData_SemEval!$A$2:$A$800, ""(?i)"" &amp; $A96), REGEXMA"&amp;"TCH(RawData_SemEval!$A$2:$A$800, ""(?i)"" &amp; $G$1), NOT(REGEXMATCH(RawData_SemEval!$A$2:$A$800, ""(?i)ensemble""))), ""0.00"") &amp; 
"")"""),"(0.22, 0.30)")</f>
        <v>(0.22, 0.30)</v>
      </c>
      <c r="H97" s="89" t="str">
        <f>IFERROR(__xludf.DUMMYFUNCTION("""("" &amp; 
TEXT(FILTER(RawData_SemEval!$F$2:$F$800, REGEXMATCH(RawData_SemEval!$A$2:$A$800, ""(?i)(_|^)"" &amp; $A$1 &amp; ""(_|$)""), REGEXMATCH(RawData_SemEval!$A$2:$A$800, ""(?i)"" &amp; $A96), REGEXMATCH(RawData_SemEval!$A$2:$A$800, ""(?i)"" &amp; $G$1), NOT(REGEXMATCH"&amp;"(RawData_SemEval!$A$2:$A$800, ""(?i)ensemble""))), ""0.00"") &amp; 
"", "" &amp; 
TEXT(FILTER(RawData_SemEval!$G$2:$G$800, REGEXMATCH(RawData_SemEval!$A$2:$A$800, ""(?i)(_|^)"" &amp; $A$1 &amp; ""(_|$)""), REGEXMATCH(RawData_SemEval!$A$2:$A$800, ""(?i)"" &amp; $A96), REGEXMA"&amp;"TCH(RawData_SemEval!$A$2:$A$800, ""(?i)"" &amp; $G$1), NOT(REGEXMATCH(RawData_SemEval!$A$2:$A$800, ""(?i)ensemble""))), ""0.00"") &amp; 
"")"""),"(0.09, 0.15)")</f>
        <v>(0.09, 0.15)</v>
      </c>
    </row>
    <row r="98">
      <c r="A98" s="84"/>
      <c r="B98" s="26" t="s">
        <v>74</v>
      </c>
      <c r="C98" s="93" t="str">
        <f>IFERROR(__xludf.DUMMYFUNCTION("FILTER(
  RawData_Ensembles!$B$2:$B$1300, 
  REGEXMATCH(RawData_Ensembles!$A$2:$A$1300, ""(?i)(_|^)"" &amp; $A$1 &amp; ""(_|$)""), 
  REGEXMATCH(RawData_Ensembles!$A$2:$A$1300, ""(?i)"" &amp; $A96), 
  REGEXMATCH(RawData_Ensembles!$A$2:$A$1300, ""(?i)"" &amp; $C$1), 
  R"&amp;"EGEXMATCH(RawData_Ensembles!$A$2:$A$1300, ""(?i)"" &amp; $B98)
)"),"")</f>
        <v/>
      </c>
      <c r="D98" s="93" t="str">
        <f>IFERROR(__xludf.DUMMYFUNCTION("FILTER(
  RawData_Ensembles!$C$2:$C$1300, 
  REGEXMATCH(RawData_Ensembles!$A$2:$A$1300, ""(?i)(_|^)"" &amp; $A$1 &amp; ""(_|$)""), 
  REGEXMATCH(RawData_Ensembles!$A$2:$A$1300, ""(?i)"" &amp; $A96), 
  REGEXMATCH(RawData_Ensembles!$A$2:$A$1300, ""(?i)"" &amp; $C$1), 
  R"&amp;"EGEXMATCH(RawData_Ensembles!$A$2:$A$1300, ""(?i)"" &amp; $B98)
)"),"")</f>
        <v/>
      </c>
      <c r="E98" s="88">
        <f>IFERROR(__xludf.DUMMYFUNCTION("FILTER(
  RawData_Ensembles!$B$2:$B$1300, 
  REGEXMATCH(RawData_Ensembles!$A$2:$A$1300, ""(?i)(_|^)"" &amp; $A$1 &amp; ""(_|$)""), 
  REGEXMATCH(RawData_Ensembles!$A$2:$A$1300, ""(?i)"" &amp; $A96), 
  REGEXMATCH(RawData_Ensembles!$A$2:$A$1300, ""(?i)"" &amp; $E$1), 
  R"&amp;"EGEXMATCH(RawData_Ensembles!$A$2:$A$1300, ""(?i)"" &amp; $B98)
)"),0.181309041835357)</f>
        <v>0.1813090418</v>
      </c>
      <c r="F98" s="88">
        <f>IFERROR(__xludf.DUMMYFUNCTION("FILTER(
  RawData_Ensembles!$C$2:$C$1300, 
  REGEXMATCH(RawData_Ensembles!$A$2:$A$1300, ""(?i)(_|^)"" &amp; $A$1 &amp; ""(_|$)""), 
  REGEXMATCH(RawData_Ensembles!$A$2:$A$1300, ""(?i)"" &amp; $A96), 
  REGEXMATCH(RawData_Ensembles!$A$2:$A$1300, ""(?i)"" &amp; $E$1), 
  R"&amp;"EGEXMATCH(RawData_Ensembles!$A$2:$A$1300, ""(?i)"" &amp; $B98)
)"),0.039897821476768)</f>
        <v>0.03989782148</v>
      </c>
      <c r="G98" s="88">
        <f>IFERROR(__xludf.DUMMYFUNCTION("FILTER(
  RawData_Ensembles!$B$2:$B$1300, 
  REGEXMATCH(RawData_Ensembles!$A$2:$A$1300, ""(?i)(_|^)"" &amp; $A$1 &amp; ""(_|$)""), 
  REGEXMATCH(RawData_Ensembles!$A$2:$A$1300, ""(?i)"" &amp; $A96), 
  REGEXMATCH(RawData_Ensembles!$A$2:$A$1300, ""(?i)"" &amp; $G$1), 
  R"&amp;"EGEXMATCH(RawData_Ensembles!$A$2:$A$1300, ""(?i)"" &amp; $B98)
)"),0.243146327356853)</f>
        <v>0.2431463274</v>
      </c>
      <c r="H98" s="88">
        <f>IFERROR(__xludf.DUMMYFUNCTION("FILTER(
  RawData_Ensembles!$C$2:$G$1300, 
  REGEXMATCH(RawData_Ensembles!$A$2:$A$1300, ""(?i)(_|^)"" &amp; $A$1 &amp; ""(_|$)""), 
  REGEXMATCH(RawData_Ensembles!$A$2:$A$1300, ""(?i)"" &amp; $A96), 
  REGEXMATCH(RawData_Ensembles!$A$2:$A$1300, ""(?i)"" &amp; $G$1), 
  R"&amp;"EGEXMATCH(RawData_Ensembles!$A$2:$A$1300, ""(?i)"" &amp; $B98)
)"),0.121699645383855)</f>
        <v>0.1216996454</v>
      </c>
      <c r="I98" s="11"/>
      <c r="J98" s="11"/>
      <c r="K98" s="11"/>
      <c r="L98" s="11"/>
    </row>
    <row r="99">
      <c r="A99" s="98"/>
      <c r="B99" s="51" t="s">
        <v>75</v>
      </c>
      <c r="C99" s="93" t="str">
        <f>IFERROR(__xludf.DUMMYFUNCTION("FILTER(
  RawData_Ensembles!$B$2:$B$1300, 
  REGEXMATCH(RawData_Ensembles!$A$2:$A$1300, ""(?i)(_|^)"" &amp; $A$1 &amp; ""(_|$)""), 
  REGEXMATCH(RawData_Ensembles!$A$2:$A$1300, ""(?i)"" &amp; $A96), 
  REGEXMATCH(RawData_Ensembles!$A$2:$A$1300, ""(?i)"" &amp; $C$1), 
  R"&amp;"EGEXMATCH(RawData_Ensembles!$A$2:$A$1300, ""(?i)"" &amp; $B99)
)"),"")</f>
        <v/>
      </c>
      <c r="D99" s="93" t="str">
        <f>IFERROR(__xludf.DUMMYFUNCTION("FILTER(
  RawData_Ensembles!$C$2:$C$1300, 
  REGEXMATCH(RawData_Ensembles!$A$2:$A$1300, ""(?i)(_|^)"" &amp; $A$1 &amp; ""(_|$)""), 
  REGEXMATCH(RawData_Ensembles!$A$2:$A$1300, ""(?i)"" &amp; $A96), 
  REGEXMATCH(RawData_Ensembles!$A$2:$A$1300, ""(?i)"" &amp; $C$1), 
  R"&amp;"EGEXMATCH(RawData_Ensembles!$A$2:$A$1300, ""(?i)"" &amp; $B99)
)"),"")</f>
        <v/>
      </c>
      <c r="E99" s="88">
        <f>IFERROR(__xludf.DUMMYFUNCTION("FILTER(
  RawData_Ensembles!$B$2:$B$1300, 
  REGEXMATCH(RawData_Ensembles!$A$2:$A$1300, ""(?i)(_|^)"" &amp; $A$1 &amp; ""(_|$)""), 
  REGEXMATCH(RawData_Ensembles!$A$2:$A$1300, ""(?i)"" &amp; $A96), 
  REGEXMATCH(RawData_Ensembles!$A$2:$A$1300, ""(?i)"" &amp; $E$1), 
  R"&amp;"EGEXMATCH(RawData_Ensembles!$A$2:$A$1300, ""(?i)"" &amp; $B99)
)"),0.35766747872011)</f>
        <v>0.3576674787</v>
      </c>
      <c r="F99" s="88">
        <f>IFERROR(__xludf.DUMMYFUNCTION("FILTER(
  RawData_Ensembles!$C$2:$C$1300, 
  REGEXMATCH(RawData_Ensembles!$A$2:$A$1300, ""(?i)(_|^)"" &amp; $A$1 &amp; ""(_|$)""), 
  REGEXMATCH(RawData_Ensembles!$A$2:$A$1300, ""(?i)"" &amp; $A96), 
  REGEXMATCH(RawData_Ensembles!$A$2:$A$1300, ""(?i)"" &amp; $E$1), 
  R"&amp;"EGEXMATCH(RawData_Ensembles!$A$2:$A$1300, ""(?i)"" &amp; $B99)
)"),0.083285753832312)</f>
        <v>0.08328575383</v>
      </c>
      <c r="G99" s="88">
        <f>IFERROR(__xludf.DUMMYFUNCTION("FILTER(
  RawData_Ensembles!$B$2:$B$1300, 
  REGEXMATCH(RawData_Ensembles!$A$2:$A$1300, ""(?i)(_|^)"" &amp; $A$1 &amp; ""(_|$)""), 
  REGEXMATCH(RawData_Ensembles!$A$2:$A$1300, ""(?i)"" &amp; $A96), 
  REGEXMATCH(RawData_Ensembles!$A$2:$A$1300, ""(?i)"" &amp; $G$1), 
  R"&amp;"EGEXMATCH(RawData_Ensembles!$A$2:$A$1300, ""(?i)"" &amp; $B99)
)"),0.292752434250409)</f>
        <v>0.2927524343</v>
      </c>
      <c r="H99" s="88">
        <f>IFERROR(__xludf.DUMMYFUNCTION("FILTER(
  RawData_Ensembles!$C$2:$G$1300, 
  REGEXMATCH(RawData_Ensembles!$A$2:$A$1300, ""(?i)(_|^)"" &amp; $A$1 &amp; ""(_|$)""), 
  REGEXMATCH(RawData_Ensembles!$A$2:$A$1300, ""(?i)"" &amp; $A96), 
  REGEXMATCH(RawData_Ensembles!$A$2:$A$1300, ""(?i)"" &amp; $G$1), 
  R"&amp;"EGEXMATCH(RawData_Ensembles!$A$2:$A$1300, ""(?i)"" &amp; $B99)
)"),0.130128237510947)</f>
        <v>0.1301282375</v>
      </c>
      <c r="I99" s="11"/>
      <c r="J99" s="11"/>
      <c r="K99" s="11"/>
      <c r="L99" s="11"/>
    </row>
    <row r="100">
      <c r="A100" s="26" t="s">
        <v>2313</v>
      </c>
      <c r="B100" s="43" t="s">
        <v>21</v>
      </c>
      <c r="C100" s="88">
        <f>IFERROR(__xludf.DUMMYFUNCTION("FILTER(
    RawData_SemEval!$B$2:$B$800, 
    REGEXMATCH(RawData_SemEval!$A$2:$A$800, ""(?i)(_|^)"" &amp; $A$1 &amp; ""(_|$)""), 
    REGEXMATCH(RawData_SemEval!$A$2:$A$800, ""(?i)"" &amp; $A100), 
    REGEXMATCH(RawData_SemEval!$A$2:$A$800, ""(?i)"" &amp; $C$1),
    NOT"&amp;"(REGEXMATCH(RawData_SemEval!$A$2:$A$800, ""(?i)ensemble""))
  )"),0.232173196394249)</f>
        <v>0.2321731964</v>
      </c>
      <c r="D100" s="88">
        <f>IFERROR(__xludf.DUMMYFUNCTION("FILTER(RawData_SemEval!$E$2:$E$800, 
  REGEXMATCH(RawData_SemEval!$A$2:$A$800, ""(?i)(_|^)"" &amp; $A$1 &amp; ""(_|$)""), 
  REGEXMATCH(RawData_SemEval!$A$2:$A$800, ""(?i)"" &amp; $A100), 
  REGEXMATCH(RawData_SemEval!$A$2:$A$800, ""(?i)"" &amp; $C$1), 
  NOT(REGEXMATCH("&amp;"RawData_SemEval!$A$2:$A$800,  ""(?i)ensemble""))
)"),0.039748113874429)</f>
        <v>0.03974811387</v>
      </c>
      <c r="E100" s="88">
        <f>IFERROR(__xludf.DUMMYFUNCTION("FILTER(
    RawData_SemEval!$B$2:$B$800, 
    REGEXMATCH(RawData_SemEval!$A$2:$A$800, ""(?i)(_|^)"" &amp; $A$1 &amp; ""(_|$)""), 
    REGEXMATCH(RawData_SemEval!$A$2:$A$800, ""(?i)"" &amp; $A100), 
    REGEXMATCH(RawData_SemEval!$A$2:$A$800, ""(?i)"" &amp; $E$1),
    NOT"&amp;"(REGEXMATCH(RawData_SemEval!$A$2:$A$800, ""(?i)ensemble""))
  )"),0.302676293297345)</f>
        <v>0.3026762933</v>
      </c>
      <c r="F100" s="88">
        <f>IFERROR(__xludf.DUMMYFUNCTION("FILTER(RawData_SemEval!$E$2:$E$800, 
  REGEXMATCH(RawData_SemEval!$A$2:$A$800, ""(?i)(_|^)"" &amp; $A$1 &amp; ""(_|$)""), 
  REGEXMATCH(RawData_SemEval!$A$2:$A$800, ""(?i)"" &amp; $A100), 
  REGEXMATCH(RawData_SemEval!$A$2:$A$800, ""(?i)"" &amp; $E$1), 
  NOT(REGEXMATCH("&amp;"RawData_SemEval!$A$2:$A$800,  ""(?i)ensemble""))
)"),0.044550067970715)</f>
        <v>0.04455006797</v>
      </c>
      <c r="G100" s="88">
        <f>IFERROR(__xludf.DUMMYFUNCTION("FILTER(
    RawData_SemEval!$B$2:$B$800, 
    REGEXMATCH(RawData_SemEval!$A$2:$A$800, ""(?i)(_|^)"" &amp; $A$1 &amp; ""(_|$)""), 
    REGEXMATCH(RawData_SemEval!$A$2:$A$800, ""(?i)"" &amp; $A100), 
    REGEXMATCH(RawData_SemEval!$A$2:$A$800, ""(?i)"" &amp; $G$1),
    NOT"&amp;"(REGEXMATCH(RawData_SemEval!$A$2:$A$800, ""(?i)ensemble""))
  )"),0.207104738828423)</f>
        <v>0.2071047388</v>
      </c>
      <c r="H100" s="88">
        <f>IFERROR(__xludf.DUMMYFUNCTION("FILTER(RawData_SemEval!$E$2:$E$800, 
  REGEXMATCH(RawData_SemEval!$A$2:$A$800, ""(?i)(_|^)"" &amp; $A$1 &amp; ""(_|$)""), 
  REGEXMATCH(RawData_SemEval!$A$2:$A$800, ""(?i)"" &amp; $A100), 
  REGEXMATCH(RawData_SemEval!$A$2:$A$800, ""(?i)"" &amp; $G$1), 
  NOT(REGEXMATCH("&amp;"RawData_SemEval!$A$2:$A$800,  ""(?i)ensemble""))
)"),0.087871224883977)</f>
        <v>0.08787122488</v>
      </c>
    </row>
    <row r="101">
      <c r="A101" s="26"/>
      <c r="B101" s="43"/>
      <c r="C101" s="89" t="str">
        <f>IFERROR(__xludf.DUMMYFUNCTION("""("" &amp; 
TEXT(FILTER(RawData_SemEval!$C$2:$C$800, REGEXMATCH(RawData_SemEval!$A$2:$A$800, ""(?i)(_|^)"" &amp; $A$1 &amp; ""(_|$)""), REGEXMATCH(RawData_SemEval!$A$2:$A$800, ""(?i)"" &amp; $A100), REGEXMATCH(RawData_SemEval!$A$2:$A$800, ""(?i)"" &amp; $C$1),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$A100), REGEX"&amp;"MATCH(RawData_SemEval!$A$2:$A$800, ""(?i)"" &amp; $C$1), NOT(REGEXMATCH(RawData_SemEval!$A$2:$A$800, ""(?i)ensemble""))), ""0.00"") &amp; 
"")"""),"(0.20, 0.27)")</f>
        <v>(0.20, 0.27)</v>
      </c>
      <c r="D101" s="89" t="str">
        <f>IFERROR(__xludf.DUMMYFUNCTION("""("" &amp; 
TEXT(FILTER(RawData_SemEval!$F$2:$F$800, REGEXMATCH(RawData_SemEval!$A$2:$A$800, ""(?i)(_|^)"" &amp; $A$1 &amp; ""(_|$)""), REGEXMATCH(RawData_SemEval!$A$2:$A$800, ""(?i)"" &amp; $A100), REGEXMATCH(RawData_SemEval!$A$2:$A$800, ""(?i)"" &amp; $C$1),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$A100), REGEX"&amp;"MATCH(RawData_SemEval!$A$2:$A$800, ""(?i)"" &amp; $C$1), NOT(REGEXMATCH(RawData_SemEval!$A$2:$A$800, ""(?i)ensemble""))), ""0.00"") &amp; 
"")"""),"(0.03, 0.06)")</f>
        <v>(0.03, 0.06)</v>
      </c>
      <c r="E101" s="89" t="str">
        <f>IFERROR(__xludf.DUMMYFUNCTION("""("" &amp; 
TEXT(FILTER(RawData_SemEval!$C$2:$C$800, REGEXMATCH(RawData_SemEval!$A$2:$A$800, ""(?i)(_|^)"" &amp; $A$1 &amp; ""(_|$)""), REGEXMATCH(RawData_SemEval!$A$2:$A$800, ""(?i)"" &amp; $A100), REGEXMATCH(RawData_SemEval!$A$2:$A$800, ""(?i)"" &amp; $E$1),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$A100), REGEX"&amp;"MATCH(RawData_SemEval!$A$2:$A$800, ""(?i)"" &amp; $E$1), NOT(REGEXMATCH(RawData_SemEval!$A$2:$A$800, ""(?i)ensemble""))), ""0.00"") &amp; 
"")"""),"(0.26, 0.34)")</f>
        <v>(0.26, 0.34)</v>
      </c>
      <c r="F101" s="89" t="str">
        <f>IFERROR(__xludf.DUMMYFUNCTION("""("" &amp; 
TEXT(FILTER(RawData_SemEval!$F$2:$F$800, REGEXMATCH(RawData_SemEval!$A$2:$A$800, ""(?i)(_|^)"" &amp; $A$1 &amp; ""(_|$)""), REGEXMATCH(RawData_SemEval!$A$2:$A$800, ""(?i)"" &amp; $A100), REGEXMATCH(RawData_SemEval!$A$2:$A$800, ""(?i)"" &amp; $E$1),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$A100), REGEX"&amp;"MATCH(RawData_SemEval!$A$2:$A$800, ""(?i)"" &amp; $E$1), NOT(REGEXMATCH(RawData_SemEval!$A$2:$A$800, ""(?i)ensemble""))), ""0.00"") &amp; 
"")"""),"(0.03, 0.06)")</f>
        <v>(0.03, 0.06)</v>
      </c>
      <c r="G101" s="89" t="str">
        <f>IFERROR(__xludf.DUMMYFUNCTION("""("" &amp; 
TEXT(FILTER(RawData_SemEval!$C$2:$C$800, REGEXMATCH(RawData_SemEval!$A$2:$A$800, ""(?i)(_|^)"" &amp; $A$1 &amp; ""(_|$)""), REGEXMATCH(RawData_SemEval!$A$2:$A$800, ""(?i)"" &amp; $A100), REGEXMATCH(RawData_SemEval!$A$2:$A$800, ""(?i)"" &amp; $G$1),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$A100), REGEX"&amp;"MATCH(RawData_SemEval!$A$2:$A$800, ""(?i)"" &amp; $G$1), NOT(REGEXMATCH(RawData_SemEval!$A$2:$A$800, ""(?i)ensemble""))), ""0.00"") &amp; 
"")"""),"(0.18, 0.24)")</f>
        <v>(0.18, 0.24)</v>
      </c>
      <c r="H101" s="89" t="str">
        <f>IFERROR(__xludf.DUMMYFUNCTION("""("" &amp; 
TEXT(FILTER(RawData_SemEval!$F$2:$F$800, REGEXMATCH(RawData_SemEval!$A$2:$A$800, ""(?i)(_|^)"" &amp; $A$1 &amp; ""(_|$)""), REGEXMATCH(RawData_SemEval!$A$2:$A$800, ""(?i)"" &amp; $A100), REGEXMATCH(RawData_SemEval!$A$2:$A$800, ""(?i)"" &amp; $G$1),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$A100), REGEX"&amp;"MATCH(RawData_SemEval!$A$2:$A$800, ""(?i)"" &amp; $G$1), NOT(REGEXMATCH(RawData_SemEval!$A$2:$A$800, ""(?i)ensemble""))), ""0.00"") &amp; 
"")"""),"(0.07, 0.11)")</f>
        <v>(0.07, 0.11)</v>
      </c>
    </row>
    <row r="102">
      <c r="A102" s="84"/>
      <c r="B102" s="43" t="s">
        <v>74</v>
      </c>
      <c r="C102" s="88">
        <f>IFERROR(__xludf.DUMMYFUNCTION("FILTER(
  RawData_Ensembles!$B$2:$B$1300, 
  REGEXMATCH(RawData_Ensembles!$A$2:$A$1300, ""(?i)(_|^)"" &amp; $A$1 &amp; ""(_|$)""), 
  REGEXMATCH(RawData_Ensembles!$A$2:$A$1300, ""(?i)"" &amp; $A100), 
  REGEXMATCH(RawData_Ensembles!$A$2:$A$1300, ""(?i)"" &amp; $C$1), 
  "&amp;"REGEXMATCH(RawData_Ensembles!$A$2:$A$1300, ""(?i)"" &amp; $B102)
)"),0.147204549836128)</f>
        <v>0.1472045498</v>
      </c>
      <c r="D102" s="88">
        <f>IFERROR(__xludf.DUMMYFUNCTION("FILTER(
  RawData_Ensembles!$C$2:$C$1300, 
  REGEXMATCH(RawData_Ensembles!$A$2:$A$1300, ""(?i)(_|^)"" &amp; $A$1 &amp; ""(_|$)""), 
  REGEXMATCH(RawData_Ensembles!$A$2:$A$1300, ""(?i)"" &amp; $A100), 
  REGEXMATCH(RawData_Ensembles!$A$2:$A$1300, ""(?i)"" &amp; $C$1), 
  "&amp;"REGEXMATCH(RawData_Ensembles!$A$2:$A$1300, ""(?i)"" &amp; $B102)
)"),0.023099415204678)</f>
        <v>0.0230994152</v>
      </c>
      <c r="E102" s="88">
        <f>IFERROR(__xludf.DUMMYFUNCTION("FILTER(
  RawData_Ensembles!$B$2:$B$1300, 
  REGEXMATCH(RawData_Ensembles!$A$2:$A$1300, ""(?i)(_|^)"" &amp; $A$1 &amp; ""(_|$)""), 
  REGEXMATCH(RawData_Ensembles!$A$2:$A$1300, ""(?i)"" &amp; $A100), 
  REGEXMATCH(RawData_Ensembles!$A$2:$A$1300, ""(?i)"" &amp; $E$1), 
  "&amp;"REGEXMATCH(RawData_Ensembles!$A$2:$A$1300, ""(?i)"" &amp; $B102)
)"),0.286736070946597)</f>
        <v>0.2867360709</v>
      </c>
      <c r="F102" s="88">
        <f>IFERROR(__xludf.DUMMYFUNCTION("FILTER(
  RawData_Ensembles!$C$2:$C$1300, 
  REGEXMATCH(RawData_Ensembles!$A$2:$A$1300, ""(?i)(_|^)"" &amp; $A$1 &amp; ""(_|$)""), 
  REGEXMATCH(RawData_Ensembles!$A$2:$A$1300, ""(?i)"" &amp; $A100), 
  REGEXMATCH(RawData_Ensembles!$A$2:$A$1300, ""(?i)"" &amp; $E$1), 
  "&amp;"REGEXMATCH(RawData_Ensembles!$A$2:$A$1300, ""(?i)"" &amp; $B102)
)"),0.034952766531713)</f>
        <v>0.03495276653</v>
      </c>
      <c r="G102" s="88">
        <f>IFERROR(__xludf.DUMMYFUNCTION("FILTER(
  RawData_Ensembles!$B$2:$B$1300, 
  REGEXMATCH(RawData_Ensembles!$A$2:$A$1300, ""(?i)(_|^)"" &amp; $A$1 &amp; ""(_|$)""), 
  REGEXMATCH(RawData_Ensembles!$A$2:$A$1300, ""(?i)"" &amp; $A100), 
  REGEXMATCH(RawData_Ensembles!$A$2:$A$1300, ""(?i)"" &amp; $G$1), 
  "&amp;"REGEXMATCH(RawData_Ensembles!$A$2:$A$1300, ""(?i)"" &amp; $B102)
)"),0.154472720262193)</f>
        <v>0.1544727203</v>
      </c>
      <c r="H102" s="88">
        <f>IFERROR(__xludf.DUMMYFUNCTION("FILTER(
  RawData_Ensembles!$C$2:$G$1300, 
  REGEXMATCH(RawData_Ensembles!$A$2:$A$1300, ""(?i)(_|^)"" &amp; $A$1 &amp; ""(_|$)""), 
  REGEXMATCH(RawData_Ensembles!$A$2:$A$1300, ""(?i)"" &amp; $A100), 
  REGEXMATCH(RawData_Ensembles!$A$2:$A$1300, ""(?i)"" &amp; $G$1), 
  "&amp;"REGEXMATCH(RawData_Ensembles!$A$2:$A$1300, ""(?i)"" &amp; $B102)
)"),0.06678234046655)</f>
        <v>0.06678234047</v>
      </c>
      <c r="I102" s="11"/>
      <c r="J102" s="11"/>
      <c r="K102" s="11"/>
      <c r="L102" s="11"/>
    </row>
    <row r="103">
      <c r="A103" s="84"/>
      <c r="B103" s="91" t="s">
        <v>75</v>
      </c>
      <c r="C103" s="88">
        <f>IFERROR(__xludf.DUMMYFUNCTION("FILTER(
  RawData_Ensembles!$B$2:$B$1300, 
  REGEXMATCH(RawData_Ensembles!$A$2:$A$1300, ""(?i)(_|^)"" &amp; $A$1 &amp; ""(_|$)""), 
  REGEXMATCH(RawData_Ensembles!$A$2:$A$1300, ""(?i)"" &amp; $A100), 
  REGEXMATCH(RawData_Ensembles!$A$2:$A$1300, ""(?i)"" &amp; $C$1), 
  "&amp;"REGEXMATCH(RawData_Ensembles!$A$2:$A$1300, ""(?i)"" &amp; $B103)
)"),0.274769528716897)</f>
        <v>0.2747695287</v>
      </c>
      <c r="D103" s="88">
        <f>IFERROR(__xludf.DUMMYFUNCTION("FILTER(
  RawData_Ensembles!$C$2:$C$1300, 
  REGEXMATCH(RawData_Ensembles!$A$2:$A$1300, ""(?i)(_|^)"" &amp; $A$1 &amp; ""(_|$)""), 
  REGEXMATCH(RawData_Ensembles!$A$2:$A$1300, ""(?i)"" &amp; $A100), 
  REGEXMATCH(RawData_Ensembles!$A$2:$A$1300, ""(?i)"" &amp; $C$1), 
  "&amp;"REGEXMATCH(RawData_Ensembles!$A$2:$A$1300, ""(?i)"" &amp; $B103)
)"),0.071595759354436)</f>
        <v>0.07159575935</v>
      </c>
      <c r="E103" s="88">
        <f>IFERROR(__xludf.DUMMYFUNCTION("FILTER(
  RawData_Ensembles!$B$2:$B$1300, 
  REGEXMATCH(RawData_Ensembles!$A$2:$A$1300, ""(?i)(_|^)"" &amp; $A$1 &amp; ""(_|$)""), 
  REGEXMATCH(RawData_Ensembles!$A$2:$A$1300, ""(?i)"" &amp; $A100), 
  REGEXMATCH(RawData_Ensembles!$A$2:$A$1300, ""(?i)"" &amp; $E$1), 
  "&amp;"REGEXMATCH(RawData_Ensembles!$A$2:$A$1300, ""(?i)"" &amp; $B103)
)"),0.34665247033668)</f>
        <v>0.3466524703</v>
      </c>
      <c r="F103" s="88">
        <f>IFERROR(__xludf.DUMMYFUNCTION("FILTER(
  RawData_Ensembles!$C$2:$C$1300, 
  REGEXMATCH(RawData_Ensembles!$A$2:$A$1300, ""(?i)(_|^)"" &amp; $A$1 &amp; ""(_|$)""), 
  REGEXMATCH(RawData_Ensembles!$A$2:$A$1300, ""(?i)"" &amp; $A100), 
  REGEXMATCH(RawData_Ensembles!$A$2:$A$1300, ""(?i)"" &amp; $E$1), 
  "&amp;"REGEXMATCH(RawData_Ensembles!$A$2:$A$1300, ""(?i)"" &amp; $B103)
)"),0.078392927937932)</f>
        <v>0.07839292794</v>
      </c>
      <c r="G103" s="88">
        <f>IFERROR(__xludf.DUMMYFUNCTION("FILTER(
  RawData_Ensembles!$B$2:$B$1300, 
  REGEXMATCH(RawData_Ensembles!$A$2:$A$1300, ""(?i)(_|^)"" &amp; $A$1 &amp; ""(_|$)""), 
  REGEXMATCH(RawData_Ensembles!$A$2:$A$1300, ""(?i)"" &amp; $A100), 
  REGEXMATCH(RawData_Ensembles!$A$2:$A$1300, ""(?i)"" &amp; $G$1), 
  "&amp;"REGEXMATCH(RawData_Ensembles!$A$2:$A$1300, ""(?i)"" &amp; $B103)
)"),0.275002752533116)</f>
        <v>0.2750027525</v>
      </c>
      <c r="H103" s="88">
        <f>IFERROR(__xludf.DUMMYFUNCTION("FILTER(
  RawData_Ensembles!$C$2:$G$1300, 
  REGEXMATCH(RawData_Ensembles!$A$2:$A$1300, ""(?i)(_|^)"" &amp; $A$1 &amp; ""(_|$)""), 
  REGEXMATCH(RawData_Ensembles!$A$2:$A$1300, ""(?i)"" &amp; $A100), 
  REGEXMATCH(RawData_Ensembles!$A$2:$A$1300, ""(?i)"" &amp; $G$1), 
  "&amp;"REGEXMATCH(RawData_Ensembles!$A$2:$A$1300, ""(?i)"" &amp; $B103)
)"),0.111373635700848)</f>
        <v>0.1113736357</v>
      </c>
      <c r="I103" s="11"/>
      <c r="J103" s="11"/>
      <c r="K103" s="11"/>
      <c r="L103" s="11"/>
    </row>
    <row r="104">
      <c r="A104" s="84" t="s">
        <v>2315</v>
      </c>
      <c r="B104" s="26" t="s">
        <v>26</v>
      </c>
      <c r="C104" s="88">
        <f>IFERROR(__xludf.DUMMYFUNCTION("FILTER(
    RawData_SemEval!$B$2:$B$800, 
    REGEXMATCH(RawData_SemEval!$A$2:$A$800, ""(?i)(_|^)"" &amp; $A$1 &amp; ""(_|$)""), 
    REGEXMATCH(RawData_SemEval!$A$2:$A$800, ""(?i)"" &amp; $A104), 
    REGEXMATCH(RawData_SemEval!$A$2:$A$800, ""(?i)"" &amp; $C$1),
    NOT"&amp;"(REGEXMATCH(RawData_SemEval!$A$2:$A$800, ""(?i)ensemble""))
  )"),0.230424664224664)</f>
        <v>0.2304246642</v>
      </c>
      <c r="D104" s="88">
        <f>IFERROR(__xludf.DUMMYFUNCTION("FILTER(RawData_SemEval!$E$2:$E$800, 
  REGEXMATCH(RawData_SemEval!$A$2:$A$800, ""(?i)(_|^)"" &amp; $A$1 &amp; ""(_|$)""), 
  REGEXMATCH(RawData_SemEval!$A$2:$A$800, ""(?i)"" &amp; $A104), 
  REGEXMATCH(RawData_SemEval!$A$2:$A$800, ""(?i)"" &amp; $C$1), 
  NOT(REGEXMATCH("&amp;"RawData_SemEval!$A$2:$A$800,  ""(?i)ensemble""))
)"),0.023545608350264)</f>
        <v>0.02354560835</v>
      </c>
      <c r="E104" s="88">
        <f>IFERROR(__xludf.DUMMYFUNCTION("FILTER(
    RawData_SemEval!$B$2:$B$800, 
    REGEXMATCH(RawData_SemEval!$A$2:$A$800, ""(?i)(_|^)"" &amp; $A$1 &amp; ""(_|$)""), 
    REGEXMATCH(RawData_SemEval!$A$2:$A$800, ""(?i)"" &amp; $A104), 
    REGEXMATCH(RawData_SemEval!$A$2:$A$800, ""(?i)"" &amp; $E$1),
    NOT"&amp;"(REGEXMATCH(RawData_SemEval!$A$2:$A$800, ""(?i)ensemble""))
  )"),0.321656297795771)</f>
        <v>0.3216562978</v>
      </c>
      <c r="F104" s="88">
        <f>IFERROR(__xludf.DUMMYFUNCTION("FILTER(RawData_SemEval!$E$2:$E$800, 
  REGEXMATCH(RawData_SemEval!$A$2:$A$800, ""(?i)(_|^)"" &amp; $A$1 &amp; ""(_|$)""), 
  REGEXMATCH(RawData_SemEval!$A$2:$A$800, ""(?i)"" &amp; $A104), 
  REGEXMATCH(RawData_SemEval!$A$2:$A$800, ""(?i)"" &amp; $E$1), 
  NOT(REGEXMATCH("&amp;"RawData_SemEval!$A$2:$A$800,  ""(?i)ensemble""))
)"),0.04430764314408)</f>
        <v>0.04430764314</v>
      </c>
      <c r="G104" s="88">
        <f>IFERROR(__xludf.DUMMYFUNCTION("FILTER(
    RawData_SemEval!$B$2:$B$800, 
    REGEXMATCH(RawData_SemEval!$A$2:$A$800, ""(?i)(_|^)"" &amp; $A$1 &amp; ""(_|$)""), 
    REGEXMATCH(RawData_SemEval!$A$2:$A$800, ""(?i)"" &amp; $A104), 
    REGEXMATCH(RawData_SemEval!$A$2:$A$800, ""(?i)"" &amp; $G$1),
    NOT"&amp;"(REGEXMATCH(RawData_SemEval!$A$2:$A$800, ""(?i)ensemble""))
  )"),0.238378224888286)</f>
        <v>0.2383782249</v>
      </c>
      <c r="H104" s="88">
        <f>IFERROR(__xludf.DUMMYFUNCTION("FILTER(RawData_SemEval!$E$2:$E$800, 
  REGEXMATCH(RawData_SemEval!$A$2:$A$800, ""(?i)(_|^)"" &amp; $A$1 &amp; ""(_|$)""), 
  REGEXMATCH(RawData_SemEval!$A$2:$A$800, ""(?i)"" &amp; $A104), 
  REGEXMATCH(RawData_SemEval!$A$2:$A$800, ""(?i)"" &amp; $G$1), 
  NOT(REGEXMATCH("&amp;"RawData_SemEval!$A$2:$A$800,  ""(?i)ensemble""))
)"),0.083454375288068)</f>
        <v>0.08345437529</v>
      </c>
    </row>
    <row r="105">
      <c r="A105" s="84"/>
      <c r="B105" s="26"/>
      <c r="C105" s="89" t="str">
        <f>IFERROR(__xludf.DUMMYFUNCTION("""("" &amp; 
TEXT(FILTER(RawData_SemEval!$C$2:$C$800, REGEXMATCH(RawData_SemEval!$A$2:$A$800, ""(?i)(_|^)"" &amp; $A$1 &amp; ""(_|$)""), REGEXMATCH(RawData_SemEval!$A$2:$A$800, ""(?i)"" &amp; $A104), REGEXMATCH(RawData_SemEval!$A$2:$A$800, ""(?i)"" &amp; $C$1),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$A104), REGEX"&amp;"MATCH(RawData_SemEval!$A$2:$A$800, ""(?i)"" &amp; $C$1), NOT(REGEXMATCH(RawData_SemEval!$A$2:$A$800, ""(?i)ensemble""))), ""0.00"") &amp; 
"")"""),"(0.19, 0.27)")</f>
        <v>(0.19, 0.27)</v>
      </c>
      <c r="D105" s="89" t="str">
        <f>IFERROR(__xludf.DUMMYFUNCTION("""("" &amp; 
TEXT(FILTER(RawData_SemEval!$F$2:$F$800, REGEXMATCH(RawData_SemEval!$A$2:$A$800, ""(?i)(_|^)"" &amp; $A$1 &amp; ""(_|$)""), REGEXMATCH(RawData_SemEval!$A$2:$A$800, ""(?i)"" &amp; $A104), REGEXMATCH(RawData_SemEval!$A$2:$A$800, ""(?i)"" &amp; $C$1),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$A104), REGEX"&amp;"MATCH(RawData_SemEval!$A$2:$A$800, ""(?i)"" &amp; $C$1), NOT(REGEXMATCH(RawData_SemEval!$A$2:$A$800, ""(?i)ensemble""))), ""0.00"") &amp; 
"")"""),"(0.01, 0.04)")</f>
        <v>(0.01, 0.04)</v>
      </c>
      <c r="E105" s="89" t="str">
        <f>IFERROR(__xludf.DUMMYFUNCTION("""("" &amp; 
TEXT(FILTER(RawData_SemEval!$C$2:$C$800, REGEXMATCH(RawData_SemEval!$A$2:$A$800, ""(?i)(_|^)"" &amp; $A$1 &amp; ""(_|$)""), REGEXMATCH(RawData_SemEval!$A$2:$A$800, ""(?i)"" &amp; $A104), REGEXMATCH(RawData_SemEval!$A$2:$A$800, ""(?i)"" &amp; $E$1),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$A104), REGEX"&amp;"MATCH(RawData_SemEval!$A$2:$A$800, ""(?i)"" &amp; $E$1), NOT(REGEXMATCH(RawData_SemEval!$A$2:$A$800, ""(?i)ensemble""))), ""0.00"") &amp; 
"")"""),"(0.28, 0.37)")</f>
        <v>(0.28, 0.37)</v>
      </c>
      <c r="F105" s="89" t="str">
        <f>IFERROR(__xludf.DUMMYFUNCTION("""("" &amp; 
TEXT(FILTER(RawData_SemEval!$F$2:$F$800, REGEXMATCH(RawData_SemEval!$A$2:$A$800, ""(?i)(_|^)"" &amp; $A$1 &amp; ""(_|$)""), REGEXMATCH(RawData_SemEval!$A$2:$A$800, ""(?i)"" &amp; $A104), REGEXMATCH(RawData_SemEval!$A$2:$A$800, ""(?i)"" &amp; $E$1),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$A104), REGEX"&amp;"MATCH(RawData_SemEval!$A$2:$A$800, ""(?i)"" &amp; $E$1), NOT(REGEXMATCH(RawData_SemEval!$A$2:$A$800, ""(?i)ensemble""))), ""0.00"") &amp; 
"")"""),"(0.03, 0.06)")</f>
        <v>(0.03, 0.06)</v>
      </c>
      <c r="G105" s="89" t="str">
        <f>IFERROR(__xludf.DUMMYFUNCTION("""("" &amp; 
TEXT(FILTER(RawData_SemEval!$C$2:$C$800, REGEXMATCH(RawData_SemEval!$A$2:$A$800, ""(?i)(_|^)"" &amp; $A$1 &amp; ""(_|$)""), REGEXMATCH(RawData_SemEval!$A$2:$A$800, ""(?i)"" &amp; $A104), REGEXMATCH(RawData_SemEval!$A$2:$A$800, ""(?i)"" &amp; $G$1),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$A104), REGEX"&amp;"MATCH(RawData_SemEval!$A$2:$A$800, ""(?i)"" &amp; $G$1), NOT(REGEXMATCH(RawData_SemEval!$A$2:$A$800, ""(?i)ensemble""))), ""0.00"") &amp; 
"")"""),"(0.20, 0.27)")</f>
        <v>(0.20, 0.27)</v>
      </c>
      <c r="H105" s="89" t="str">
        <f>IFERROR(__xludf.DUMMYFUNCTION("""("" &amp; 
TEXT(FILTER(RawData_SemEval!$F$2:$F$800, REGEXMATCH(RawData_SemEval!$A$2:$A$800, ""(?i)(_|^)"" &amp; $A$1 &amp; ""(_|$)""), REGEXMATCH(RawData_SemEval!$A$2:$A$800, ""(?i)"" &amp; $A104), REGEXMATCH(RawData_SemEval!$A$2:$A$800, ""(?i)"" &amp; $G$1),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$A104), REGEX"&amp;"MATCH(RawData_SemEval!$A$2:$A$800, ""(?i)"" &amp; $G$1), NOT(REGEXMATCH(RawData_SemEval!$A$2:$A$800, ""(?i)ensemble""))), ""0.00"") &amp; 
"")"""),"(0.06, 0.10)")</f>
        <v>(0.06, 0.10)</v>
      </c>
    </row>
    <row r="106">
      <c r="A106" s="84"/>
      <c r="B106" s="26" t="s">
        <v>74</v>
      </c>
      <c r="C106" s="88">
        <f>IFERROR(__xludf.DUMMYFUNCTION("FILTER(
  RawData_Ensembles!$B$2:$B$1300, 
  REGEXMATCH(RawData_Ensembles!$A$2:$A$1300, ""(?i)(_|^)"" &amp; $A$1 &amp; ""(_|$)""), 
  REGEXMATCH(RawData_Ensembles!$A$2:$A$1300, ""(?i)"" &amp; $A104), 
  REGEXMATCH(RawData_Ensembles!$A$2:$A$1300, ""(?i)"" &amp; $C$1), 
  "&amp;"REGEXMATCH(RawData_Ensembles!$A$2:$A$1300, ""(?i)"" &amp; $B106)
)"),0.15119208277103)</f>
        <v>0.1511920828</v>
      </c>
      <c r="D106" s="88">
        <f>IFERROR(__xludf.DUMMYFUNCTION("FILTER(
  RawData_Ensembles!$C$2:$C$1300, 
  REGEXMATCH(RawData_Ensembles!$A$2:$A$1300, ""(?i)(_|^)"" &amp; $A$1 &amp; ""(_|$)""), 
  REGEXMATCH(RawData_Ensembles!$A$2:$A$1300, ""(?i)"" &amp; $A104), 
  REGEXMATCH(RawData_Ensembles!$A$2:$A$1300, ""(?i)"" &amp; $C$1), 
  "&amp;"REGEXMATCH(RawData_Ensembles!$A$2:$A$1300, ""(?i)"" &amp; $B106)
)"),0.019568151147098)</f>
        <v>0.01956815115</v>
      </c>
      <c r="E106" s="88">
        <f>IFERROR(__xludf.DUMMYFUNCTION("FILTER(
  RawData_Ensembles!$B$2:$B$1300, 
  REGEXMATCH(RawData_Ensembles!$A$2:$A$1300, ""(?i)(_|^)"" &amp; $A$1 &amp; ""(_|$)""), 
  REGEXMATCH(RawData_Ensembles!$A$2:$A$1300, ""(?i)"" &amp; $A104), 
  REGEXMATCH(RawData_Ensembles!$A$2:$A$1300, ""(?i)"" &amp; $E$1), 
  "&amp;"REGEXMATCH(RawData_Ensembles!$A$2:$A$1300, ""(?i)"" &amp; $B106)
)"),0.239830345093503)</f>
        <v>0.2398303451</v>
      </c>
      <c r="F106" s="88">
        <f>IFERROR(__xludf.DUMMYFUNCTION("FILTER(
  RawData_Ensembles!$C$2:$C$1300, 
  REGEXMATCH(RawData_Ensembles!$A$2:$A$1300, ""(?i)(_|^)"" &amp; $A$1 &amp; ""(_|$)""), 
  REGEXMATCH(RawData_Ensembles!$A$2:$A$1300, ""(?i)"" &amp; $A104), 
  REGEXMATCH(RawData_Ensembles!$A$2:$A$1300, ""(?i)"" &amp; $E$1), 
  "&amp;"REGEXMATCH(RawData_Ensembles!$A$2:$A$1300, ""(?i)"" &amp; $B106)
)"),0.035852451641925)</f>
        <v>0.03585245164</v>
      </c>
      <c r="G106" s="88">
        <f>IFERROR(__xludf.DUMMYFUNCTION("FILTER(
  RawData_Ensembles!$B$2:$B$1300, 
  REGEXMATCH(RawData_Ensembles!$A$2:$A$1300, ""(?i)(_|^)"" &amp; $A$1 &amp; ""(_|$)""), 
  REGEXMATCH(RawData_Ensembles!$A$2:$A$1300, ""(?i)"" &amp; $A104), 
  REGEXMATCH(RawData_Ensembles!$A$2:$A$1300, ""(?i)"" &amp; $G$1), 
  "&amp;"REGEXMATCH(RawData_Ensembles!$A$2:$A$1300, ""(?i)"" &amp; $B106)
)"),0.168894555736661)</f>
        <v>0.1688945557</v>
      </c>
      <c r="H106" s="88">
        <f>IFERROR(__xludf.DUMMYFUNCTION("FILTER(
  RawData_Ensembles!$C$2:$G$1300, 
  REGEXMATCH(RawData_Ensembles!$A$2:$A$1300, ""(?i)(_|^)"" &amp; $A$1 &amp; ""(_|$)""), 
  REGEXMATCH(RawData_Ensembles!$A$2:$A$1300, ""(?i)"" &amp; $A104), 
  REGEXMATCH(RawData_Ensembles!$A$2:$A$1300, ""(?i)"" &amp; $G$1), 
  "&amp;"REGEXMATCH(RawData_Ensembles!$A$2:$A$1300, ""(?i)"" &amp; $B106)
)"),0.074248738216349)</f>
        <v>0.07424873822</v>
      </c>
      <c r="I106" s="11"/>
      <c r="J106" s="11"/>
      <c r="K106" s="11"/>
      <c r="L106" s="11"/>
    </row>
    <row r="107">
      <c r="A107" s="84"/>
      <c r="B107" s="91" t="s">
        <v>75</v>
      </c>
      <c r="C107" s="88">
        <f>IFERROR(__xludf.DUMMYFUNCTION("FILTER(
  RawData_Ensembles!$B$2:$B$1300, 
  REGEXMATCH(RawData_Ensembles!$A$2:$A$1300, ""(?i)(_|^)"" &amp; $A$1 &amp; ""(_|$)""), 
  REGEXMATCH(RawData_Ensembles!$A$2:$A$1300, ""(?i)"" &amp; $A104), 
  REGEXMATCH(RawData_Ensembles!$A$2:$A$1300, ""(?i)"" &amp; $C$1), 
  "&amp;"REGEXMATCH(RawData_Ensembles!$A$2:$A$1300, ""(?i)"" &amp; $B107)
)"),0.260658662075666)</f>
        <v>0.2606586621</v>
      </c>
      <c r="D107" s="88">
        <f>IFERROR(__xludf.DUMMYFUNCTION("FILTER(
  RawData_Ensembles!$C$2:$C$1300, 
  REGEXMATCH(RawData_Ensembles!$A$2:$A$1300, ""(?i)(_|^)"" &amp; $A$1 &amp; ""(_|$)""), 
  REGEXMATCH(RawData_Ensembles!$A$2:$A$1300, ""(?i)"" &amp; $A104), 
  REGEXMATCH(RawData_Ensembles!$A$2:$A$1300, ""(?i)"" &amp; $C$1), 
  "&amp;"REGEXMATCH(RawData_Ensembles!$A$2:$A$1300, ""(?i)"" &amp; $B107)
)"),0.045702567175411)</f>
        <v>0.04570256718</v>
      </c>
      <c r="E107" s="88">
        <f>IFERROR(__xludf.DUMMYFUNCTION("FILTER(
  RawData_Ensembles!$B$2:$B$1300, 
  REGEXMATCH(RawData_Ensembles!$A$2:$A$1300, ""(?i)(_|^)"" &amp; $A$1 &amp; ""(_|$)""), 
  REGEXMATCH(RawData_Ensembles!$A$2:$A$1300, ""(?i)"" &amp; $A104), 
  REGEXMATCH(RawData_Ensembles!$A$2:$A$1300, ""(?i)"" &amp; $E$1), 
  "&amp;"REGEXMATCH(RawData_Ensembles!$A$2:$A$1300, ""(?i)"" &amp; $B107)
)"),0.390824380298064)</f>
        <v>0.3908243803</v>
      </c>
      <c r="F107" s="88">
        <f>IFERROR(__xludf.DUMMYFUNCTION("FILTER(
  RawData_Ensembles!$C$2:$C$1300, 
  REGEXMATCH(RawData_Ensembles!$A$2:$A$1300, ""(?i)(_|^)"" &amp; $A$1 &amp; ""(_|$)""), 
  REGEXMATCH(RawData_Ensembles!$A$2:$A$1300, ""(?i)"" &amp; $A104), 
  REGEXMATCH(RawData_Ensembles!$A$2:$A$1300, ""(?i)"" &amp; $E$1), 
  "&amp;"REGEXMATCH(RawData_Ensembles!$A$2:$A$1300, ""(?i)"" &amp; $B107)
)"),0.084040166655074)</f>
        <v>0.08404016666</v>
      </c>
      <c r="G107" s="88">
        <f>IFERROR(__xludf.DUMMYFUNCTION("FILTER(
  RawData_Ensembles!$B$2:$B$1300, 
  REGEXMATCH(RawData_Ensembles!$A$2:$A$1300, ""(?i)(_|^)"" &amp; $A$1 &amp; ""(_|$)""), 
  REGEXMATCH(RawData_Ensembles!$A$2:$A$1300, ""(?i)"" &amp; $A104), 
  REGEXMATCH(RawData_Ensembles!$A$2:$A$1300, ""(?i)"" &amp; $G$1), 
  "&amp;"REGEXMATCH(RawData_Ensembles!$A$2:$A$1300, ""(?i)"" &amp; $B107)
)"),0.301960297911714)</f>
        <v>0.3019602979</v>
      </c>
      <c r="H107" s="88">
        <f>IFERROR(__xludf.DUMMYFUNCTION("FILTER(
  RawData_Ensembles!$C$2:$G$1300, 
  REGEXMATCH(RawData_Ensembles!$A$2:$A$1300, ""(?i)(_|^)"" &amp; $A$1 &amp; ""(_|$)""), 
  REGEXMATCH(RawData_Ensembles!$A$2:$A$1300, ""(?i)"" &amp; $A104), 
  REGEXMATCH(RawData_Ensembles!$A$2:$A$1300, ""(?i)"" &amp; $G$1), 
  "&amp;"REGEXMATCH(RawData_Ensembles!$A$2:$A$1300, ""(?i)"" &amp; $B107)
)"),0.104695564031272)</f>
        <v>0.104695564</v>
      </c>
      <c r="I107" s="11"/>
      <c r="J107" s="11"/>
      <c r="K107" s="11"/>
      <c r="L107" s="11"/>
    </row>
    <row r="108">
      <c r="A108" s="84" t="s">
        <v>2318</v>
      </c>
      <c r="B108" s="26" t="s">
        <v>20</v>
      </c>
      <c r="C108" s="88">
        <f>IFERROR(__xludf.DUMMYFUNCTION("FILTER(
    RawData_SemEval!$B$2:$B$800, 
    REGEXMATCH(RawData_SemEval!$A$2:$A$800, ""(?i)(_|^)"" &amp; $A$1 &amp; ""(_|$)""), 
    REGEXMATCH(RawData_SemEval!$A$2:$A$800, ""(?i)"" &amp; $A108), 
    REGEXMATCH(RawData_SemEval!$A$2:$A$800, ""(?i)"" &amp; $C$1),
    NOT"&amp;"(REGEXMATCH(RawData_SemEval!$A$2:$A$800, ""(?i)ensemble""))
  )"),0.255543317209106)</f>
        <v>0.2555433172</v>
      </c>
      <c r="D108" s="88">
        <f>IFERROR(__xludf.DUMMYFUNCTION("FILTER(RawData_SemEval!$E$2:$E$800, 
  REGEXMATCH(RawData_SemEval!$A$2:$A$800, ""(?i)(_|^)"" &amp; $A$1 &amp; ""(_|$)""), 
  REGEXMATCH(RawData_SemEval!$A$2:$A$800, ""(?i)"" &amp; $A108), 
  REGEXMATCH(RawData_SemEval!$A$2:$A$800, ""(?i)"" &amp; $C$1), 
  NOT(REGEXMATCH("&amp;"RawData_SemEval!$A$2:$A$800,  ""(?i)ensemble""))
)"),0.040019142778049)</f>
        <v>0.04001914278</v>
      </c>
      <c r="E108" s="88">
        <f>IFERROR(__xludf.DUMMYFUNCTION("FILTER(
    RawData_SemEval!$B$2:$B$800, 
    REGEXMATCH(RawData_SemEval!$A$2:$A$800, ""(?i)(_|^)"" &amp; $A$1 &amp; ""(_|$)""), 
    REGEXMATCH(RawData_SemEval!$A$2:$A$800, ""(?i)"" &amp; $A108), 
    REGEXMATCH(RawData_SemEval!$A$2:$A$800, ""(?i)"" &amp; $E$1),
    NOT"&amp;"(REGEXMATCH(RawData_SemEval!$A$2:$A$800, ""(?i)ensemble""))
  )"),0.265505709787288)</f>
        <v>0.2655057098</v>
      </c>
      <c r="F108" s="88">
        <f>IFERROR(__xludf.DUMMYFUNCTION("FILTER(RawData_SemEval!$E$2:$E$800, 
  REGEXMATCH(RawData_SemEval!$A$2:$A$800, ""(?i)(_|^)"" &amp; $A$1 &amp; ""(_|$)""), 
  REGEXMATCH(RawData_SemEval!$A$2:$A$800, ""(?i)"" &amp; $A108), 
  REGEXMATCH(RawData_SemEval!$A$2:$A$800, ""(?i)"" &amp; $E$1), 
  NOT(REGEXMATCH("&amp;"RawData_SemEval!$A$2:$A$800,  ""(?i)ensemble""))
)"),0.028443701912122)</f>
        <v>0.02844370191</v>
      </c>
      <c r="G108" s="88">
        <f>IFERROR(__xludf.DUMMYFUNCTION("FILTER(
    RawData_SemEval!$B$2:$B$800, 
    REGEXMATCH(RawData_SemEval!$A$2:$A$800, ""(?i)(_|^)"" &amp; $A$1 &amp; ""(_|$)""), 
    REGEXMATCH(RawData_SemEval!$A$2:$A$800, ""(?i)"" &amp; $A108), 
    REGEXMATCH(RawData_SemEval!$A$2:$A$800, ""(?i)"" &amp; $G$1),
    NOT"&amp;"(REGEXMATCH(RawData_SemEval!$A$2:$A$800, ""(?i)ensemble""))
  )"),0.159618888713625)</f>
        <v>0.1596188887</v>
      </c>
      <c r="H108" s="88">
        <f>IFERROR(__xludf.DUMMYFUNCTION("FILTER(RawData_SemEval!$E$2:$E$800, 
  REGEXMATCH(RawData_SemEval!$A$2:$A$800, ""(?i)(_|^)"" &amp; $A$1 &amp; ""(_|$)""), 
  REGEXMATCH(RawData_SemEval!$A$2:$A$800, ""(?i)"" &amp; $A108), 
  REGEXMATCH(RawData_SemEval!$A$2:$A$800, ""(?i)"" &amp; $G$1), 
  NOT(REGEXMATCH("&amp;"RawData_SemEval!$A$2:$A$800,  ""(?i)ensemble""))
)"),0.051741760021139)</f>
        <v>0.05174176002</v>
      </c>
    </row>
    <row r="109">
      <c r="A109" s="84"/>
      <c r="B109" s="26"/>
      <c r="C109" s="89" t="str">
        <f>IFERROR(__xludf.DUMMYFUNCTION("""("" &amp; 
TEXT(FILTER(RawData_SemEval!$C$2:$C$800, REGEXMATCH(RawData_SemEval!$A$2:$A$800, ""(?i)(_|^)"" &amp; $A$1 &amp; ""(_|$)""), REGEXMATCH(RawData_SemEval!$A$2:$A$800, ""(?i)"" &amp; $A108), REGEXMATCH(RawData_SemEval!$A$2:$A$800, ""(?i)"" &amp; $C$1),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$A108), REGEX"&amp;"MATCH(RawData_SemEval!$A$2:$A$800, ""(?i)"" &amp; $C$1), NOT(REGEXMATCH(RawData_SemEval!$A$2:$A$800, ""(?i)ensemble""))), ""0.00"") &amp; 
"")"""),"(0.22, 0.29)")</f>
        <v>(0.22, 0.29)</v>
      </c>
      <c r="D109" s="89" t="str">
        <f>IFERROR(__xludf.DUMMYFUNCTION("""("" &amp; 
TEXT(FILTER(RawData_SemEval!$F$2:$F$800, REGEXMATCH(RawData_SemEval!$A$2:$A$800, ""(?i)(_|^)"" &amp; $A$1 &amp; ""(_|$)""), REGEXMATCH(RawData_SemEval!$A$2:$A$800, ""(?i)"" &amp; $A108), REGEXMATCH(RawData_SemEval!$A$2:$A$800, ""(?i)"" &amp; $C$1),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$A108), REGEX"&amp;"MATCH(RawData_SemEval!$A$2:$A$800, ""(?i)"" &amp; $C$1), NOT(REGEXMATCH(RawData_SemEval!$A$2:$A$800, ""(?i)ensemble""))), ""0.00"") &amp; 
"")"""),"(0.02, 0.06)")</f>
        <v>(0.02, 0.06)</v>
      </c>
      <c r="E109" s="89" t="str">
        <f>IFERROR(__xludf.DUMMYFUNCTION("""("" &amp; 
TEXT(FILTER(RawData_SemEval!$C$2:$C$800, REGEXMATCH(RawData_SemEval!$A$2:$A$800, ""(?i)(_|^)"" &amp; $A$1 &amp; ""(_|$)""), REGEXMATCH(RawData_SemEval!$A$2:$A$800, ""(?i)"" &amp; $A108), REGEXMATCH(RawData_SemEval!$A$2:$A$800, ""(?i)"" &amp; $E$1),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$A108), REGEX"&amp;"MATCH(RawData_SemEval!$A$2:$A$800, ""(?i)"" &amp; $E$1), NOT(REGEXMATCH(RawData_SemEval!$A$2:$A$800, ""(?i)ensemble""))), ""0.00"") &amp; 
"")"""),"(0.22, 0.31)")</f>
        <v>(0.22, 0.31)</v>
      </c>
      <c r="F109" s="89" t="str">
        <f>IFERROR(__xludf.DUMMYFUNCTION("""("" &amp; 
TEXT(FILTER(RawData_SemEval!$F$2:$F$800, REGEXMATCH(RawData_SemEval!$A$2:$A$800, ""(?i)(_|^)"" &amp; $A$1 &amp; ""(_|$)""), REGEXMATCH(RawData_SemEval!$A$2:$A$800, ""(?i)"" &amp; $A108), REGEXMATCH(RawData_SemEval!$A$2:$A$800, ""(?i)"" &amp; $E$1),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$A108), REGEX"&amp;"MATCH(RawData_SemEval!$A$2:$A$800, ""(?i)"" &amp; $E$1), NOT(REGEXMATCH(RawData_SemEval!$A$2:$A$800, ""(?i)ensemble""))), ""0.00"") &amp; 
"")"""),"(0.01, 0.05)")</f>
        <v>(0.01, 0.05)</v>
      </c>
      <c r="G109" s="89" t="str">
        <f>IFERROR(__xludf.DUMMYFUNCTION("""("" &amp; 
TEXT(FILTER(RawData_SemEval!$C$2:$C$800, REGEXMATCH(RawData_SemEval!$A$2:$A$800, ""(?i)(_|^)"" &amp; $A$1 &amp; ""(_|$)""), REGEXMATCH(RawData_SemEval!$A$2:$A$800, ""(?i)"" &amp; $A108), REGEXMATCH(RawData_SemEval!$A$2:$A$800, ""(?i)"" &amp; $G$1),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$A108), REGEX"&amp;"MATCH(RawData_SemEval!$A$2:$A$800, ""(?i)"" &amp; $G$1), NOT(REGEXMATCH(RawData_SemEval!$A$2:$A$800, ""(?i)ensemble""))), ""0.00"") &amp; 
"")"""),"(0.13, 0.19)")</f>
        <v>(0.13, 0.19)</v>
      </c>
      <c r="H109" s="89" t="str">
        <f>IFERROR(__xludf.DUMMYFUNCTION("""("" &amp; 
TEXT(FILTER(RawData_SemEval!$F$2:$F$800, REGEXMATCH(RawData_SemEval!$A$2:$A$800, ""(?i)(_|^)"" &amp; $A$1 &amp; ""(_|$)""), REGEXMATCH(RawData_SemEval!$A$2:$A$800, ""(?i)"" &amp; $A108), REGEXMATCH(RawData_SemEval!$A$2:$A$800, ""(?i)"" &amp; $G$1),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$A108), REGEX"&amp;"MATCH(RawData_SemEval!$A$2:$A$800, ""(?i)"" &amp; $G$1), NOT(REGEXMATCH(RawData_SemEval!$A$2:$A$800, ""(?i)ensemble""))), ""0.00"") &amp; 
"")"""),"(0.04, 0.07)")</f>
        <v>(0.04, 0.07)</v>
      </c>
    </row>
    <row r="110">
      <c r="A110" s="84"/>
      <c r="B110" s="26" t="s">
        <v>74</v>
      </c>
      <c r="C110" s="88">
        <f>IFERROR(__xludf.DUMMYFUNCTION("FILTER(
  RawData_Ensembles!$B$2:$B$1300, 
  REGEXMATCH(RawData_Ensembles!$A$2:$A$1300, ""(?i)(_|^)"" &amp; $A$1 &amp; ""(_|$)""), 
  REGEXMATCH(RawData_Ensembles!$A$2:$A$1300, ""(?i)"" &amp; $A108), 
  REGEXMATCH(RawData_Ensembles!$A$2:$A$1300, ""(?i)"" &amp; $C$1), 
  "&amp;"REGEXMATCH(RawData_Ensembles!$A$2:$A$1300, ""(?i)"" &amp; $B110)
)"),0.196356275303643)</f>
        <v>0.1963562753</v>
      </c>
      <c r="D110" s="88">
        <f>IFERROR(__xludf.DUMMYFUNCTION("FILTER(
  RawData_Ensembles!$C$2:$C$1300, 
  REGEXMATCH(RawData_Ensembles!$A$2:$A$1300, ""(?i)(_|^)"" &amp; $A$1 &amp; ""(_|$)""), 
  REGEXMATCH(RawData_Ensembles!$A$2:$A$1300, ""(?i)"" &amp; $A108), 
  REGEXMATCH(RawData_Ensembles!$A$2:$A$1300, ""(?i)"" &amp; $C$1), 
  "&amp;"REGEXMATCH(RawData_Ensembles!$A$2:$A$1300, ""(?i)"" &amp; $B110)
)"),0.014247156352419)</f>
        <v>0.01424715635</v>
      </c>
      <c r="E110" s="88">
        <f>IFERROR(__xludf.DUMMYFUNCTION("FILTER(
  RawData_Ensembles!$B$2:$B$1300, 
  REGEXMATCH(RawData_Ensembles!$A$2:$A$1300, ""(?i)(_|^)"" &amp; $A$1 &amp; ""(_|$)""), 
  REGEXMATCH(RawData_Ensembles!$A$2:$A$1300, ""(?i)"" &amp; $A108), 
  REGEXMATCH(RawData_Ensembles!$A$2:$A$1300, ""(?i)"" &amp; $E$1), 
  "&amp;"REGEXMATCH(RawData_Ensembles!$A$2:$A$1300, ""(?i)"" &amp; $B110)
)"),0.15357624831309)</f>
        <v>0.1535762483</v>
      </c>
      <c r="F110" s="88">
        <f>IFERROR(__xludf.DUMMYFUNCTION("FILTER(
  RawData_Ensembles!$C$2:$C$1300, 
  REGEXMATCH(RawData_Ensembles!$A$2:$A$1300, ""(?i)(_|^)"" &amp; $A$1 &amp; ""(_|$)""), 
  REGEXMATCH(RawData_Ensembles!$A$2:$A$1300, ""(?i)"" &amp; $A108), 
  REGEXMATCH(RawData_Ensembles!$A$2:$A$1300, ""(?i)"" &amp; $E$1), 
  "&amp;"REGEXMATCH(RawData_Ensembles!$A$2:$A$1300, ""(?i)"" &amp; $B110)
)"),0.012627723154038)</f>
        <v>0.01262772315</v>
      </c>
      <c r="G110" s="88">
        <f>IFERROR(__xludf.DUMMYFUNCTION("FILTER(
  RawData_Ensembles!$B$2:$B$1300, 
  REGEXMATCH(RawData_Ensembles!$A$2:$A$1300, ""(?i)(_|^)"" &amp; $A$1 &amp; ""(_|$)""), 
  REGEXMATCH(RawData_Ensembles!$A$2:$A$1300, ""(?i)"" &amp; $A108), 
  REGEXMATCH(RawData_Ensembles!$A$2:$A$1300, ""(?i)"" &amp; $G$1), 
  "&amp;"REGEXMATCH(RawData_Ensembles!$A$2:$A$1300, ""(?i)"" &amp; $B110)
)"),0.094148833622517)</f>
        <v>0.09414883362</v>
      </c>
      <c r="H110" s="88">
        <f>IFERROR(__xludf.DUMMYFUNCTION("FILTER(
  RawData_Ensembles!$C$2:$G$1300, 
  REGEXMATCH(RawData_Ensembles!$A$2:$A$1300, ""(?i)(_|^)"" &amp; $A$1 &amp; ""(_|$)""), 
  REGEXMATCH(RawData_Ensembles!$A$2:$A$1300, ""(?i)"" &amp; $A108), 
  REGEXMATCH(RawData_Ensembles!$A$2:$A$1300, ""(?i)"" &amp; $G$1), 
  "&amp;"REGEXMATCH(RawData_Ensembles!$A$2:$A$1300, ""(?i)"" &amp; $B110)
)"),0.032427221900906)</f>
        <v>0.0324272219</v>
      </c>
      <c r="I110" s="11"/>
      <c r="J110" s="11"/>
      <c r="K110" s="11"/>
      <c r="L110" s="11"/>
    </row>
    <row r="111">
      <c r="A111" s="84"/>
      <c r="B111" s="91" t="s">
        <v>75</v>
      </c>
      <c r="C111" s="88">
        <f>IFERROR(__xludf.DUMMYFUNCTION("FILTER(
  RawData_Ensembles!$B$2:$B$1300, 
  REGEXMATCH(RawData_Ensembles!$A$2:$A$1300, ""(?i)(_|^)"" &amp; $A$1 &amp; ""(_|$)""), 
  REGEXMATCH(RawData_Ensembles!$A$2:$A$1300, ""(?i)"" &amp; $A108), 
  REGEXMATCH(RawData_Ensembles!$A$2:$A$1300, ""(?i)"" &amp; $C$1), 
  "&amp;"REGEXMATCH(RawData_Ensembles!$A$2:$A$1300, ""(?i)"" &amp; $B111)
)"),0.257725899831163)</f>
        <v>0.2577258998</v>
      </c>
      <c r="D111" s="88">
        <f>IFERROR(__xludf.DUMMYFUNCTION("FILTER(
  RawData_Ensembles!$C$2:$C$1300, 
  REGEXMATCH(RawData_Ensembles!$A$2:$A$1300, ""(?i)(_|^)"" &amp; $A$1 &amp; ""(_|$)""), 
  REGEXMATCH(RawData_Ensembles!$A$2:$A$1300, ""(?i)"" &amp; $A108), 
  REGEXMATCH(RawData_Ensembles!$A$2:$A$1300, ""(?i)"" &amp; $C$1), 
  "&amp;"REGEXMATCH(RawData_Ensembles!$A$2:$A$1300, ""(?i)"" &amp; $B111)
)"),0.073432485416228)</f>
        <v>0.07343248542</v>
      </c>
      <c r="E111" s="88">
        <f>IFERROR(__xludf.DUMMYFUNCTION("FILTER(
  RawData_Ensembles!$B$2:$B$1300, 
  REGEXMATCH(RawData_Ensembles!$A$2:$A$1300, ""(?i)(_|^)"" &amp; $A$1 &amp; ""(_|$)""), 
  REGEXMATCH(RawData_Ensembles!$A$2:$A$1300, ""(?i)"" &amp; $A108), 
  REGEXMATCH(RawData_Ensembles!$A$2:$A$1300, ""(?i)"" &amp; $E$1), 
  "&amp;"REGEXMATCH(RawData_Ensembles!$A$2:$A$1300, ""(?i)"" &amp; $B111)
)"),0.371897692950324)</f>
        <v>0.371897693</v>
      </c>
      <c r="F111" s="88">
        <f>IFERROR(__xludf.DUMMYFUNCTION("FILTER(
  RawData_Ensembles!$C$2:$C$1300, 
  REGEXMATCH(RawData_Ensembles!$A$2:$A$1300, ""(?i)(_|^)"" &amp; $A$1 &amp; ""(_|$)""), 
  REGEXMATCH(RawData_Ensembles!$A$2:$A$1300, ""(?i)"" &amp; $A108), 
  REGEXMATCH(RawData_Ensembles!$A$2:$A$1300, ""(?i)"" &amp; $E$1), 
  "&amp;"REGEXMATCH(RawData_Ensembles!$A$2:$A$1300, ""(?i)"" &amp; $B111)
)"),0.05495915465551)</f>
        <v>0.05495915466</v>
      </c>
      <c r="G111" s="88">
        <f>IFERROR(__xludf.DUMMYFUNCTION("FILTER(
  RawData_Ensembles!$B$2:$B$1300, 
  REGEXMATCH(RawData_Ensembles!$A$2:$A$1300, ""(?i)(_|^)"" &amp; $A$1 &amp; ""(_|$)""), 
  REGEXMATCH(RawData_Ensembles!$A$2:$A$1300, ""(?i)"" &amp; $A108), 
  REGEXMATCH(RawData_Ensembles!$A$2:$A$1300, ""(?i)"" &amp; $G$1), 
  "&amp;"REGEXMATCH(RawData_Ensembles!$A$2:$A$1300, ""(?i)"" &amp; $B111)
)"),0.259918264371705)</f>
        <v>0.2599182644</v>
      </c>
      <c r="H111" s="88">
        <f>IFERROR(__xludf.DUMMYFUNCTION("FILTER(
  RawData_Ensembles!$C$2:$G$1300, 
  REGEXMATCH(RawData_Ensembles!$A$2:$A$1300, ""(?i)(_|^)"" &amp; $A$1 &amp; ""(_|$)""), 
  REGEXMATCH(RawData_Ensembles!$A$2:$A$1300, ""(?i)"" &amp; $A108), 
  REGEXMATCH(RawData_Ensembles!$A$2:$A$1300, ""(?i)"" &amp; $G$1), 
  "&amp;"REGEXMATCH(RawData_Ensembles!$A$2:$A$1300, ""(?i)"" &amp; $B111)
)"),0.081314029301569)</f>
        <v>0.0813140293</v>
      </c>
      <c r="I111" s="11"/>
      <c r="J111" s="11"/>
      <c r="K111" s="11"/>
      <c r="L111" s="11"/>
    </row>
    <row r="112">
      <c r="A112" s="84" t="s">
        <v>2319</v>
      </c>
      <c r="B112" s="26" t="s">
        <v>24</v>
      </c>
      <c r="C112" s="88">
        <f>IFERROR(__xludf.DUMMYFUNCTION("FILTER(
    RawData_SemEval!$B$2:$B$800, 
    REGEXMATCH(RawData_SemEval!$A$2:$A$800, ""(?i)(_|^)"" &amp; $A$1 &amp; ""(_|$)""), 
    REGEXMATCH(RawData_SemEval!$A$2:$A$800, ""(?i)"" &amp; $A112), 
    REGEXMATCH(RawData_SemEval!$A$2:$A$800, ""(?i)"" &amp; $C$1),
NOT(REG"&amp;"EXMATCH(RawData_SemEval!$A$2:$A$800, ""(?i)complete"")), 
    NOT(REGEXMATCH(RawData_SemEval!$A$2:$A$800, ""(?i)ensemble""))
  )"),0.282041790373369)</f>
        <v>0.2820417904</v>
      </c>
      <c r="D112" s="88">
        <f>IFERROR(__xludf.DUMMYFUNCTION("FILTER(RawData_SemEval!$E$2:$E$800, 
  REGEXMATCH(RawData_SemEval!$A$2:$A$800, ""(?i)(_|^)"" &amp; $A$1 &amp; ""(_|$)""), 
  REGEXMATCH(RawData_SemEval!$A$2:$A$800, ""(?i)"" &amp; $A112), 
  REGEXMATCH(RawData_SemEval!$A$2:$A$800, ""(?i)"" &amp; $C$1), 
NOT(REGEXMATCH(Ra"&amp;"wData_SemEval!$A$2:$A$800, ""(?i)complete"")), 
  NOT(REGEXMATCH(RawData_SemEval!$A$2:$A$800,  ""(?i)ensemble""))
)"),0.020204459867617)</f>
        <v>0.02020445987</v>
      </c>
      <c r="E112" s="88">
        <f>IFERROR(__xludf.DUMMYFUNCTION("FILTER(
    RawData_SemEval!$B$2:$B$800, 
    REGEXMATCH(RawData_SemEval!$A$2:$A$800, ""(?i)(_|^)"" &amp; $A$1 &amp; ""(_|$)""), 
    REGEXMATCH(RawData_SemEval!$A$2:$A$800, ""(?i)"" &amp; $A112), 
    REGEXMATCH(RawData_SemEval!$A$2:$A$800, ""(?i)"" &amp; $E$1),
NOT(REG"&amp;"EXMATCH(RawData_SemEval!$A$2:$A$800, ""(?i)complete"")), 
    NOT(REGEXMATCH(RawData_SemEval!$A$2:$A$800, ""(?i)ensemble""))
  )"),0.28368918449971)</f>
        <v>0.2836891845</v>
      </c>
      <c r="F112" s="88">
        <f>IFERROR(__xludf.DUMMYFUNCTION("FILTER(RawData_SemEval!$E$2:$E$800, 
  REGEXMATCH(RawData_SemEval!$A$2:$A$800, ""(?i)(_|^)"" &amp; $A$1 &amp; ""(_|$)""), 
  REGEXMATCH(RawData_SemEval!$A$2:$A$800, ""(?i)"" &amp; $A112), 
  REGEXMATCH(RawData_SemEval!$A$2:$A$800, ""(?i)"" &amp; $E$1), 
NOT(REGEXMATCH(Ra"&amp;"wData_SemEval!$A$2:$A$800, ""(?i)complete"")), 
  NOT(REGEXMATCH(RawData_SemEval!$A$2:$A$800,  ""(?i)ensemble""))
)"),0.022842436218752)</f>
        <v>0.02284243622</v>
      </c>
      <c r="G112" s="88">
        <f>IFERROR(__xludf.DUMMYFUNCTION("FILTER(
    RawData_SemEval!$B$2:$B$800, 
    REGEXMATCH(RawData_SemEval!$A$2:$A$800, ""(?i)(_|^)"" &amp; $A$1 &amp; ""(_|$)""), 
    REGEXMATCH(RawData_SemEval!$A$2:$A$800, ""(?i)"" &amp; $A112), 
    REGEXMATCH(RawData_SemEval!$A$2:$A$800, ""(?i)"" &amp; $G$1),
NOT(REG"&amp;"EXMATCH(RawData_SemEval!$A$2:$A$800, ""(?i)complete"")), 
    NOT(REGEXMATCH(RawData_SemEval!$A$2:$A$800, ""(?i)ensemble""))
  )"),0.236880045685308)</f>
        <v>0.2368800457</v>
      </c>
      <c r="H112" s="88">
        <f>IFERROR(__xludf.DUMMYFUNCTION("FILTER(RawData_SemEval!$E$2:$E$800, 
  REGEXMATCH(RawData_SemEval!$A$2:$A$800, ""(?i)(_|^)"" &amp; $A$1 &amp; ""(_|$)""), 
  REGEXMATCH(RawData_SemEval!$A$2:$A$800, ""(?i)"" &amp; $A112), 
  REGEXMATCH(RawData_SemEval!$A$2:$A$800, ""(?i)"" &amp; $G$1), 
NOT(REGEXMATCH(Ra"&amp;"wData_SemEval!$A$2:$A$800, ""(?i)complete"")), 
  NOT(REGEXMATCH(RawData_SemEval!$A$2:$A$800,  ""(?i)ensemble""))
)"),0.068547640773795)</f>
        <v>0.06854764077</v>
      </c>
    </row>
    <row r="113">
      <c r="A113" s="84"/>
      <c r="B113" s="26"/>
      <c r="C113" s="89" t="str">
        <f>IFERROR(__xludf.DUMMYFUNCTION("""("" &amp; 
TEXT(FILTER(RawData_SemEval!$C$2:$C$800, REGEXMATCH(RawData_SemEval!$A$2:$A$800, ""(?i)(_|^)"" &amp; $A$1 &amp; ""(_|$)""), REGEXMATCH(RawData_SemEval!$A$2:$A$800, ""(?i)"" &amp; $A112), REGEXMATCH(RawData_SemEval!$A$2:$A$800, ""(?i)"" &amp; $C$1), NOT(REGEXMATC"&amp;"H(RawData_SemEval!$A$2:$A$800, ""(?i)complete"")), NOT(REGEXMATCH(RawData_SemEval!$A$2:$A$800, ""(?i)ensemble""))), ""0.00"") &amp; 
"", "" &amp; 
TEXT(FILTER(RawData_SemEval!$D$2:$D$800, REGEXMATCH(RawData_SemEval!$A$2:$A$800, ""(?i)(_|^)"" &amp; $A$1 &amp; ""(_|$)""), "&amp;"REGEXMATCH(RawData_SemEval!$A$2:$A$800, ""(?i)"" &amp; $A112), REGEXMATCH(RawData_SemEval!$A$2:$A$800, ""(?i)"" &amp; $C$1), NOT(REGEXMATCH(RawData_SemEval!$A$2:$A$800, ""(?i)complete"")), NOT(REGEXMATCH(RawData_SemEval!$A$2:$A$800, ""(?i)ensemble""))), ""0.00"")"&amp;" &amp; 
"")"""),"(0.24, 0.33)")</f>
        <v>(0.24, 0.33)</v>
      </c>
      <c r="D113" s="89" t="str">
        <f>IFERROR(__xludf.DUMMYFUNCTION("""("" &amp; 
TEXT(FILTER(RawData_SemEval!$F$2:$F$800, REGEXMATCH(RawData_SemEval!$A$2:$A$800, ""(?i)(_|^)"" &amp; $A$1 &amp; ""(_|$)""), REGEXMATCH(RawData_SemEval!$A$2:$A$800, ""(?i)"" &amp; $A112), REGEXMATCH(RawData_SemEval!$A$2:$A$800, ""(?i)"" &amp; $C$1), NOT(REGEXMATC"&amp;"H(RawData_SemEval!$A$2:$A$800, ""(?i)complete"")), NOT(REGEXMATCH(RawData_SemEval!$A$2:$A$800, ""(?i)ensemble""))), ""0.00"") &amp; 
"", "" &amp; 
TEXT(FILTER(RawData_SemEval!$G$2:$G$800, REGEXMATCH(RawData_SemEval!$A$2:$A$800, ""(?i)(_|^)"" &amp; $A$1 &amp; ""(_|$)""), "&amp;"REGEXMATCH(RawData_SemEval!$A$2:$A$800, ""(?i)"" &amp; $A112), REGEXMATCH(RawData_SemEval!$A$2:$A$800, ""(?i)"" &amp; $C$1), NOT(REGEXMATCH(RawData_SemEval!$A$2:$A$800, ""(?i)complete"")), NOT(REGEXMATCH(RawData_SemEval!$A$2:$A$800, ""(?i)ensemble""))), ""0.00"")"&amp;" &amp; 
"")"""),"(0.01, 0.03)")</f>
        <v>(0.01, 0.03)</v>
      </c>
      <c r="E113" s="89" t="str">
        <f>IFERROR(__xludf.DUMMYFUNCTION("""("" &amp; 
TEXT(FILTER(RawData_SemEval!$C$2:$C$800, REGEXMATCH(RawData_SemEval!$A$2:$A$800, ""(?i)(_|^)"" &amp; $A$1 &amp; ""(_|$)""), REGEXMATCH(RawData_SemEval!$A$2:$A$800, ""(?i)"" &amp; $A112), REGEXMATCH(RawData_SemEval!$A$2:$A$800, ""(?i)"" &amp; $E$1), NOT(REGEXMATC"&amp;"H(RawData_SemEval!$A$2:$A$800, ""(?i)complete"")), NOT(REGEXMATCH(RawData_SemEval!$A$2:$A$800, ""(?i)ensemble""))), ""0.00"") &amp; 
"", "" &amp; 
TEXT(FILTER(RawData_SemEval!$D$2:$D$800, REGEXMATCH(RawData_SemEval!$A$2:$A$800, ""(?i)(_|^)"" &amp; $A$1 &amp; ""(_|$)""), "&amp;"REGEXMATCH(RawData_SemEval!$A$2:$A$800, ""(?i)"" &amp; $A112), REGEXMATCH(RawData_SemEval!$A$2:$A$800, ""(?i)"" &amp; $E$1), NOT(REGEXMATCH(RawData_SemEval!$A$2:$A$800, ""(?i)complete"")), NOT(REGEXMATCH(RawData_SemEval!$A$2:$A$800, ""(?i)ensemble""))), ""0.00"")"&amp;" &amp; 
"")"""),"(0.24, 0.33)")</f>
        <v>(0.24, 0.33)</v>
      </c>
      <c r="F113" s="89" t="str">
        <f>IFERROR(__xludf.DUMMYFUNCTION("""("" &amp; 
TEXT(FILTER(RawData_SemEval!$F$2:$F$800, REGEXMATCH(RawData_SemEval!$A$2:$A$800, ""(?i)(_|^)"" &amp; $A$1 &amp; ""(_|$)""), REGEXMATCH(RawData_SemEval!$A$2:$A$800, ""(?i)"" &amp; $A112), REGEXMATCH(RawData_SemEval!$A$2:$A$800, ""(?i)"" &amp; $E$1), NOT(REGEXMATC"&amp;"H(RawData_SemEval!$A$2:$A$800, ""(?i)complete"")), NOT(REGEXMATCH(RawData_SemEval!$A$2:$A$800, ""(?i)ensemble""))), ""0.00"") &amp; 
"", "" &amp; 
TEXT(FILTER(RawData_SemEval!$G$2:$G$800, REGEXMATCH(RawData_SemEval!$A$2:$A$800, ""(?i)(_|^)"" &amp; $A$1 &amp; ""(_|$)""), "&amp;"REGEXMATCH(RawData_SemEval!$A$2:$A$800, ""(?i)"" &amp; $A112), REGEXMATCH(RawData_SemEval!$A$2:$A$800, ""(?i)"" &amp; $E$1), NOT(REGEXMATCH(RawData_SemEval!$A$2:$A$800, ""(?i)complete"")), NOT(REGEXMATCH(RawData_SemEval!$A$2:$A$800, ""(?i)ensemble""))), ""0.00"")"&amp;" &amp; 
"")"""),"(0.01, 0.04)")</f>
        <v>(0.01, 0.04)</v>
      </c>
      <c r="G113" s="89" t="str">
        <f>IFERROR(__xludf.DUMMYFUNCTION("""("" &amp; 
TEXT(FILTER(RawData_SemEval!$C$2:$C$800, REGEXMATCH(RawData_SemEval!$A$2:$A$800, ""(?i)(_|^)"" &amp; $A$1 &amp; ""(_|$)""), REGEXMATCH(RawData_SemEval!$A$2:$A$800, ""(?i)"" &amp; $A112), REGEXMATCH(RawData_SemEval!$A$2:$A$800, ""(?i)"" &amp; $G$1), NOT(REGEXMATC"&amp;"H(RawData_SemEval!$A$2:$A$800, ""(?i)complete"")), NOT(REGEXMATCH(RawData_SemEval!$A$2:$A$800, ""(?i)ensemble""))), ""0.00"") &amp; 
"", "" &amp; 
TEXT(FILTER(RawData_SemEval!$D$2:$D$800, REGEXMATCH(RawData_SemEval!$A$2:$A$800, ""(?i)(_|^)"" &amp; $A$1 &amp; ""(_|$)""), "&amp;"REGEXMATCH(RawData_SemEval!$A$2:$A$800, ""(?i)"" &amp; $A112), REGEXMATCH(RawData_SemEval!$A$2:$A$800, ""(?i)"" &amp; $G$1), NOT(REGEXMATCH(RawData_SemEval!$A$2:$A$800, ""(?i)complete"")), NOT(REGEXMATCH(RawData_SemEval!$A$2:$A$800, ""(?i)ensemble""))), ""0.00"")"&amp;" &amp; 
"")"""),"(0.21, 0.27)")</f>
        <v>(0.21, 0.27)</v>
      </c>
      <c r="H113" s="89" t="str">
        <f>IFERROR(__xludf.DUMMYFUNCTION("""("" &amp; 
TEXT(FILTER(RawData_SemEval!$F$2:$F$800, REGEXMATCH(RawData_SemEval!$A$2:$A$800, ""(?i)(_|^)"" &amp; $A$1 &amp; ""(_|$)""), REGEXMATCH(RawData_SemEval!$A$2:$A$800, ""(?i)"" &amp; $A112), REGEXMATCH(RawData_SemEval!$A$2:$A$800, ""(?i)"" &amp; $G$1), NOT(REGEXMATC"&amp;"H(RawData_SemEval!$A$2:$A$800, ""(?i)complete"")), NOT(REGEXMATCH(RawData_SemEval!$A$2:$A$800, ""(?i)ensemble""))), ""0.00"") &amp; 
"", "" &amp; 
TEXT(FILTER(RawData_SemEval!$G$2:$G$800, REGEXMATCH(RawData_SemEval!$A$2:$A$800, ""(?i)(_|^)"" &amp; $A$1 &amp; ""(_|$)""), "&amp;"REGEXMATCH(RawData_SemEval!$A$2:$A$800, ""(?i)"" &amp; $A112), REGEXMATCH(RawData_SemEval!$A$2:$A$800, ""(?i)"" &amp; $G$1), NOT(REGEXMATCH(RawData_SemEval!$A$2:$A$800, ""(?i)complete"")), NOT(REGEXMATCH(RawData_SemEval!$A$2:$A$800, ""(?i)ensemble""))), ""0.00"")"&amp;" &amp; 
"")"""),"(0.05, 0.09)")</f>
        <v>(0.05, 0.09)</v>
      </c>
    </row>
    <row r="114">
      <c r="A114" s="84"/>
      <c r="B114" s="26" t="s">
        <v>74</v>
      </c>
      <c r="C114" s="88">
        <f>IFERROR(__xludf.DUMMYFUNCTION("FILTER(
  RawData_Ensembles!$B$2:$B$1300, 
  REGEXMATCH(RawData_Ensembles!$A$2:$A$1300, ""(?i)(_|^)"" &amp; $A$1 &amp; ""(_|$)""), 
  REGEXMATCH(RawData_Ensembles!$A$2:$A$1300, ""(?i)"" &amp; $A112), 
  REGEXMATCH(RawData_Ensembles!$A$2:$A$1300, ""(?i)"" &amp; $C$1), 
NO"&amp;"T(REGEXMATCH(RawData_Ensembles!$A$2:$A$1300, ""(?i)complete"")), 
  REGEXMATCH(RawData_Ensembles!$A$2:$A$1300, ""(?i)"" &amp; $B114)
)"),0.232735685367264)</f>
        <v>0.2327356854</v>
      </c>
      <c r="D114" s="88">
        <f>IFERROR(__xludf.DUMMYFUNCTION("FILTER(
  RawData_Ensembles!$C$2:$C$1300, 
  REGEXMATCH(RawData_Ensembles!$A$2:$A$1300, ""(?i)(_|^)"" &amp; $A$1 &amp; ""(_|$)""), 
  REGEXMATCH(RawData_Ensembles!$A$2:$A$1300, ""(?i)"" &amp; $A112), 
  REGEXMATCH(RawData_Ensembles!$A$2:$A$1300, ""(?i)"" &amp; $C$1), 
NO"&amp;"T(REGEXMATCH(RawData_Ensembles!$A$2:$A$1300, ""(?i)complete"")), 
  REGEXMATCH(RawData_Ensembles!$A$2:$A$1300, ""(?i)"" &amp; $B114)
)"),0.019230769230769)</f>
        <v>0.01923076923</v>
      </c>
      <c r="E114" s="88">
        <f>IFERROR(__xludf.DUMMYFUNCTION("FILTER(
  RawData_Ensembles!$B$2:$B$1300, 
  REGEXMATCH(RawData_Ensembles!$A$2:$A$1300, ""(?i)(_|^)"" &amp; $A$1 &amp; ""(_|$)""), 
  REGEXMATCH(RawData_Ensembles!$A$2:$A$1300, ""(?i)"" &amp; $A112), 
  REGEXMATCH(RawData_Ensembles!$A$2:$A$1300, ""(?i)"" &amp; $E$1), 
NO"&amp;"T(REGEXMATCH(RawData_Ensembles!$A$2:$A$1300, ""(?i)complete"")), 
  REGEXMATCH(RawData_Ensembles!$A$2:$A$1300, ""(?i)"" &amp; $B114)
)"),0.169622774885932)</f>
        <v>0.1696227749</v>
      </c>
      <c r="F114" s="88">
        <f>IFERROR(__xludf.DUMMYFUNCTION("FILTER(
  RawData_Ensembles!$C$2:$C$1300, 
  REGEXMATCH(RawData_Ensembles!$A$2:$A$1300, ""(?i)(_|^)"" &amp; $A$1 &amp; ""(_|$)""), 
  REGEXMATCH(RawData_Ensembles!$A$2:$A$1300, ""(?i)"" &amp; $A112), 
  REGEXMATCH(RawData_Ensembles!$A$2:$A$1300, ""(?i)"" &amp; $E$1), 
NO"&amp;"T(REGEXMATCH(RawData_Ensembles!$A$2:$A$1300, ""(?i)complete"")), 
  REGEXMATCH(RawData_Ensembles!$A$2:$A$1300, ""(?i)"" &amp; $B114)
)"),0.015519568151147)</f>
        <v>0.01551956815</v>
      </c>
      <c r="G114" s="88">
        <f>IFERROR(__xludf.DUMMYFUNCTION("FILTER(
  RawData_Ensembles!$B$2:$B$1300, 
  REGEXMATCH(RawData_Ensembles!$A$2:$A$1300, ""(?i)(_|^)"" &amp; $A$1 &amp; ""(_|$)""), 
  REGEXMATCH(RawData_Ensembles!$A$2:$A$1300, ""(?i)"" &amp; $A112), 
  REGEXMATCH(RawData_Ensembles!$A$2:$A$1300, ""(?i)"" &amp; $G$1), 
NO"&amp;"T(REGEXMATCH(RawData_Ensembles!$A$2:$A$1300, ""(?i)complete"")), 
  REGEXMATCH(RawData_Ensembles!$A$2:$A$1300, ""(?i)"" &amp; $B114)
)"),0.133487565066512)</f>
        <v>0.1334875651</v>
      </c>
      <c r="H114" s="88">
        <f>IFERROR(__xludf.DUMMYFUNCTION("FILTER(
  RawData_Ensembles!$C$2:$G$1300, 
  REGEXMATCH(RawData_Ensembles!$A$2:$A$1300, ""(?i)(_|^)"" &amp; $A$1 &amp; ""(_|$)""), 
  REGEXMATCH(RawData_Ensembles!$A$2:$A$1300, ""(?i)"" &amp; $A112), 
  REGEXMATCH(RawData_Ensembles!$A$2:$A$1300, ""(?i)"" &amp; $G$1), 
NO"&amp;"T(REGEXMATCH(RawData_Ensembles!$A$2:$A$1300, ""(?i)complete"")), 
  REGEXMATCH(RawData_Ensembles!$A$2:$A$1300, ""(?i)"" &amp; $B114)
)"),0.042699203630377)</f>
        <v>0.04269920363</v>
      </c>
      <c r="I114" s="11"/>
      <c r="J114" s="11"/>
      <c r="K114" s="11"/>
      <c r="L114" s="11"/>
    </row>
    <row r="115">
      <c r="A115" s="84"/>
      <c r="B115" s="91" t="s">
        <v>75</v>
      </c>
      <c r="C115" s="88">
        <f>IFERROR(__xludf.DUMMYFUNCTION("FILTER(
  RawData_Ensembles!$B$2:$B$1300, 
  REGEXMATCH(RawData_Ensembles!$A$2:$A$1300, ""(?i)(_|^)"" &amp; $A$1 &amp; ""(_|$)""), 
  REGEXMATCH(RawData_Ensembles!$A$2:$A$1300, ""(?i)"" &amp; $A112), 
  REGEXMATCH(RawData_Ensembles!$A$2:$A$1300, ""(?i)"" &amp; $C$1), 
NO"&amp;"T(REGEXMATCH(RawData_Ensembles!$A$2:$A$1300, ""(?i)complete"")), 
  REGEXMATCH(RawData_Ensembles!$A$2:$A$1300, ""(?i)"" &amp; $B115)
)"),0.292021720969089)</f>
        <v>0.292021721</v>
      </c>
      <c r="D115" s="88">
        <f>IFERROR(__xludf.DUMMYFUNCTION("FILTER(
  RawData_Ensembles!$C$2:$C$1300, 
  REGEXMATCH(RawData_Ensembles!$A$2:$A$1300, ""(?i)(_|^)"" &amp; $A$1 &amp; ""(_|$)""), 
  REGEXMATCH(RawData_Ensembles!$A$2:$A$1300, ""(?i)"" &amp; $A112), 
  REGEXMATCH(RawData_Ensembles!$A$2:$A$1300, ""(?i)"" &amp; $C$1), 
NO"&amp;"T(REGEXMATCH(RawData_Ensembles!$A$2:$A$1300, ""(?i)complete"")), 
  REGEXMATCH(RawData_Ensembles!$A$2:$A$1300, ""(?i)"" &amp; $B115)
)"),0.039625871204818)</f>
        <v>0.0396258712</v>
      </c>
      <c r="E115" s="88">
        <f>IFERROR(__xludf.DUMMYFUNCTION("FILTER(
  RawData_Ensembles!$B$2:$B$1300, 
  REGEXMATCH(RawData_Ensembles!$A$2:$A$1300, ""(?i)(_|^)"" &amp; $A$1 &amp; ""(_|$)""), 
  REGEXMATCH(RawData_Ensembles!$A$2:$A$1300, ""(?i)"" &amp; $A112), 
  REGEXMATCH(RawData_Ensembles!$A$2:$A$1300, ""(?i)"" &amp; $E$1), 
NO"&amp;"T(REGEXMATCH(RawData_Ensembles!$A$2:$A$1300, ""(?i)complete"")), 
  REGEXMATCH(RawData_Ensembles!$A$2:$A$1300, ""(?i)"" &amp; $B115)
)"),0.354128912023648)</f>
        <v>0.354128912</v>
      </c>
      <c r="F115" s="88">
        <f>IFERROR(__xludf.DUMMYFUNCTION("FILTER(
  RawData_Ensembles!$C$2:$C$1300, 
  REGEXMATCH(RawData_Ensembles!$A$2:$A$1300, ""(?i)(_|^)"" &amp; $A$1 &amp; ""(_|$)""), 
  REGEXMATCH(RawData_Ensembles!$A$2:$A$1300, ""(?i)"" &amp; $A112), 
  REGEXMATCH(RawData_Ensembles!$A$2:$A$1300, ""(?i)"" &amp; $E$1), 
NO"&amp;"T(REGEXMATCH(RawData_Ensembles!$A$2:$A$1300, ""(?i)complete"")), 
  REGEXMATCH(RawData_Ensembles!$A$2:$A$1300, ""(?i)"" &amp; $B115)
)"),0.042662196103491)</f>
        <v>0.0426621961</v>
      </c>
      <c r="G115" s="88">
        <f>IFERROR(__xludf.DUMMYFUNCTION("FILTER(
  RawData_Ensembles!$B$2:$B$1300, 
  REGEXMATCH(RawData_Ensembles!$A$2:$A$1300, ""(?i)(_|^)"" &amp; $A$1 &amp; ""(_|$)""), 
  REGEXMATCH(RawData_Ensembles!$A$2:$A$1300, ""(?i)"" &amp; $A112), 
  REGEXMATCH(RawData_Ensembles!$A$2:$A$1300, ""(?i)"" &amp; $G$1), 
NO"&amp;"T(REGEXMATCH(RawData_Ensembles!$A$2:$A$1300, ""(?i)complete"")), 
  REGEXMATCH(RawData_Ensembles!$A$2:$A$1300, ""(?i)"" &amp; $B115)
)"),0.322560076001371)</f>
        <v>0.322560076</v>
      </c>
      <c r="H115" s="88">
        <f>IFERROR(__xludf.DUMMYFUNCTION("FILTER(
  RawData_Ensembles!$C$2:$G$1300, 
  REGEXMATCH(RawData_Ensembles!$A$2:$A$1300, ""(?i)(_|^)"" &amp; $A$1 &amp; ""(_|$)""), 
  REGEXMATCH(RawData_Ensembles!$A$2:$A$1300, ""(?i)"" &amp; $A112), 
  REGEXMATCH(RawData_Ensembles!$A$2:$A$1300, ""(?i)"" &amp; $G$1), 
NO"&amp;"T(REGEXMATCH(RawData_Ensembles!$A$2:$A$1300, ""(?i)complete"")), 
  REGEXMATCH(RawData_Ensembles!$A$2:$A$1300, ""(?i)"" &amp; $B115)
)"),0.105979946885608)</f>
        <v>0.1059799469</v>
      </c>
      <c r="I115" s="11"/>
      <c r="J115" s="11"/>
      <c r="K115" s="11"/>
      <c r="L115" s="11"/>
    </row>
    <row r="116">
      <c r="A116" s="84" t="s">
        <v>2320</v>
      </c>
      <c r="B116" s="26" t="s">
        <v>28</v>
      </c>
      <c r="C116" s="88">
        <f>IFERROR(__xludf.DUMMYFUNCTION("FILTER(
    RawData_SemEval!$B$2:$B$800, 
    REGEXMATCH(RawData_SemEval!$A$2:$A$800, ""(?i)(_|^)"" &amp; $A$1 &amp; ""(_|$)""), 
    REGEXMATCH(RawData_SemEval!$A$2:$A$800, ""(?i)"" &amp; $A116), 
    REGEXMATCH(RawData_SemEval!$A$2:$A$800, ""(?i)"" &amp; $C$1),
    NOT"&amp;"(REGEXMATCH(RawData_SemEval!$A$2:$A$800, ""(?i)ensemble""))
  )"),0.171234207313154)</f>
        <v>0.1712342073</v>
      </c>
      <c r="D116" s="88">
        <f>IFERROR(__xludf.DUMMYFUNCTION("FILTER(RawData_SemEval!$E$2:$E$800, 
  REGEXMATCH(RawData_SemEval!$A$2:$A$800, ""(?i)(_|^)"" &amp; $A$1 &amp; ""(_|$)""), 
  REGEXMATCH(RawData_SemEval!$A$2:$A$800, ""(?i)"" &amp; $A116), 
  REGEXMATCH(RawData_SemEval!$A$2:$A$800, ""(?i)"" &amp; $C$1), 
  NOT(REGEXMATCH("&amp;"RawData_SemEval!$A$2:$A$800,  ""(?i)ensemble""))
)"),0.035726314913157)</f>
        <v>0.03572631491</v>
      </c>
      <c r="E116" s="88">
        <f>IFERROR(__xludf.DUMMYFUNCTION("FILTER(
    RawData_SemEval!$B$2:$B$800, 
    REGEXMATCH(RawData_SemEval!$A$2:$A$800, ""(?i)(_|^)"" &amp; $A$1 &amp; ""(_|$)""), 
    REGEXMATCH(RawData_SemEval!$A$2:$A$800, ""(?i)"" &amp; $A116), 
    REGEXMATCH(RawData_SemEval!$A$2:$A$800, ""(?i)"" &amp; $E$1),
    NOT"&amp;"(REGEXMATCH(RawData_SemEval!$A$2:$A$800, ""(?i)ensemble""))
  )"),0.180634943127048)</f>
        <v>0.1806349431</v>
      </c>
      <c r="F116" s="88">
        <f>IFERROR(__xludf.DUMMYFUNCTION("FILTER(RawData_SemEval!$E$2:$E$800, 
  REGEXMATCH(RawData_SemEval!$A$2:$A$800, ""(?i)(_|^)"" &amp; $A$1 &amp; ""(_|$)""), 
  REGEXMATCH(RawData_SemEval!$A$2:$A$800, ""(?i)"" &amp; $A116), 
  REGEXMATCH(RawData_SemEval!$A$2:$A$800, ""(?i)"" &amp; $E$1), 
  NOT(REGEXMATCH("&amp;"RawData_SemEval!$A$2:$A$800,  ""(?i)ensemble""))
)"),0.022100388792494)</f>
        <v>0.02210038879</v>
      </c>
      <c r="G116" s="88">
        <f>IFERROR(__xludf.DUMMYFUNCTION("FILTER(
    RawData_SemEval!$B$2:$B$800, 
    REGEXMATCH(RawData_SemEval!$A$2:$A$800, ""(?i)(_|^)"" &amp; $A$1 &amp; ""(_|$)""), 
    REGEXMATCH(RawData_SemEval!$A$2:$A$800, ""(?i)"" &amp; $A116), 
    REGEXMATCH(RawData_SemEval!$A$2:$A$800, ""(?i)"" &amp; $G$1),
    NOT"&amp;"(REGEXMATCH(RawData_SemEval!$A$2:$A$800, ""(?i)ensemble""))
  )"),0.160590853882959)</f>
        <v>0.1605908539</v>
      </c>
      <c r="H116" s="88">
        <f>IFERROR(__xludf.DUMMYFUNCTION("FILTER(RawData_SemEval!$E$2:$E$800, 
  REGEXMATCH(RawData_SemEval!$A$2:$A$800, ""(?i)(_|^)"" &amp; $A$1 &amp; ""(_|$)""), 
  REGEXMATCH(RawData_SemEval!$A$2:$A$800, ""(?i)"" &amp; $A116), 
  REGEXMATCH(RawData_SemEval!$A$2:$A$800, ""(?i)"" &amp; $G$1), 
  NOT(REGEXMATCH("&amp;"RawData_SemEval!$A$2:$A$800,  ""(?i)ensemble""))
)"),0.059550146974033)</f>
        <v>0.05955014697</v>
      </c>
    </row>
    <row r="117">
      <c r="A117" s="84"/>
      <c r="B117" s="26"/>
      <c r="C117" s="89" t="str">
        <f>IFERROR(__xludf.DUMMYFUNCTION("""("" &amp; 
TEXT(FILTER(RawData_SemEval!$C$2:$C$800, REGEXMATCH(RawData_SemEval!$A$2:$A$800, ""(?i)(_|^)"" &amp; $A$1 &amp; ""(_|$)""), REGEXMATCH(RawData_SemEval!$A$2:$A$800, ""(?i)"" &amp; $A116), REGEXMATCH(RawData_SemEval!$A$2:$A$800, ""(?i)"" &amp; $C$1),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$A116), REGEX"&amp;"MATCH(RawData_SemEval!$A$2:$A$800, ""(?i)"" &amp; $C$1), NOT(REGEXMATCH(RawData_SemEval!$A$2:$A$800, ""(?i)ensemble""))), ""0.00"") &amp; 
"")"""),"(0.14, 0.21)")</f>
        <v>(0.14, 0.21)</v>
      </c>
      <c r="D117" s="89" t="str">
        <f>IFERROR(__xludf.DUMMYFUNCTION("""("" &amp; 
TEXT(FILTER(RawData_SemEval!$F$2:$F$800, REGEXMATCH(RawData_SemEval!$A$2:$A$800, ""(?i)(_|^)"" &amp; $A$1 &amp; ""(_|$)""), REGEXMATCH(RawData_SemEval!$A$2:$A$800, ""(?i)"" &amp; $A116), REGEXMATCH(RawData_SemEval!$A$2:$A$800, ""(?i)"" &amp; $C$1),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$A116), REGEX"&amp;"MATCH(RawData_SemEval!$A$2:$A$800, ""(?i)"" &amp; $C$1), NOT(REGEXMATCH(RawData_SemEval!$A$2:$A$800, ""(?i)ensemble""))), ""0.00"") &amp; 
"")"""),"(0.02, 0.05)")</f>
        <v>(0.02, 0.05)</v>
      </c>
      <c r="E117" s="89" t="str">
        <f>IFERROR(__xludf.DUMMYFUNCTION("""("" &amp; 
TEXT(FILTER(RawData_SemEval!$C$2:$C$800, REGEXMATCH(RawData_SemEval!$A$2:$A$800, ""(?i)(_|^)"" &amp; $A$1 &amp; ""(_|$)""), REGEXMATCH(RawData_SemEval!$A$2:$A$800, ""(?i)"" &amp; $A116), REGEXMATCH(RawData_SemEval!$A$2:$A$800, ""(?i)"" &amp; $E$1),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$A116), REGEX"&amp;"MATCH(RawData_SemEval!$A$2:$A$800, ""(?i)"" &amp; $E$1), NOT(REGEXMATCH(RawData_SemEval!$A$2:$A$800, ""(?i)ensemble""))), ""0.00"") &amp; 
"")"""),"(0.15, 0.22)")</f>
        <v>(0.15, 0.22)</v>
      </c>
      <c r="F117" s="89" t="str">
        <f>IFERROR(__xludf.DUMMYFUNCTION("""("" &amp; 
TEXT(FILTER(RawData_SemEval!$F$2:$F$800, REGEXMATCH(RawData_SemEval!$A$2:$A$800, ""(?i)(_|^)"" &amp; $A$1 &amp; ""(_|$)""), REGEXMATCH(RawData_SemEval!$A$2:$A$800, ""(?i)"" &amp; $A116), REGEXMATCH(RawData_SemEval!$A$2:$A$800, ""(?i)"" &amp; $E$1),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$A116), REGEX"&amp;"MATCH(RawData_SemEval!$A$2:$A$800, ""(?i)"" &amp; $E$1), NOT(REGEXMATCH(RawData_SemEval!$A$2:$A$800, ""(?i)ensemble""))), ""0.00"") &amp; 
"")"""),"(0.01, 0.04)")</f>
        <v>(0.01, 0.04)</v>
      </c>
      <c r="G117" s="89" t="str">
        <f>IFERROR(__xludf.DUMMYFUNCTION("""("" &amp; 
TEXT(FILTER(RawData_SemEval!$C$2:$C$800, REGEXMATCH(RawData_SemEval!$A$2:$A$800, ""(?i)(_|^)"" &amp; $A$1 &amp; ""(_|$)""), REGEXMATCH(RawData_SemEval!$A$2:$A$800, ""(?i)"" &amp; $A116), REGEXMATCH(RawData_SemEval!$A$2:$A$800, ""(?i)"" &amp; $G$1),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$A116), REGEX"&amp;"MATCH(RawData_SemEval!$A$2:$A$800, ""(?i)"" &amp; $G$1), NOT(REGEXMATCH(RawData_SemEval!$A$2:$A$800, ""(?i)ensemble""))), ""0.00"") &amp; 
"")"""),"(0.13, 0.19)")</f>
        <v>(0.13, 0.19)</v>
      </c>
      <c r="H117" s="89" t="str">
        <f>IFERROR(__xludf.DUMMYFUNCTION("""("" &amp; 
TEXT(FILTER(RawData_SemEval!$F$2:$F$800, REGEXMATCH(RawData_SemEval!$A$2:$A$800, ""(?i)(_|^)"" &amp; $A$1 &amp; ""(_|$)""), REGEXMATCH(RawData_SemEval!$A$2:$A$800, ""(?i)"" &amp; $A116), REGEXMATCH(RawData_SemEval!$A$2:$A$800, ""(?i)"" &amp; $G$1),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$A116), REGEX"&amp;"MATCH(RawData_SemEval!$A$2:$A$800, ""(?i)"" &amp; $G$1), NOT(REGEXMATCH(RawData_SemEval!$A$2:$A$800, ""(?i)ensemble""))), ""0.00"") &amp; 
"")"""),"(0.04, 0.08)")</f>
        <v>(0.04, 0.08)</v>
      </c>
    </row>
    <row r="118">
      <c r="A118" s="84"/>
      <c r="B118" s="26" t="s">
        <v>74</v>
      </c>
      <c r="C118" s="88">
        <f>IFERROR(__xludf.DUMMYFUNCTION("FILTER(
  RawData_Ensembles!$B$2:$B$1300, 
  REGEXMATCH(RawData_Ensembles!$A$2:$A$1300, ""(?i)(_|^)"" &amp; $A$1 &amp; ""(_|$)""), 
  REGEXMATCH(RawData_Ensembles!$A$2:$A$1300, ""(?i)"" &amp; $A116), 
  REGEXMATCH(RawData_Ensembles!$A$2:$A$1300, ""(?i)"" &amp; $C$1), 
  "&amp;"REGEXMATCH(RawData_Ensembles!$A$2:$A$1300, ""(?i)"" &amp; $B118)
)"),0.085029882398303)</f>
        <v>0.0850298824</v>
      </c>
      <c r="D118" s="88">
        <f>IFERROR(__xludf.DUMMYFUNCTION("FILTER(
  RawData_Ensembles!$C$2:$C$1300, 
  REGEXMATCH(RawData_Ensembles!$A$2:$A$1300, ""(?i)(_|^)"" &amp; $A$1 &amp; ""(_|$)""), 
  REGEXMATCH(RawData_Ensembles!$A$2:$A$1300, ""(?i)"" &amp; $A116), 
  REGEXMATCH(RawData_Ensembles!$A$2:$A$1300, ""(?i)"" &amp; $C$1), 
  "&amp;"REGEXMATCH(RawData_Ensembles!$A$2:$A$1300, ""(?i)"" &amp; $B118)
)"),0.035434740697898)</f>
        <v>0.0354347407</v>
      </c>
      <c r="E118" s="88">
        <f>IFERROR(__xludf.DUMMYFUNCTION("FILTER(
  RawData_Ensembles!$B$2:$B$1300, 
  REGEXMATCH(RawData_Ensembles!$A$2:$A$1300, ""(?i)(_|^)"" &amp; $A$1 &amp; ""(_|$)""), 
  REGEXMATCH(RawData_Ensembles!$A$2:$A$1300, ""(?i)"" &amp; $A116), 
  REGEXMATCH(RawData_Ensembles!$A$2:$A$1300, ""(?i)"" &amp; $E$1), 
  "&amp;"REGEXMATCH(RawData_Ensembles!$A$2:$A$1300, ""(?i)"" &amp; $B118)
)"),0.067543859649122)</f>
        <v>0.06754385965</v>
      </c>
      <c r="F118" s="88">
        <f>IFERROR(__xludf.DUMMYFUNCTION("FILTER(
  RawData_Ensembles!$C$2:$C$1300, 
  REGEXMATCH(RawData_Ensembles!$A$2:$A$1300, ""(?i)(_|^)"" &amp; $A$1 &amp; ""(_|$)""), 
  REGEXMATCH(RawData_Ensembles!$A$2:$A$1300, ""(?i)"" &amp; $A116), 
  REGEXMATCH(RawData_Ensembles!$A$2:$A$1300, ""(?i)"" &amp; $E$1), 
  "&amp;"REGEXMATCH(RawData_Ensembles!$A$2:$A$1300, ""(?i)"" &amp; $B118)
)"),0.007904376325428)</f>
        <v>0.007904376325</v>
      </c>
      <c r="G118" s="88">
        <f>IFERROR(__xludf.DUMMYFUNCTION("FILTER(
  RawData_Ensembles!$B$2:$B$1300, 
  REGEXMATCH(RawData_Ensembles!$A$2:$A$1300, ""(?i)(_|^)"" &amp; $A$1 &amp; ""(_|$)""), 
  REGEXMATCH(RawData_Ensembles!$A$2:$A$1300, ""(?i)"" &amp; $A116), 
  REGEXMATCH(RawData_Ensembles!$A$2:$A$1300, ""(?i)"" &amp; $G$1), 
  "&amp;"REGEXMATCH(RawData_Ensembles!$A$2:$A$1300, ""(?i)"" &amp; $B118)
)"),0.096385193753614)</f>
        <v>0.09638519375</v>
      </c>
      <c r="H118" s="88">
        <f>IFERROR(__xludf.DUMMYFUNCTION("FILTER(
  RawData_Ensembles!$C$2:$G$1300, 
  REGEXMATCH(RawData_Ensembles!$A$2:$A$1300, ""(?i)(_|^)"" &amp; $A$1 &amp; ""(_|$)""), 
  REGEXMATCH(RawData_Ensembles!$A$2:$A$1300, ""(?i)"" &amp; $A116), 
  REGEXMATCH(RawData_Ensembles!$A$2:$A$1300, ""(?i)"" &amp; $G$1), 
  "&amp;"REGEXMATCH(RawData_Ensembles!$A$2:$A$1300, ""(?i)"" &amp; $B118)
)"),0.04249405565195)</f>
        <v>0.04249405565</v>
      </c>
      <c r="I118" s="11"/>
      <c r="J118" s="11"/>
      <c r="K118" s="11"/>
      <c r="L118" s="11"/>
    </row>
    <row r="119">
      <c r="A119" s="84"/>
      <c r="B119" s="91" t="s">
        <v>75</v>
      </c>
      <c r="C119" s="88">
        <f>IFERROR(__xludf.DUMMYFUNCTION("FILTER(
  RawData_Ensembles!$B$2:$B$1300, 
  REGEXMATCH(RawData_Ensembles!$A$2:$A$1300, ""(?i)(_|^)"" &amp; $A$1 &amp; ""(_|$)""), 
  REGEXMATCH(RawData_Ensembles!$A$2:$A$1300, ""(?i)"" &amp; $A116), 
  REGEXMATCH(RawData_Ensembles!$A$2:$A$1300, ""(?i)"" &amp; $C$1), 
  "&amp;"REGEXMATCH(RawData_Ensembles!$A$2:$A$1300, ""(?i)"" &amp; $B119)
)"),0.255758568916463)</f>
        <v>0.2557585689</v>
      </c>
      <c r="D119" s="88">
        <f>IFERROR(__xludf.DUMMYFUNCTION("FILTER(
  RawData_Ensembles!$C$2:$C$1300, 
  REGEXMATCH(RawData_Ensembles!$A$2:$A$1300, ""(?i)(_|^)"" &amp; $A$1 &amp; ""(_|$)""), 
  REGEXMATCH(RawData_Ensembles!$A$2:$A$1300, ""(?i)"" &amp; $A116), 
  REGEXMATCH(RawData_Ensembles!$A$2:$A$1300, ""(?i)"" &amp; $C$1), 
  "&amp;"REGEXMATCH(RawData_Ensembles!$A$2:$A$1300, ""(?i)"" &amp; $B119)
)"),0.063305949296661)</f>
        <v>0.0633059493</v>
      </c>
      <c r="E119" s="88">
        <f>IFERROR(__xludf.DUMMYFUNCTION("FILTER(
  RawData_Ensembles!$B$2:$B$1300, 
  REGEXMATCH(RawData_Ensembles!$A$2:$A$1300, ""(?i)(_|^)"" &amp; $A$1 &amp; ""(_|$)""), 
  REGEXMATCH(RawData_Ensembles!$A$2:$A$1300, ""(?i)"" &amp; $A116), 
  REGEXMATCH(RawData_Ensembles!$A$2:$A$1300, ""(?i)"" &amp; $E$1), 
  "&amp;"REGEXMATCH(RawData_Ensembles!$A$2:$A$1300, ""(?i)"" &amp; $B119)
)"),0.311149669044405)</f>
        <v>0.311149669</v>
      </c>
      <c r="F119" s="88">
        <f>IFERROR(__xludf.DUMMYFUNCTION("FILTER(
  RawData_Ensembles!$C$2:$C$1300, 
  REGEXMATCH(RawData_Ensembles!$A$2:$A$1300, ""(?i)(_|^)"" &amp; $A$1 &amp; ""(_|$)""), 
  REGEXMATCH(RawData_Ensembles!$A$2:$A$1300, ""(?i)"" &amp; $A116), 
  REGEXMATCH(RawData_Ensembles!$A$2:$A$1300, ""(?i)"" &amp; $E$1), 
  "&amp;"REGEXMATCH(RawData_Ensembles!$A$2:$A$1300, ""(?i)"" &amp; $B119)
)"),0.040456799161252)</f>
        <v>0.04045679916</v>
      </c>
      <c r="G119" s="88">
        <f>IFERROR(__xludf.DUMMYFUNCTION("FILTER(
  RawData_Ensembles!$B$2:$B$1300, 
  REGEXMATCH(RawData_Ensembles!$A$2:$A$1300, ""(?i)(_|^)"" &amp; $A$1 &amp; ""(_|$)""), 
  REGEXMATCH(RawData_Ensembles!$A$2:$A$1300, ""(?i)"" &amp; $A116), 
  REGEXMATCH(RawData_Ensembles!$A$2:$A$1300, ""(?i)"" &amp; $G$1), 
  "&amp;"REGEXMATCH(RawData_Ensembles!$A$2:$A$1300, ""(?i)"" &amp; $B119)
)"),0.250973071013556)</f>
        <v>0.250973071</v>
      </c>
      <c r="H119" s="88">
        <f>IFERROR(__xludf.DUMMYFUNCTION("FILTER(
  RawData_Ensembles!$C$2:$G$1300, 
  REGEXMATCH(RawData_Ensembles!$A$2:$A$1300, ""(?i)(_|^)"" &amp; $A$1 &amp; ""(_|$)""), 
  REGEXMATCH(RawData_Ensembles!$A$2:$A$1300, ""(?i)"" &amp; $A116), 
  REGEXMATCH(RawData_Ensembles!$A$2:$A$1300, ""(?i)"" &amp; $G$1), 
  "&amp;"REGEXMATCH(RawData_Ensembles!$A$2:$A$1300, ""(?i)"" &amp; $B119)
)"),0.085504026189587)</f>
        <v>0.08550402619</v>
      </c>
      <c r="I119" s="11"/>
      <c r="J119" s="11"/>
      <c r="K119" s="11"/>
      <c r="L119" s="11"/>
    </row>
    <row r="120">
      <c r="A120" s="84" t="s">
        <v>178</v>
      </c>
      <c r="B120" s="26" t="s">
        <v>22</v>
      </c>
      <c r="C120" s="88">
        <f>IFERROR(__xludf.DUMMYFUNCTION("FILTER(
    RawData_SemEval!$B$2:$B$800, 
    REGEXMATCH(RawData_SemEval!$A$2:$A$800, ""(?i)(_|^)"" &amp; $A$1 &amp; ""(_|$)""), 
    REGEXMATCH(RawData_SemEval!$A$2:$A$800, ""(?i)"" &amp; $A120), 
    REGEXMATCH(RawData_SemEval!$A$2:$A$800, ""(?i)"" &amp; $C$1),
    NOT"&amp;"(REGEXMATCH(RawData_SemEval!$A$2:$A$800, ""(?i)ensemble""))
  )"),0.264778645331276)</f>
        <v>0.2647786453</v>
      </c>
      <c r="D120" s="88">
        <f>IFERROR(__xludf.DUMMYFUNCTION("FILTER(RawData_SemEval!$E$2:$E$800, 
  REGEXMATCH(RawData_SemEval!$A$2:$A$800, ""(?i)(_|^)"" &amp; $A$1 &amp; ""(_|$)""), 
  REGEXMATCH(RawData_SemEval!$A$2:$A$800, ""(?i)"" &amp; $A120), 
  REGEXMATCH(RawData_SemEval!$A$2:$A$800, ""(?i)"" &amp; $C$1), 
  NOT(REGEXMATCH("&amp;"RawData_SemEval!$A$2:$A$800,  ""(?i)ensemble""))
)"),0.056234737192631)</f>
        <v>0.05623473719</v>
      </c>
      <c r="E120" s="88">
        <f>IFERROR(__xludf.DUMMYFUNCTION("FILTER(
    RawData_SemEval!$B$2:$B$800, 
    REGEXMATCH(RawData_SemEval!$A$2:$A$800, ""(?i)(_|^)"" &amp; $A$1 &amp; ""(_|$)""), 
    REGEXMATCH(RawData_SemEval!$A$2:$A$800, ""(?i)"" &amp; $A120), 
    REGEXMATCH(RawData_SemEval!$A$2:$A$800, ""(?i)"" &amp; $E$1),
    NOT"&amp;"(REGEXMATCH(RawData_SemEval!$A$2:$A$800, ""(?i)ensemble""))
  )"),0.286967640254482)</f>
        <v>0.2869676403</v>
      </c>
      <c r="F120" s="88">
        <f>IFERROR(__xludf.DUMMYFUNCTION("FILTER(RawData_SemEval!$E$2:$E$800, 
  REGEXMATCH(RawData_SemEval!$A$2:$A$800, ""(?i)(_|^)"" &amp; $A$1 &amp; ""(_|$)""), 
  REGEXMATCH(RawData_SemEval!$A$2:$A$800, ""(?i)"" &amp; $A120), 
  REGEXMATCH(RawData_SemEval!$A$2:$A$800, ""(?i)"" &amp; $E$1), 
  NOT(REGEXMATCH("&amp;"RawData_SemEval!$A$2:$A$800,  ""(?i)ensemble""))
)"),0.030866897137949)</f>
        <v>0.03086689714</v>
      </c>
      <c r="G120" s="88">
        <f>IFERROR(__xludf.DUMMYFUNCTION("FILTER(
    RawData_SemEval!$B$2:$B$800, 
    REGEXMATCH(RawData_SemEval!$A$2:$A$800, ""(?i)(_|^)"" &amp; $A$1 &amp; ""(_|$)""), 
    REGEXMATCH(RawData_SemEval!$A$2:$A$800, ""(?i)"" &amp; $A120), 
    REGEXMATCH(RawData_SemEval!$A$2:$A$800, ""(?i)"" &amp; $G$1),
    NOT"&amp;"(REGEXMATCH(RawData_SemEval!$A$2:$A$800, ""(?i)ensemble""))
  )"),0.246870696554907)</f>
        <v>0.2468706966</v>
      </c>
      <c r="H120" s="88">
        <f>IFERROR(__xludf.DUMMYFUNCTION("FILTER(RawData_SemEval!$E$2:$E$800, 
  REGEXMATCH(RawData_SemEval!$A$2:$A$800, ""(?i)(_|^)"" &amp; $A$1 &amp; ""(_|$)""), 
  REGEXMATCH(RawData_SemEval!$A$2:$A$800, ""(?i)"" &amp; $A120), 
  REGEXMATCH(RawData_SemEval!$A$2:$A$800, ""(?i)"" &amp; $G$1), 
  NOT(REGEXMATCH("&amp;"RawData_SemEval!$A$2:$A$800,  ""(?i)ensemble""))
)"),0.059954252922066)</f>
        <v>0.05995425292</v>
      </c>
    </row>
    <row r="121">
      <c r="A121" s="84"/>
      <c r="B121" s="26"/>
      <c r="C121" s="89" t="str">
        <f>IFERROR(__xludf.DUMMYFUNCTION("""("" &amp; 
TEXT(FILTER(RawData_SemEval!$C$2:$C$800, REGEXMATCH(RawData_SemEval!$A$2:$A$800, ""(?i)(_|^)"" &amp; $A$1 &amp; ""(_|$)""), REGEXMATCH(RawData_SemEval!$A$2:$A$800, ""(?i)"" &amp; $A120), REGEXMATCH(RawData_SemEval!$A$2:$A$800, ""(?i)"" &amp; $C$1),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$A120), REGEX"&amp;"MATCH(RawData_SemEval!$A$2:$A$800, ""(?i)"" &amp; $C$1), NOT(REGEXMATCH(RawData_SemEval!$A$2:$A$800, ""(?i)ensemble""))), ""0.00"") &amp; 
"")"""),"(0.22, 0.31)")</f>
        <v>(0.22, 0.31)</v>
      </c>
      <c r="D121" s="89" t="str">
        <f>IFERROR(__xludf.DUMMYFUNCTION("""("" &amp; 
TEXT(FILTER(RawData_SemEval!$F$2:$F$800, REGEXMATCH(RawData_SemEval!$A$2:$A$800, ""(?i)(_|^)"" &amp; $A$1 &amp; ""(_|$)""), REGEXMATCH(RawData_SemEval!$A$2:$A$800, ""(?i)"" &amp; $A120), REGEXMATCH(RawData_SemEval!$A$2:$A$800, ""(?i)"" &amp; $C$1),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$A120), REGEX"&amp;"MATCH(RawData_SemEval!$A$2:$A$800, ""(?i)"" &amp; $C$1), NOT(REGEXMATCH(RawData_SemEval!$A$2:$A$800, ""(?i)ensemble""))), ""0.00"") &amp; 
"")"""),"(0.04, 0.08)")</f>
        <v>(0.04, 0.08)</v>
      </c>
      <c r="E121" s="89" t="str">
        <f>IFERROR(__xludf.DUMMYFUNCTION("""("" &amp; 
TEXT(FILTER(RawData_SemEval!$C$2:$C$800, REGEXMATCH(RawData_SemEval!$A$2:$A$800, ""(?i)(_|^)"" &amp; $A$1 &amp; ""(_|$)""), REGEXMATCH(RawData_SemEval!$A$2:$A$800, ""(?i)"" &amp; $A120), REGEXMATCH(RawData_SemEval!$A$2:$A$800, ""(?i)"" &amp; $E$1),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$A120), REGEX"&amp;"MATCH(RawData_SemEval!$A$2:$A$800, ""(?i)"" &amp; $E$1), NOT(REGEXMATCH(RawData_SemEval!$A$2:$A$800, ""(?i)ensemble""))), ""0.00"") &amp; 
"")"""),"(0.24, 0.33)")</f>
        <v>(0.24, 0.33)</v>
      </c>
      <c r="F121" s="89" t="str">
        <f>IFERROR(__xludf.DUMMYFUNCTION("""("" &amp; 
TEXT(FILTER(RawData_SemEval!$F$2:$F$800, REGEXMATCH(RawData_SemEval!$A$2:$A$800, ""(?i)(_|^)"" &amp; $A$1 &amp; ""(_|$)""), REGEXMATCH(RawData_SemEval!$A$2:$A$800, ""(?i)"" &amp; $A120), REGEXMATCH(RawData_SemEval!$A$2:$A$800, ""(?i)"" &amp; $E$1),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$A120), REGEX"&amp;"MATCH(RawData_SemEval!$A$2:$A$800, ""(?i)"" &amp; $E$1), NOT(REGEXMATCH(RawData_SemEval!$A$2:$A$800, ""(?i)ensemble""))), ""0.00"") &amp; 
"")"""),"(0.02, 0.05)")</f>
        <v>(0.02, 0.05)</v>
      </c>
      <c r="G121" s="89" t="str">
        <f>IFERROR(__xludf.DUMMYFUNCTION("""("" &amp; 
TEXT(FILTER(RawData_SemEval!$C$2:$C$800, REGEXMATCH(RawData_SemEval!$A$2:$A$800, ""(?i)(_|^)"" &amp; $A$1 &amp; ""(_|$)""), REGEXMATCH(RawData_SemEval!$A$2:$A$800, ""(?i)"" &amp; $A120), REGEXMATCH(RawData_SemEval!$A$2:$A$800, ""(?i)"" &amp; $G$1),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$A120), REGEX"&amp;"MATCH(RawData_SemEval!$A$2:$A$800, ""(?i)"" &amp; $G$1), NOT(REGEXMATCH(RawData_SemEval!$A$2:$A$800, ""(?i)ensemble""))), ""0.00"") &amp; 
"")"""),"(0.21, 0.28)")</f>
        <v>(0.21, 0.28)</v>
      </c>
      <c r="H121" s="89" t="str">
        <f>IFERROR(__xludf.DUMMYFUNCTION("""("" &amp; 
TEXT(FILTER(RawData_SemEval!$F$2:$F$800, REGEXMATCH(RawData_SemEval!$A$2:$A$800, ""(?i)(_|^)"" &amp; $A$1 &amp; ""(_|$)""), REGEXMATCH(RawData_SemEval!$A$2:$A$800, ""(?i)"" &amp; $A120), REGEXMATCH(RawData_SemEval!$A$2:$A$800, ""(?i)"" &amp; $G$1),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$A120), REGEX"&amp;"MATCH(RawData_SemEval!$A$2:$A$800, ""(?i)"" &amp; $G$1), NOT(REGEXMATCH(RawData_SemEval!$A$2:$A$800, ""(?i)ensemble""))), ""0.00"") &amp; 
"")"""),"(0.04, 0.08)")</f>
        <v>(0.04, 0.08)</v>
      </c>
    </row>
    <row r="122">
      <c r="A122" s="84"/>
      <c r="B122" s="26" t="s">
        <v>74</v>
      </c>
      <c r="C122" s="88">
        <f>IFERROR(__xludf.DUMMYFUNCTION("FILTER(
  RawData_Ensembles!$B$2:$B$1300, 
  REGEXMATCH(RawData_Ensembles!$A$2:$A$1300, ""(?i)(_|^)"" &amp; $A$1 &amp; ""(_|$)""), 
  REGEXMATCH(RawData_Ensembles!$A$2:$A$1300, ""(?i)"" &amp; $A120), 
  REGEXMATCH(RawData_Ensembles!$A$2:$A$1300, ""(?i)"" &amp; $C$1), 
  "&amp;"REGEXMATCH(RawData_Ensembles!$A$2:$A$1300, ""(?i)"" &amp; $B122)
)"),0.14885290148448)</f>
        <v>0.1488529015</v>
      </c>
      <c r="D122" s="88">
        <f>IFERROR(__xludf.DUMMYFUNCTION("FILTER(
  RawData_Ensembles!$C$2:$C$1300, 
  REGEXMATCH(RawData_Ensembles!$A$2:$A$1300, ""(?i)(_|^)"" &amp; $A$1 &amp; ""(_|$)""), 
  REGEXMATCH(RawData_Ensembles!$A$2:$A$1300, ""(?i)"" &amp; $A120), 
  REGEXMATCH(RawData_Ensembles!$A$2:$A$1300, ""(?i)"" &amp; $C$1), 
  "&amp;"REGEXMATCH(RawData_Ensembles!$A$2:$A$1300, ""(?i)"" &amp; $B122)
)"),0.037728937728937)</f>
        <v>0.03772893773</v>
      </c>
      <c r="E122" s="88">
        <f>IFERROR(__xludf.DUMMYFUNCTION("FILTER(
  RawData_Ensembles!$B$2:$B$1300, 
  REGEXMATCH(RawData_Ensembles!$A$2:$A$1300, ""(?i)(_|^)"" &amp; $A$1 &amp; ""(_|$)""), 
  REGEXMATCH(RawData_Ensembles!$A$2:$A$1300, ""(?i)"" &amp; $A120), 
  REGEXMATCH(RawData_Ensembles!$A$2:$A$1300, ""(?i)"" &amp; $E$1), 
  "&amp;"REGEXMATCH(RawData_Ensembles!$A$2:$A$1300, ""(?i)"" &amp; $B122)
)"),0.1610661268556)</f>
        <v>0.1610661269</v>
      </c>
      <c r="F122" s="88">
        <f>IFERROR(__xludf.DUMMYFUNCTION("FILTER(
  RawData_Ensembles!$C$2:$C$1300, 
  REGEXMATCH(RawData_Ensembles!$A$2:$A$1300, ""(?i)(_|^)"" &amp; $A$1 &amp; ""(_|$)""), 
  REGEXMATCH(RawData_Ensembles!$A$2:$A$1300, ""(?i)"" &amp; $A120), 
  REGEXMATCH(RawData_Ensembles!$A$2:$A$1300, ""(?i)"" &amp; $E$1), 
  "&amp;"REGEXMATCH(RawData_Ensembles!$A$2:$A$1300, ""(?i)"" &amp; $B122)
)"),0.008097165991902)</f>
        <v>0.008097165992</v>
      </c>
      <c r="G122" s="88">
        <f>IFERROR(__xludf.DUMMYFUNCTION("FILTER(
  RawData_Ensembles!$B$2:$B$1300, 
  REGEXMATCH(RawData_Ensembles!$A$2:$A$1300, ""(?i)(_|^)"" &amp; $A$1 &amp; ""(_|$)""), 
  REGEXMATCH(RawData_Ensembles!$A$2:$A$1300, ""(?i)"" &amp; $A120), 
  REGEXMATCH(RawData_Ensembles!$A$2:$A$1300, ""(?i)"" &amp; $G$1), 
  "&amp;"REGEXMATCH(RawData_Ensembles!$A$2:$A$1300, ""(?i)"" &amp; $B122)
)"),0.177964141122035)</f>
        <v>0.1779641411</v>
      </c>
      <c r="H122" s="88">
        <f>IFERROR(__xludf.DUMMYFUNCTION("FILTER(
  RawData_Ensembles!$C$2:$G$1300, 
  REGEXMATCH(RawData_Ensembles!$A$2:$A$1300, ""(?i)(_|^)"" &amp; $A$1 &amp; ""(_|$)""), 
  REGEXMATCH(RawData_Ensembles!$A$2:$A$1300, ""(?i)"" &amp; $A120), 
  REGEXMATCH(RawData_Ensembles!$A$2:$A$1300, ""(?i)"" &amp; $G$1), 
  "&amp;"REGEXMATCH(RawData_Ensembles!$A$2:$A$1300, ""(?i)"" &amp; $B122)
)"),0.029059829059829)</f>
        <v>0.02905982906</v>
      </c>
      <c r="I122" s="11"/>
      <c r="J122" s="11"/>
      <c r="K122" s="11"/>
      <c r="L122" s="11"/>
    </row>
    <row r="123">
      <c r="A123" s="84"/>
      <c r="B123" s="91" t="s">
        <v>75</v>
      </c>
      <c r="C123" s="88">
        <f>IFERROR(__xludf.DUMMYFUNCTION("FILTER(
  RawData_Ensembles!$B$2:$B$1300, 
  REGEXMATCH(RawData_Ensembles!$A$2:$A$1300, ""(?i)(_|^)"" &amp; $A$1 &amp; ""(_|$)""), 
  REGEXMATCH(RawData_Ensembles!$A$2:$A$1300, ""(?i)"" &amp; $A120), 
  REGEXMATCH(RawData_Ensembles!$A$2:$A$1300, ""(?i)"" &amp; $C$1), 
  "&amp;"REGEXMATCH(RawData_Ensembles!$A$2:$A$1300, ""(?i)"" &amp; $B123)
)"),0.282268900689953)</f>
        <v>0.2822689007</v>
      </c>
      <c r="D123" s="88">
        <f>IFERROR(__xludf.DUMMYFUNCTION("FILTER(
  RawData_Ensembles!$C$2:$C$1300, 
  REGEXMATCH(RawData_Ensembles!$A$2:$A$1300, ""(?i)(_|^)"" &amp; $A$1 &amp; ""(_|$)""), 
  REGEXMATCH(RawData_Ensembles!$A$2:$A$1300, ""(?i)"" &amp; $A120), 
  REGEXMATCH(RawData_Ensembles!$A$2:$A$1300, ""(?i)"" &amp; $C$1), 
  "&amp;"REGEXMATCH(RawData_Ensembles!$A$2:$A$1300, ""(?i)"" &amp; $B123)
)"),0.087848165039162)</f>
        <v>0.08784816504</v>
      </c>
      <c r="E123" s="88">
        <f>IFERROR(__xludf.DUMMYFUNCTION("FILTER(
  RawData_Ensembles!$B$2:$B$1300, 
  REGEXMATCH(RawData_Ensembles!$A$2:$A$1300, ""(?i)(_|^)"" &amp; $A$1 &amp; ""(_|$)""), 
  REGEXMATCH(RawData_Ensembles!$A$2:$A$1300, ""(?i)"" &amp; $A120), 
  REGEXMATCH(RawData_Ensembles!$A$2:$A$1300, ""(?i)"" &amp; $E$1), 
  "&amp;"REGEXMATCH(RawData_Ensembles!$A$2:$A$1300, ""(?i)"" &amp; $B123)
)"),0.347087999719578)</f>
        <v>0.3470879997</v>
      </c>
      <c r="F123" s="88">
        <f>IFERROR(__xludf.DUMMYFUNCTION("FILTER(
  RawData_Ensembles!$C$2:$C$1300, 
  REGEXMATCH(RawData_Ensembles!$A$2:$A$1300, ""(?i)(_|^)"" &amp; $A$1 &amp; ""(_|$)""), 
  REGEXMATCH(RawData_Ensembles!$A$2:$A$1300, ""(?i)"" &amp; $A120), 
  REGEXMATCH(RawData_Ensembles!$A$2:$A$1300, ""(?i)"" &amp; $E$1), 
  "&amp;"REGEXMATCH(RawData_Ensembles!$A$2:$A$1300, ""(?i)"" &amp; $B123)
)"),0.059619896390556)</f>
        <v>0.05961989639</v>
      </c>
      <c r="G123" s="88">
        <f>IFERROR(__xludf.DUMMYFUNCTION("FILTER(
  RawData_Ensembles!$B$2:$B$1300, 
  REGEXMATCH(RawData_Ensembles!$A$2:$A$1300, ""(?i)(_|^)"" &amp; $A$1 &amp; ""(_|$)""), 
  REGEXMATCH(RawData_Ensembles!$A$2:$A$1300, ""(?i)"" &amp; $A120), 
  REGEXMATCH(RawData_Ensembles!$A$2:$A$1300, ""(?i)"" &amp; $G$1), 
  "&amp;"REGEXMATCH(RawData_Ensembles!$A$2:$A$1300, ""(?i)"" &amp; $B123)
)"),0.30437108999862)</f>
        <v>0.30437109</v>
      </c>
      <c r="H123" s="88">
        <f>IFERROR(__xludf.DUMMYFUNCTION("FILTER(
  RawData_Ensembles!$C$2:$G$1300, 
  REGEXMATCH(RawData_Ensembles!$A$2:$A$1300, ""(?i)(_|^)"" &amp; $A$1 &amp; ""(_|$)""), 
  REGEXMATCH(RawData_Ensembles!$A$2:$A$1300, ""(?i)"" &amp; $A120), 
  REGEXMATCH(RawData_Ensembles!$A$2:$A$1300, ""(?i)"" &amp; $G$1), 
  "&amp;"REGEXMATCH(RawData_Ensembles!$A$2:$A$1300, ""(?i)"" &amp; $B123)
)"),0.094054192266472)</f>
        <v>0.09405419227</v>
      </c>
      <c r="I123" s="11"/>
      <c r="J123" s="11"/>
      <c r="K123" s="11"/>
      <c r="L123" s="11"/>
    </row>
    <row r="124">
      <c r="A124" s="84" t="s">
        <v>2352</v>
      </c>
      <c r="B124" s="26" t="s">
        <v>25</v>
      </c>
      <c r="C124" s="88">
        <f>IFERROR(__xludf.DUMMYFUNCTION("FILTER(
    RawData_SemEval!$B$2:$B$800, 
    REGEXMATCH(RawData_SemEval!$A$2:$A$800, ""(?i)(_|^)"" &amp; $A$1 &amp; ""(_|$)""), 
    REGEXMATCH(RawData_SemEval!$A$2:$A$800, ""(?i)"" &amp; $A124), 
    REGEXMATCH(RawData_SemEval!$A$2:$A$800, ""(?i)"" &amp; $C$1),
NOT(REG"&amp;"EXMATCH(RawData_SemEval!$A$2:$A$800, ""(?i)complete"")), 
    NOT(REGEXMATCH(RawData_SemEval!$A$2:$A$800, ""(?i)ensemble""))
  )"),0.256708971145813)</f>
        <v>0.2567089711</v>
      </c>
      <c r="D124" s="88">
        <f>IFERROR(__xludf.DUMMYFUNCTION("FILTER(RawData_SemEval!$E$2:$E$800, 
  REGEXMATCH(RawData_SemEval!$A$2:$A$800, ""(?i)(_|^)"" &amp; $A$1 &amp; ""(_|$)""), 
  REGEXMATCH(RawData_SemEval!$A$2:$A$800, ""(?i)"" &amp; $A124), 
  REGEXMATCH(RawData_SemEval!$A$2:$A$800, ""(?i)"" &amp; $C$1), 
NOT(REGEXMATCH(Ra"&amp;"wData_SemEval!$A$2:$A$800, ""(?i)complete"")), 
  NOT(REGEXMATCH(RawData_SemEval!$A$2:$A$800,  ""(?i)ensemble""))
)"),0.044635044959538)</f>
        <v>0.04463504496</v>
      </c>
      <c r="E124" s="88">
        <f>IFERROR(__xludf.DUMMYFUNCTION("FILTER(
    RawData_SemEval!$B$2:$B$800, 
    REGEXMATCH(RawData_SemEval!$A$2:$A$800, ""(?i)(_|^)"" &amp; $A$1 &amp; ""(_|$)""), 
    REGEXMATCH(RawData_SemEval!$A$2:$A$800, ""(?i)"" &amp; $A124), 
    REGEXMATCH(RawData_SemEval!$A$2:$A$800, ""(?i)"" &amp; $E$1),
NOT(REG"&amp;"EXMATCH(RawData_SemEval!$A$2:$A$800, ""(?i)complete"")), 
    NOT(REGEXMATCH(RawData_SemEval!$A$2:$A$800, ""(?i)ensemble""))
  )"),0.259658161429214)</f>
        <v>0.2596581614</v>
      </c>
      <c r="F124" s="88">
        <f>IFERROR(__xludf.DUMMYFUNCTION("FILTER(RawData_SemEval!$E$2:$E$800, 
  REGEXMATCH(RawData_SemEval!$A$2:$A$800, ""(?i)(_|^)"" &amp; $A$1 &amp; ""(_|$)""), 
  REGEXMATCH(RawData_SemEval!$A$2:$A$800, ""(?i)"" &amp; $A124), 
  REGEXMATCH(RawData_SemEval!$A$2:$A$800, ""(?i)"" &amp; $E$1), 
NOT(REGEXMATCH(Ra"&amp;"wData_SemEval!$A$2:$A$800, ""(?i)complete"")), 
  NOT(REGEXMATCH(RawData_SemEval!$A$2:$A$800,  ""(?i)ensemble""))
)"),0.026723515261167)</f>
        <v>0.02672351526</v>
      </c>
      <c r="G124" s="88">
        <f>IFERROR(__xludf.DUMMYFUNCTION("FILTER(
    RawData_SemEval!$B$2:$B$800, 
    REGEXMATCH(RawData_SemEval!$A$2:$A$800, ""(?i)(_|^)"" &amp; $A$1 &amp; ""(_|$)""), 
    REGEXMATCH(RawData_SemEval!$A$2:$A$800, ""(?i)"" &amp; $A124), 
    REGEXMATCH(RawData_SemEval!$A$2:$A$800, ""(?i)"" &amp; $G$1),
NOT(REG"&amp;"EXMATCH(RawData_SemEval!$A$2:$A$800, ""(?i)complete"")), 
    NOT(REGEXMATCH(RawData_SemEval!$A$2:$A$800, ""(?i)ensemble""))
  )"),0.212448441324757)</f>
        <v>0.2124484413</v>
      </c>
      <c r="H124" s="88">
        <f>IFERROR(__xludf.DUMMYFUNCTION("FILTER(RawData_SemEval!$E$2:$E$800, 
  REGEXMATCH(RawData_SemEval!$A$2:$A$800, ""(?i)(_|^)"" &amp; $A$1 &amp; ""(_|$)""), 
  REGEXMATCH(RawData_SemEval!$A$2:$A$800, ""(?i)"" &amp; $A124), 
  REGEXMATCH(RawData_SemEval!$A$2:$A$800, ""(?i)"" &amp; $G$1), 
NOT(REGEXMATCH(Ra"&amp;"wData_SemEval!$A$2:$A$800, ""(?i)complete"")), 
  NOT(REGEXMATCH(RawData_SemEval!$A$2:$A$800,  ""(?i)ensemble""))
)"),0.062289598997493)</f>
        <v>0.062289599</v>
      </c>
    </row>
    <row r="125">
      <c r="A125" s="84"/>
      <c r="B125" s="26"/>
      <c r="C125" s="89" t="str">
        <f>IFERROR(__xludf.DUMMYFUNCTION("""("" &amp; 
TEXT(FILTER(RawData_SemEval!$C$2:$C$800, REGEXMATCH(RawData_SemEval!$A$2:$A$800, ""(?i)(_|^)"" &amp; $A$1 &amp; ""(_|$)""), REGEXMATCH(RawData_SemEval!$A$2:$A$800, ""(?i)"" &amp; $A124), REGEXMATCH(RawData_SemEval!$A$2:$A$800, ""(?i)"" &amp; $C$1), NOT(REGEXMATC"&amp;"H(RawData_SemEval!$A$2:$A$800, ""(?i)complete"")), NOT(REGEXMATCH(RawData_SemEval!$A$2:$A$800, ""(?i)ensemble""))), ""0.00"") &amp; 
"", "" &amp; 
TEXT(FILTER(RawData_SemEval!$D$2:$D$800, REGEXMATCH(RawData_SemEval!$A$2:$A$800, ""(?i)(_|^)"" &amp; $A$1 &amp; ""(_|$)""), "&amp;"REGEXMATCH(RawData_SemEval!$A$2:$A$800, ""(?i)"" &amp; $A124), REGEXMATCH(RawData_SemEval!$A$2:$A$800, ""(?i)"" &amp; $C$1), NOT(REGEXMATCH(RawData_SemEval!$A$2:$A$800, ""(?i)complete"")), NOT(REGEXMATCH(RawData_SemEval!$A$2:$A$800, ""(?i)ensemble""))), ""0.00"")"&amp;" &amp; 
"")"""),"(0.21, 0.30)")</f>
        <v>(0.21, 0.30)</v>
      </c>
      <c r="D125" s="89" t="str">
        <f>IFERROR(__xludf.DUMMYFUNCTION("""("" &amp; 
TEXT(FILTER(RawData_SemEval!$F$2:$F$800, REGEXMATCH(RawData_SemEval!$A$2:$A$800, ""(?i)(_|^)"" &amp; $A$1 &amp; ""(_|$)""), REGEXMATCH(RawData_SemEval!$A$2:$A$800, ""(?i)"" &amp; $A124), REGEXMATCH(RawData_SemEval!$A$2:$A$800, ""(?i)"" &amp; $C$1), NOT(REGEXMATC"&amp;"H(RawData_SemEval!$A$2:$A$800, ""(?i)complete"")), NOT(REGEXMATCH(RawData_SemEval!$A$2:$A$800, ""(?i)ensemble""))), ""0.00"") &amp; 
"", "" &amp; 
TEXT(FILTER(RawData_SemEval!$G$2:$G$800, REGEXMATCH(RawData_SemEval!$A$2:$A$800, ""(?i)(_|^)"" &amp; $A$1 &amp; ""(_|$)""), "&amp;"REGEXMATCH(RawData_SemEval!$A$2:$A$800, ""(?i)"" &amp; $A124), REGEXMATCH(RawData_SemEval!$A$2:$A$800, ""(?i)"" &amp; $C$1), NOT(REGEXMATCH(RawData_SemEval!$A$2:$A$800, ""(?i)complete"")), NOT(REGEXMATCH(RawData_SemEval!$A$2:$A$800, ""(?i)ensemble""))), ""0.00"")"&amp;" &amp; 
"")"""),"(0.03, 0.06)")</f>
        <v>(0.03, 0.06)</v>
      </c>
      <c r="E125" s="89" t="str">
        <f>IFERROR(__xludf.DUMMYFUNCTION("""("" &amp; 
TEXT(FILTER(RawData_SemEval!$C$2:$C$800, REGEXMATCH(RawData_SemEval!$A$2:$A$800, ""(?i)(_|^)"" &amp; $A$1 &amp; ""(_|$)""), REGEXMATCH(RawData_SemEval!$A$2:$A$800, ""(?i)"" &amp; $A124), REGEXMATCH(RawData_SemEval!$A$2:$A$800, ""(?i)"" &amp; $E$1), NOT(REGEXMATC"&amp;"H(RawData_SemEval!$A$2:$A$800, ""(?i)complete"")), NOT(REGEXMATCH(RawData_SemEval!$A$2:$A$800, ""(?i)ensemble""))), ""0.00"") &amp; 
"", "" &amp; 
TEXT(FILTER(RawData_SemEval!$D$2:$D$800, REGEXMATCH(RawData_SemEval!$A$2:$A$800, ""(?i)(_|^)"" &amp; $A$1 &amp; ""(_|$)""), "&amp;"REGEXMATCH(RawData_SemEval!$A$2:$A$800, ""(?i)"" &amp; $A124), REGEXMATCH(RawData_SemEval!$A$2:$A$800, ""(?i)"" &amp; $E$1), NOT(REGEXMATCH(RawData_SemEval!$A$2:$A$800, ""(?i)complete"")), NOT(REGEXMATCH(RawData_SemEval!$A$2:$A$800, ""(?i)ensemble""))), ""0.00"")"&amp;" &amp; 
"")"""),"(0.22, 0.30)")</f>
        <v>(0.22, 0.30)</v>
      </c>
      <c r="F125" s="89" t="str">
        <f>IFERROR(__xludf.DUMMYFUNCTION("""("" &amp; 
TEXT(FILTER(RawData_SemEval!$F$2:$F$800, REGEXMATCH(RawData_SemEval!$A$2:$A$800, ""(?i)(_|^)"" &amp; $A$1 &amp; ""(_|$)""), REGEXMATCH(RawData_SemEval!$A$2:$A$800, ""(?i)"" &amp; $A124), REGEXMATCH(RawData_SemEval!$A$2:$A$800, ""(?i)"" &amp; $E$1), NOT(REGEXMATC"&amp;"H(RawData_SemEval!$A$2:$A$800, ""(?i)complete"")), NOT(REGEXMATCH(RawData_SemEval!$A$2:$A$800, ""(?i)ensemble""))), ""0.00"") &amp; 
"", "" &amp; 
TEXT(FILTER(RawData_SemEval!$G$2:$G$800, REGEXMATCH(RawData_SemEval!$A$2:$A$800, ""(?i)(_|^)"" &amp; $A$1 &amp; ""(_|$)""), "&amp;"REGEXMATCH(RawData_SemEval!$A$2:$A$800, ""(?i)"" &amp; $A124), REGEXMATCH(RawData_SemEval!$A$2:$A$800, ""(?i)"" &amp; $E$1), NOT(REGEXMATCH(RawData_SemEval!$A$2:$A$800, ""(?i)complete"")), NOT(REGEXMATCH(RawData_SemEval!$A$2:$A$800, ""(?i)ensemble""))), ""0.00"")"&amp;" &amp; 
"")"""),"(0.01, 0.04)")</f>
        <v>(0.01, 0.04)</v>
      </c>
      <c r="G125" s="89" t="str">
        <f>IFERROR(__xludf.DUMMYFUNCTION("""("" &amp; 
TEXT(FILTER(RawData_SemEval!$C$2:$C$800, REGEXMATCH(RawData_SemEval!$A$2:$A$800, ""(?i)(_|^)"" &amp; $A$1 &amp; ""(_|$)""), REGEXMATCH(RawData_SemEval!$A$2:$A$800, ""(?i)"" &amp; $A124), REGEXMATCH(RawData_SemEval!$A$2:$A$800, ""(?i)"" &amp; $G$1), NOT(REGEXMATC"&amp;"H(RawData_SemEval!$A$2:$A$800, ""(?i)complete"")), NOT(REGEXMATCH(RawData_SemEval!$A$2:$A$800, ""(?i)ensemble""))), ""0.00"") &amp; 
"", "" &amp; 
TEXT(FILTER(RawData_SemEval!$D$2:$D$800, REGEXMATCH(RawData_SemEval!$A$2:$A$800, ""(?i)(_|^)"" &amp; $A$1 &amp; ""(_|$)""), "&amp;"REGEXMATCH(RawData_SemEval!$A$2:$A$800, ""(?i)"" &amp; $A124), REGEXMATCH(RawData_SemEval!$A$2:$A$800, ""(?i)"" &amp; $G$1), NOT(REGEXMATCH(RawData_SemEval!$A$2:$A$800, ""(?i)complete"")), NOT(REGEXMATCH(RawData_SemEval!$A$2:$A$800, ""(?i)ensemble""))), ""0.00"")"&amp;" &amp; 
"")"""),"(0.18, 0.24)")</f>
        <v>(0.18, 0.24)</v>
      </c>
      <c r="H125" s="89" t="str">
        <f>IFERROR(__xludf.DUMMYFUNCTION("""("" &amp; 
TEXT(FILTER(RawData_SemEval!$F$2:$F$800, REGEXMATCH(RawData_SemEval!$A$2:$A$800, ""(?i)(_|^)"" &amp; $A$1 &amp; ""(_|$)""), REGEXMATCH(RawData_SemEval!$A$2:$A$800, ""(?i)"" &amp; $A124), REGEXMATCH(RawData_SemEval!$A$2:$A$800, ""(?i)"" &amp; $G$1), NOT(REGEXMATC"&amp;"H(RawData_SemEval!$A$2:$A$800, ""(?i)complete"")), NOT(REGEXMATCH(RawData_SemEval!$A$2:$A$800, ""(?i)ensemble""))), ""0.00"") &amp; 
"", "" &amp; 
TEXT(FILTER(RawData_SemEval!$G$2:$G$800, REGEXMATCH(RawData_SemEval!$A$2:$A$800, ""(?i)(_|^)"" &amp; $A$1 &amp; ""(_|$)""), "&amp;"REGEXMATCH(RawData_SemEval!$A$2:$A$800, ""(?i)"" &amp; $A124), REGEXMATCH(RawData_SemEval!$A$2:$A$800, ""(?i)"" &amp; $G$1), NOT(REGEXMATCH(RawData_SemEval!$A$2:$A$800, ""(?i)complete"")), NOT(REGEXMATCH(RawData_SemEval!$A$2:$A$800, ""(?i)ensemble""))), ""0.00"")"&amp;" &amp; 
"")"""),"(0.04, 0.08)")</f>
        <v>(0.04, 0.08)</v>
      </c>
    </row>
    <row r="126">
      <c r="A126" s="84"/>
      <c r="B126" s="26" t="s">
        <v>74</v>
      </c>
      <c r="C126" s="88">
        <f>IFERROR(__xludf.DUMMYFUNCTION("FILTER(
  RawData_Ensembles!$B$2:$B$1300, 
  REGEXMATCH(RawData_Ensembles!$A$2:$A$1300, ""(?i)(_|^)"" &amp; $A$1 &amp; ""(_|$)""), 
  REGEXMATCH(RawData_Ensembles!$A$2:$A$1300, ""(?i)"" &amp; $A124), 
  REGEXMATCH(RawData_Ensembles!$A$2:$A$1300, ""(?i)"" &amp; $C$1), 
NO"&amp;"T(REGEXMATCH(RawData_Ensembles!$A$2:$A$1300, ""(?i)complete"")), 
  REGEXMATCH(RawData_Ensembles!$A$2:$A$1300, ""(?i)"" &amp; $B126)
)"),0.118960863697705)</f>
        <v>0.1189608637</v>
      </c>
      <c r="D126" s="88">
        <f>IFERROR(__xludf.DUMMYFUNCTION("FILTER(
  RawData_Ensembles!$C$2:$C$1300, 
  REGEXMATCH(RawData_Ensembles!$A$2:$A$1300, ""(?i)(_|^)"" &amp; $A$1 &amp; ""(_|$)""), 
  REGEXMATCH(RawData_Ensembles!$A$2:$A$1300, ""(?i)"" &amp; $A124), 
  REGEXMATCH(RawData_Ensembles!$A$2:$A$1300, ""(?i)"" &amp; $C$1), 
NO"&amp;"T(REGEXMATCH(RawData_Ensembles!$A$2:$A$1300, ""(?i)complete"")), 
  REGEXMATCH(RawData_Ensembles!$A$2:$A$1300, ""(?i)"" &amp; $B126)
)"),0.027549643339117)</f>
        <v>0.02754964334</v>
      </c>
      <c r="E126" s="88">
        <f>IFERROR(__xludf.DUMMYFUNCTION("FILTER(
  RawData_Ensembles!$B$2:$B$1300, 
  REGEXMATCH(RawData_Ensembles!$A$2:$A$1300, ""(?i)(_|^)"" &amp; $A$1 &amp; ""(_|$)""), 
  REGEXMATCH(RawData_Ensembles!$A$2:$A$1300, ""(?i)"" &amp; $A124), 
  REGEXMATCH(RawData_Ensembles!$A$2:$A$1300, ""(?i)"" &amp; $E$1), 
NO"&amp;"T(REGEXMATCH(RawData_Ensembles!$A$2:$A$1300, ""(?i)complete"")), 
  REGEXMATCH(RawData_Ensembles!$A$2:$A$1300, ""(?i)"" &amp; $B126)
)"),0.148534798534798)</f>
        <v>0.1485347985</v>
      </c>
      <c r="F126" s="88">
        <f>IFERROR(__xludf.DUMMYFUNCTION("FILTER(
  RawData_Ensembles!$C$2:$C$1300, 
  REGEXMATCH(RawData_Ensembles!$A$2:$A$1300, ""(?i)(_|^)"" &amp; $A$1 &amp; ""(_|$)""), 
  REGEXMATCH(RawData_Ensembles!$A$2:$A$1300, ""(?i)"" &amp; $A124), 
  REGEXMATCH(RawData_Ensembles!$A$2:$A$1300, ""(?i)"" &amp; $E$1), 
NO"&amp;"T(REGEXMATCH(RawData_Ensembles!$A$2:$A$1300, ""(?i)complete"")), 
  REGEXMATCH(RawData_Ensembles!$A$2:$A$1300, ""(?i)"" &amp; $B126)
)"),0.016271447850395)</f>
        <v>0.01627144785</v>
      </c>
      <c r="G126" s="88">
        <f>IFERROR(__xludf.DUMMYFUNCTION("FILTER(
  RawData_Ensembles!$B$2:$B$1300, 
  REGEXMATCH(RawData_Ensembles!$A$2:$A$1300, ""(?i)(_|^)"" &amp; $A$1 &amp; ""(_|$)""), 
  REGEXMATCH(RawData_Ensembles!$A$2:$A$1300, ""(?i)"" &amp; $A124), 
  REGEXMATCH(RawData_Ensembles!$A$2:$A$1300, ""(?i)"" &amp; $G$1), 
NO"&amp;"T(REGEXMATCH(RawData_Ensembles!$A$2:$A$1300, ""(?i)complete"")), 
  REGEXMATCH(RawData_Ensembles!$A$2:$A$1300, ""(?i)"" &amp; $B126)
)"),0.135916714864083)</f>
        <v>0.1359167149</v>
      </c>
      <c r="H126" s="88">
        <f>IFERROR(__xludf.DUMMYFUNCTION("FILTER(
  RawData_Ensembles!$C$2:$G$1300, 
  REGEXMATCH(RawData_Ensembles!$A$2:$A$1300, ""(?i)(_|^)"" &amp; $A$1 &amp; ""(_|$)""), 
  REGEXMATCH(RawData_Ensembles!$A$2:$A$1300, ""(?i)"" &amp; $A124), 
  REGEXMATCH(RawData_Ensembles!$A$2:$A$1300, ""(?i)"" &amp; $G$1), 
NO"&amp;"T(REGEXMATCH(RawData_Ensembles!$A$2:$A$1300, ""(?i)complete"")), 
  REGEXMATCH(RawData_Ensembles!$A$2:$A$1300, ""(?i)"" &amp; $B126)
)"),0.044418739155581)</f>
        <v>0.04441873916</v>
      </c>
      <c r="I126" s="11"/>
      <c r="J126" s="11"/>
      <c r="K126" s="11"/>
      <c r="L126" s="11"/>
    </row>
    <row r="127">
      <c r="A127" s="84"/>
      <c r="B127" s="91" t="s">
        <v>75</v>
      </c>
      <c r="C127" s="88">
        <f>IFERROR(__xludf.DUMMYFUNCTION("FILTER(
  RawData_Ensembles!$B$2:$B$1300, 
  REGEXMATCH(RawData_Ensembles!$A$2:$A$1300, ""(?i)(_|^)"" &amp; $A$1 &amp; ""(_|$)""), 
  REGEXMATCH(RawData_Ensembles!$A$2:$A$1300, ""(?i)"" &amp; $A124), 
  REGEXMATCH(RawData_Ensembles!$A$2:$A$1300, ""(?i)"" &amp; $C$1), 
NO"&amp;"T(REGEXMATCH(RawData_Ensembles!$A$2:$A$1300, ""(?i)complete"")), 
  REGEXMATCH(RawData_Ensembles!$A$2:$A$1300, ""(?i)"" &amp; $B127)
)"),0.288383254172727)</f>
        <v>0.2883832542</v>
      </c>
      <c r="D127" s="88">
        <f>IFERROR(__xludf.DUMMYFUNCTION("FILTER(
  RawData_Ensembles!$C$2:$C$1300, 
  REGEXMATCH(RawData_Ensembles!$A$2:$A$1300, ""(?i)(_|^)"" &amp; $A$1 &amp; ""(_|$)""), 
  REGEXMATCH(RawData_Ensembles!$A$2:$A$1300, ""(?i)"" &amp; $A124), 
  REGEXMATCH(RawData_Ensembles!$A$2:$A$1300, ""(?i)"" &amp; $C$1), 
NO"&amp;"T(REGEXMATCH(RawData_Ensembles!$A$2:$A$1300, ""(?i)complete"")), 
  REGEXMATCH(RawData_Ensembles!$A$2:$A$1300, ""(?i)"" &amp; $B127)
)"),0.077140564048161)</f>
        <v>0.07714056405</v>
      </c>
      <c r="E127" s="88">
        <f>IFERROR(__xludf.DUMMYFUNCTION("FILTER(
  RawData_Ensembles!$B$2:$B$1300, 
  REGEXMATCH(RawData_Ensembles!$A$2:$A$1300, ""(?i)(_|^)"" &amp; $A$1 &amp; ""(_|$)""), 
  REGEXMATCH(RawData_Ensembles!$A$2:$A$1300, ""(?i)"" &amp; $A124), 
  REGEXMATCH(RawData_Ensembles!$A$2:$A$1300, ""(?i)"" &amp; $E$1), 
NO"&amp;"T(REGEXMATCH(RawData_Ensembles!$A$2:$A$1300, ""(?i)complete"")), 
  REGEXMATCH(RawData_Ensembles!$A$2:$A$1300, ""(?i)"" &amp; $B127)
)"),0.346832991569833)</f>
        <v>0.3468329916</v>
      </c>
      <c r="F127" s="88">
        <f>IFERROR(__xludf.DUMMYFUNCTION("FILTER(
  RawData_Ensembles!$C$2:$C$1300, 
  REGEXMATCH(RawData_Ensembles!$A$2:$A$1300, ""(?i)(_|^)"" &amp; $A$1 &amp; ""(_|$)""), 
  REGEXMATCH(RawData_Ensembles!$A$2:$A$1300, ""(?i)"" &amp; $A124), 
  REGEXMATCH(RawData_Ensembles!$A$2:$A$1300, ""(?i)"" &amp; $E$1), 
NO"&amp;"T(REGEXMATCH(RawData_Ensembles!$A$2:$A$1300, ""(?i)complete"")), 
  REGEXMATCH(RawData_Ensembles!$A$2:$A$1300, ""(?i)"" &amp; $B127)
)"),0.054304293965992)</f>
        <v>0.05430429397</v>
      </c>
      <c r="G127" s="88">
        <f>IFERROR(__xludf.DUMMYFUNCTION("FILTER(
  RawData_Ensembles!$B$2:$B$1300, 
  REGEXMATCH(RawData_Ensembles!$A$2:$A$1300, ""(?i)(_|^)"" &amp; $A$1 &amp; ""(_|$)""), 
  REGEXMATCH(RawData_Ensembles!$A$2:$A$1300, ""(?i)"" &amp; $A124), 
  REGEXMATCH(RawData_Ensembles!$A$2:$A$1300, ""(?i)"" &amp; $G$1), 
NO"&amp;"T(REGEXMATCH(RawData_Ensembles!$A$2:$A$1300, ""(?i)complete"")), 
  REGEXMATCH(RawData_Ensembles!$A$2:$A$1300, ""(?i)"" &amp; $B127)
)"),0.281831910779279)</f>
        <v>0.2818319108</v>
      </c>
      <c r="H127" s="88">
        <f>IFERROR(__xludf.DUMMYFUNCTION("FILTER(
  RawData_Ensembles!$C$2:$G$1300, 
  REGEXMATCH(RawData_Ensembles!$A$2:$A$1300, ""(?i)(_|^)"" &amp; $A$1 &amp; ""(_|$)""), 
  REGEXMATCH(RawData_Ensembles!$A$2:$A$1300, ""(?i)"" &amp; $A124), 
  REGEXMATCH(RawData_Ensembles!$A$2:$A$1300, ""(?i)"" &amp; $G$1), 
NO"&amp;"T(REGEXMATCH(RawData_Ensembles!$A$2:$A$1300, ""(?i)complete"")), 
  REGEXMATCH(RawData_Ensembles!$A$2:$A$1300, ""(?i)"" &amp; $B127)
)"),0.090241311223865)</f>
        <v>0.09024131122</v>
      </c>
      <c r="I127" s="11"/>
      <c r="J127" s="11"/>
      <c r="K127" s="11"/>
      <c r="L127" s="11"/>
    </row>
    <row r="128">
      <c r="A128" s="84" t="s">
        <v>2355</v>
      </c>
      <c r="B128" s="26" t="s">
        <v>29</v>
      </c>
      <c r="C128" s="88">
        <f>IFERROR(__xludf.DUMMYFUNCTION("FILTER(
    RawData_SemEval!$B$2:$B$800, 
    REGEXMATCH(RawData_SemEval!$A$2:$A$800, ""(?i)(_|^)"" &amp; $A$1 &amp; ""(_|$)""), 
    REGEXMATCH(RawData_SemEval!$A$2:$A$800, ""(?i)"" &amp; $A128), 
    REGEXMATCH(RawData_SemEval!$A$2:$A$800, ""(?i)"" &amp; $C$1),
    NOT"&amp;"(REGEXMATCH(RawData_SemEval!$A$2:$A$800, ""(?i)ensemble""))
  )"),0.228446018893387)</f>
        <v>0.2284460189</v>
      </c>
      <c r="D128" s="88">
        <f>IFERROR(__xludf.DUMMYFUNCTION("FILTER(RawData_SemEval!$E$2:$E$800, 
  REGEXMATCH(RawData_SemEval!$A$2:$A$800, ""(?i)(_|^)"" &amp; $A$1 &amp; ""(_|$)""), 
  REGEXMATCH(RawData_SemEval!$A$2:$A$800, ""(?i)"" &amp; $A128), 
  REGEXMATCH(RawData_SemEval!$A$2:$A$800, ""(?i)"" &amp; $C$1), 
  NOT(REGEXMATCH("&amp;"RawData_SemEval!$A$2:$A$800,  ""(?i)ensemble""))
)"),0.030942465137201)</f>
        <v>0.03094246514</v>
      </c>
      <c r="E128" s="88">
        <f>IFERROR(__xludf.DUMMYFUNCTION("FILTER(
    RawData_SemEval!$B$2:$B$800, 
    REGEXMATCH(RawData_SemEval!$A$2:$A$800, ""(?i)(_|^)"" &amp; $A$1 &amp; ""(_|$)""), 
    REGEXMATCH(RawData_SemEval!$A$2:$A$800, ""(?i)"" &amp; $A128), 
    REGEXMATCH(RawData_SemEval!$A$2:$A$800, ""(?i)"" &amp; $E$1),
    NOT"&amp;"(REGEXMATCH(RawData_SemEval!$A$2:$A$800, ""(?i)ensemble""))
  )"),0.247308013623803)</f>
        <v>0.2473080136</v>
      </c>
      <c r="F128" s="88">
        <f>IFERROR(__xludf.DUMMYFUNCTION("FILTER(RawData_SemEval!$E$2:$E$800, 
  REGEXMATCH(RawData_SemEval!$A$2:$A$800, ""(?i)(_|^)"" &amp; $A$1 &amp; ""(_|$)""), 
  REGEXMATCH(RawData_SemEval!$A$2:$A$800, ""(?i)"" &amp; $A128), 
  REGEXMATCH(RawData_SemEval!$A$2:$A$800, ""(?i)"" &amp; $E$1), 
  NOT(REGEXMATCH("&amp;"RawData_SemEval!$A$2:$A$800,  ""(?i)ensemble""))
)"),0.031142846919162)</f>
        <v>0.03114284692</v>
      </c>
      <c r="G128" s="88">
        <f>IFERROR(__xludf.DUMMYFUNCTION("FILTER(
    RawData_SemEval!$B$2:$B$800, 
    REGEXMATCH(RawData_SemEval!$A$2:$A$800, ""(?i)(_|^)"" &amp; $A$1 &amp; ""(_|$)""), 
    REGEXMATCH(RawData_SemEval!$A$2:$A$800, ""(?i)"" &amp; $A128), 
    REGEXMATCH(RawData_SemEval!$A$2:$A$800, ""(?i)"" &amp; $G$1),
    NOT"&amp;"(REGEXMATCH(RawData_SemEval!$A$2:$A$800, ""(?i)ensemble""))
  )"),0.192691655712708)</f>
        <v>0.1926916557</v>
      </c>
      <c r="H128" s="88">
        <f>IFERROR(__xludf.DUMMYFUNCTION("FILTER(RawData_SemEval!$E$2:$E$800, 
  REGEXMATCH(RawData_SemEval!$A$2:$A$800, ""(?i)(_|^)"" &amp; $A$1 &amp; ""(_|$)""), 
  REGEXMATCH(RawData_SemEval!$A$2:$A$800, ""(?i)"" &amp; $A128), 
  REGEXMATCH(RawData_SemEval!$A$2:$A$800, ""(?i)"" &amp; $G$1), 
  NOT(REGEXMATCH("&amp;"RawData_SemEval!$A$2:$A$800,  ""(?i)ensemble""))
)"),0.035547496655391)</f>
        <v>0.03554749666</v>
      </c>
    </row>
    <row r="129">
      <c r="A129" s="84"/>
      <c r="B129" s="26"/>
      <c r="C129" s="89" t="str">
        <f>IFERROR(__xludf.DUMMYFUNCTION("""("" &amp; 
TEXT(FILTER(RawData_SemEval!$C$2:$C$800, REGEXMATCH(RawData_SemEval!$A$2:$A$800, ""(?i)(_|^)"" &amp; $A$1 &amp; ""(_|$)""), REGEXMATCH(RawData_SemEval!$A$2:$A$800, ""(?i)"" &amp; $A128), REGEXMATCH(RawData_SemEval!$A$2:$A$800, ""(?i)"" &amp; $C$1),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$A128), REGEX"&amp;"MATCH(RawData_SemEval!$A$2:$A$800, ""(?i)"" &amp; $C$1), NOT(REGEXMATCH(RawData_SemEval!$A$2:$A$800, ""(?i)ensemble""))), ""0.00"") &amp; 
"")"""),"(0.19, 0.27)")</f>
        <v>(0.19, 0.27)</v>
      </c>
      <c r="D129" s="89" t="str">
        <f>IFERROR(__xludf.DUMMYFUNCTION("""("" &amp; 
TEXT(FILTER(RawData_SemEval!$F$2:$F$800, REGEXMATCH(RawData_SemEval!$A$2:$A$800, ""(?i)(_|^)"" &amp; $A$1 &amp; ""(_|$)""), REGEXMATCH(RawData_SemEval!$A$2:$A$800, ""(?i)"" &amp; $A128), REGEXMATCH(RawData_SemEval!$A$2:$A$800, ""(?i)"" &amp; $C$1),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$A128), REGEX"&amp;"MATCH(RawData_SemEval!$A$2:$A$800, ""(?i)"" &amp; $C$1), NOT(REGEXMATCH(RawData_SemEval!$A$2:$A$800, ""(?i)ensemble""))), ""0.00"") &amp; 
"")"""),"(0.02, 0.05)")</f>
        <v>(0.02, 0.05)</v>
      </c>
      <c r="E129" s="89" t="str">
        <f>IFERROR(__xludf.DUMMYFUNCTION("""("" &amp; 
TEXT(FILTER(RawData_SemEval!$C$2:$C$800, REGEXMATCH(RawData_SemEval!$A$2:$A$800, ""(?i)(_|^)"" &amp; $A$1 &amp; ""(_|$)""), REGEXMATCH(RawData_SemEval!$A$2:$A$800, ""(?i)"" &amp; $A128), REGEXMATCH(RawData_SemEval!$A$2:$A$800, ""(?i)"" &amp; $E$1),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$A128), REGEX"&amp;"MATCH(RawData_SemEval!$A$2:$A$800, ""(?i)"" &amp; $E$1), NOT(REGEXMATCH(RawData_SemEval!$A$2:$A$800, ""(?i)ensemble""))), ""0.00"") &amp; 
"")"""),"(0.21, 0.29)")</f>
        <v>(0.21, 0.29)</v>
      </c>
      <c r="F129" s="89" t="str">
        <f>IFERROR(__xludf.DUMMYFUNCTION("""("" &amp; 
TEXT(FILTER(RawData_SemEval!$F$2:$F$800, REGEXMATCH(RawData_SemEval!$A$2:$A$800, ""(?i)(_|^)"" &amp; $A$1 &amp; ""(_|$)""), REGEXMATCH(RawData_SemEval!$A$2:$A$800, ""(?i)"" &amp; $A128), REGEXMATCH(RawData_SemEval!$A$2:$A$800, ""(?i)"" &amp; $E$1),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$A128), REGEX"&amp;"MATCH(RawData_SemEval!$A$2:$A$800, ""(?i)"" &amp; $E$1), NOT(REGEXMATCH(RawData_SemEval!$A$2:$A$800, ""(?i)ensemble""))), ""0.00"") &amp; 
"")"""),"(0.02, 0.05)")</f>
        <v>(0.02, 0.05)</v>
      </c>
      <c r="G129" s="89" t="str">
        <f>IFERROR(__xludf.DUMMYFUNCTION("""("" &amp; 
TEXT(FILTER(RawData_SemEval!$C$2:$C$800, REGEXMATCH(RawData_SemEval!$A$2:$A$800, ""(?i)(_|^)"" &amp; $A$1 &amp; ""(_|$)""), REGEXMATCH(RawData_SemEval!$A$2:$A$800, ""(?i)"" &amp; $A128), REGEXMATCH(RawData_SemEval!$A$2:$A$800, ""(?i)"" &amp; $G$1), NOT(REGEXMATC"&amp;"H(RawData_SemEval!$A$2:$A$800, ""(?i)ensemble""))), ""0.00"") &amp; 
"", "" &amp; 
TEXT(FILTER(RawData_SemEval!$D$2:$D$800, REGEXMATCH(RawData_SemEval!$A$2:$A$800, ""(?i)(_|^)"" &amp; $A$1 &amp; ""(_|$)""), REGEXMATCH(RawData_SemEval!$A$2:$A$800, ""(?i)"" &amp; $A128), REGEX"&amp;"MATCH(RawData_SemEval!$A$2:$A$800, ""(?i)"" &amp; $G$1), NOT(REGEXMATCH(RawData_SemEval!$A$2:$A$800, ""(?i)ensemble""))), ""0.00"") &amp; 
"")"""),"(0.16, 0.22)")</f>
        <v>(0.16, 0.22)</v>
      </c>
      <c r="H129" s="89" t="str">
        <f>IFERROR(__xludf.DUMMYFUNCTION("""("" &amp; 
TEXT(FILTER(RawData_SemEval!$F$2:$F$800, REGEXMATCH(RawData_SemEval!$A$2:$A$800, ""(?i)(_|^)"" &amp; $A$1 &amp; ""(_|$)""), REGEXMATCH(RawData_SemEval!$A$2:$A$800, ""(?i)"" &amp; $A128), REGEXMATCH(RawData_SemEval!$A$2:$A$800, ""(?i)"" &amp; $G$1), NOT(REGEXMATC"&amp;"H(RawData_SemEval!$A$2:$A$800, ""(?i)ensemble""))), ""0.00"") &amp; 
"", "" &amp; 
TEXT(FILTER(RawData_SemEval!$G$2:$G$800, REGEXMATCH(RawData_SemEval!$A$2:$A$800, ""(?i)(_|^)"" &amp; $A$1 &amp; ""(_|$)""), REGEXMATCH(RawData_SemEval!$A$2:$A$800, ""(?i)"" &amp; $A128), REGEX"&amp;"MATCH(RawData_SemEval!$A$2:$A$800, ""(?i)"" &amp; $G$1), NOT(REGEXMATCH(RawData_SemEval!$A$2:$A$800, ""(?i)ensemble""))), ""0.00"") &amp; 
"")"""),"(0.02, 0.05)")</f>
        <v>(0.02, 0.05)</v>
      </c>
    </row>
    <row r="130">
      <c r="A130" s="84"/>
      <c r="B130" s="26" t="s">
        <v>74</v>
      </c>
      <c r="C130" s="88">
        <f>IFERROR(__xludf.DUMMYFUNCTION("FILTER(
  RawData_Ensembles!$B$2:$B$1300, 
  REGEXMATCH(RawData_Ensembles!$A$2:$A$1300, ""(?i)(_|^)"" &amp; $A$1 &amp; ""(_|$)""), 
  REGEXMATCH(RawData_Ensembles!$A$2:$A$1300, ""(?i)"" &amp; $A128), 
  REGEXMATCH(RawData_Ensembles!$A$2:$A$1300, ""(?i)"" &amp; $C$1), 
  "&amp;"REGEXMATCH(RawData_Ensembles!$A$2:$A$1300, ""(?i)"" &amp; $B130)
)"),0.120936957779063)</f>
        <v>0.1209369578</v>
      </c>
      <c r="D130" s="88">
        <f>IFERROR(__xludf.DUMMYFUNCTION("FILTER(
  RawData_Ensembles!$C$2:$C$1300, 
  REGEXMATCH(RawData_Ensembles!$A$2:$A$1300, ""(?i)(_|^)"" &amp; $A$1 &amp; ""(_|$)""), 
  REGEXMATCH(RawData_Ensembles!$A$2:$A$1300, ""(?i)"" &amp; $A128), 
  REGEXMATCH(RawData_Ensembles!$A$2:$A$1300, ""(?i)"" &amp; $C$1), 
  "&amp;"REGEXMATCH(RawData_Ensembles!$A$2:$A$1300, ""(?i)"" &amp; $B130)
)"),0.0110661268556)</f>
        <v>0.01106612686</v>
      </c>
      <c r="E130" s="88">
        <f>IFERROR(__xludf.DUMMYFUNCTION("FILTER(
  RawData_Ensembles!$B$2:$B$1300, 
  REGEXMATCH(RawData_Ensembles!$A$2:$A$1300, ""(?i)(_|^)"" &amp; $A$1 &amp; ""(_|$)""), 
  REGEXMATCH(RawData_Ensembles!$A$2:$A$1300, ""(?i)"" &amp; $A128), 
  REGEXMATCH(RawData_Ensembles!$A$2:$A$1300, ""(?i)"" &amp; $E$1), 
  "&amp;"REGEXMATCH(RawData_Ensembles!$A$2:$A$1300, ""(?i)"" &amp; $B130)
)"),0.116069018700597)</f>
        <v>0.1160690187</v>
      </c>
      <c r="F130" s="88">
        <f>IFERROR(__xludf.DUMMYFUNCTION("FILTER(
  RawData_Ensembles!$C$2:$C$1300, 
  REGEXMATCH(RawData_Ensembles!$A$2:$A$1300, ""(?i)(_|^)"" &amp; $A$1 &amp; ""(_|$)""), 
  REGEXMATCH(RawData_Ensembles!$A$2:$A$1300, ""(?i)"" &amp; $A128), 
  REGEXMATCH(RawData_Ensembles!$A$2:$A$1300, ""(?i)"" &amp; $E$1), 
  "&amp;"REGEXMATCH(RawData_Ensembles!$A$2:$A$1300, ""(?i)"" &amp; $B130)
)"),0.018700597647966)</f>
        <v>0.01870059765</v>
      </c>
      <c r="G130" s="88">
        <f>IFERROR(__xludf.DUMMYFUNCTION("FILTER(
  RawData_Ensembles!$B$2:$B$1300, 
  REGEXMATCH(RawData_Ensembles!$A$2:$A$1300, ""(?i)(_|^)"" &amp; $A$1 &amp; ""(_|$)""), 
  REGEXMATCH(RawData_Ensembles!$A$2:$A$1300, ""(?i)"" &amp; $A128), 
  REGEXMATCH(RawData_Ensembles!$A$2:$A$1300, ""(?i)"" &amp; $G$1), 
  "&amp;"REGEXMATCH(RawData_Ensembles!$A$2:$A$1300, ""(?i)"" &amp; $B130)
)"),0.135858877964141)</f>
        <v>0.135858878</v>
      </c>
      <c r="H130" s="88">
        <f>IFERROR(__xludf.DUMMYFUNCTION("FILTER(
  RawData_Ensembles!$C$2:$G$1300, 
  REGEXMATCH(RawData_Ensembles!$A$2:$A$1300, ""(?i)(_|^)"" &amp; $A$1 &amp; ""(_|$)""), 
  REGEXMATCH(RawData_Ensembles!$A$2:$A$1300, ""(?i)"" &amp; $A128), 
  REGEXMATCH(RawData_Ensembles!$A$2:$A$1300, ""(?i)"" &amp; $G$1), 
  "&amp;"REGEXMATCH(RawData_Ensembles!$A$2:$A$1300, ""(?i)"" &amp; $B130)
)"),0.041584731058415)</f>
        <v>0.04158473106</v>
      </c>
      <c r="I130" s="11"/>
      <c r="J130" s="11"/>
      <c r="K130" s="11"/>
      <c r="L130" s="11"/>
    </row>
    <row r="131">
      <c r="A131" s="98"/>
      <c r="B131" s="51" t="s">
        <v>75</v>
      </c>
      <c r="C131" s="88">
        <f>IFERROR(__xludf.DUMMYFUNCTION("FILTER(
  RawData_Ensembles!$B$2:$B$1300, 
  REGEXMATCH(RawData_Ensembles!$A$2:$A$1300, ""(?i)(_|^)"" &amp; $A$1 &amp; ""(_|$)""), 
  REGEXMATCH(RawData_Ensembles!$A$2:$A$1300, ""(?i)"" &amp; $A128), 
  REGEXMATCH(RawData_Ensembles!$A$2:$A$1300, ""(?i)"" &amp; $C$1), 
  "&amp;"REGEXMATCH(RawData_Ensembles!$A$2:$A$1300, ""(?i)"" &amp; $B131)
)"),0.311690940638309)</f>
        <v>0.3116909406</v>
      </c>
      <c r="D131" s="88">
        <f>IFERROR(__xludf.DUMMYFUNCTION("FILTER(
  RawData_Ensembles!$C$2:$C$1300, 
  REGEXMATCH(RawData_Ensembles!$A$2:$A$1300, ""(?i)(_|^)"" &amp; $A$1 &amp; ""(_|$)""), 
  REGEXMATCH(RawData_Ensembles!$A$2:$A$1300, ""(?i)"" &amp; $A128), 
  REGEXMATCH(RawData_Ensembles!$A$2:$A$1300, ""(?i)"" &amp; $C$1), 
  "&amp;"REGEXMATCH(RawData_Ensembles!$A$2:$A$1300, ""(?i)"" &amp; $B131)
)"),0.062029648264466)</f>
        <v>0.06202964826</v>
      </c>
      <c r="E131" s="88">
        <f>IFERROR(__xludf.DUMMYFUNCTION("FILTER(
  RawData_Ensembles!$B$2:$B$1300, 
  REGEXMATCH(RawData_Ensembles!$A$2:$A$1300, ""(?i)(_|^)"" &amp; $A$1 &amp; ""(_|$)""), 
  REGEXMATCH(RawData_Ensembles!$A$2:$A$1300, ""(?i)"" &amp; $A128), 
  REGEXMATCH(RawData_Ensembles!$A$2:$A$1300, ""(?i)"" &amp; $E$1), 
  "&amp;"REGEXMATCH(RawData_Ensembles!$A$2:$A$1300, ""(?i)"" &amp; $B131)
)"),0.35046678467731)</f>
        <v>0.3504667847</v>
      </c>
      <c r="F131" s="88">
        <f>IFERROR(__xludf.DUMMYFUNCTION("FILTER(
  RawData_Ensembles!$C$2:$C$1300, 
  REGEXMATCH(RawData_Ensembles!$A$2:$A$1300, ""(?i)(_|^)"" &amp; $A$1 &amp; ""(_|$)""), 
  REGEXMATCH(RawData_Ensembles!$A$2:$A$1300, ""(?i)"" &amp; $A128), 
  REGEXMATCH(RawData_Ensembles!$A$2:$A$1300, ""(?i)"" &amp; $E$1), 
  "&amp;"REGEXMATCH(RawData_Ensembles!$A$2:$A$1300, ""(?i)"" &amp; $B131)
)"),0.061796756519184)</f>
        <v>0.06179675652</v>
      </c>
      <c r="G131" s="88">
        <f>IFERROR(__xludf.DUMMYFUNCTION("FILTER(
  RawData_Ensembles!$B$2:$B$1300, 
  REGEXMATCH(RawData_Ensembles!$A$2:$A$1300, ""(?i)(_|^)"" &amp; $A$1 &amp; ""(_|$)""), 
  REGEXMATCH(RawData_Ensembles!$A$2:$A$1300, ""(?i)"" &amp; $A128), 
  REGEXMATCH(RawData_Ensembles!$A$2:$A$1300, ""(?i)"" &amp; $G$1), 
  "&amp;"REGEXMATCH(RawData_Ensembles!$A$2:$A$1300, ""(?i)"" &amp; $B131)
)"),0.276177016865276)</f>
        <v>0.2761770169</v>
      </c>
      <c r="H131" s="88">
        <f>IFERROR(__xludf.DUMMYFUNCTION("FILTER(
  RawData_Ensembles!$C$2:$G$1300, 
  REGEXMATCH(RawData_Ensembles!$A$2:$A$1300, ""(?i)(_|^)"" &amp; $A$1 &amp; ""(_|$)""), 
  REGEXMATCH(RawData_Ensembles!$A$2:$A$1300, ""(?i)"" &amp; $A128), 
  REGEXMATCH(RawData_Ensembles!$A$2:$A$1300, ""(?i)"" &amp; $G$1), 
  "&amp;"REGEXMATCH(RawData_Ensembles!$A$2:$A$1300, ""(?i)"" &amp; $B131)
)"),0.05322079446119)</f>
        <v>0.05322079446</v>
      </c>
      <c r="I131" s="11"/>
      <c r="J131" s="11"/>
      <c r="K131" s="11"/>
      <c r="L131" s="11"/>
    </row>
    <row r="137">
      <c r="A137" s="100"/>
      <c r="B137" s="82"/>
      <c r="E137" s="82"/>
      <c r="G137" s="82"/>
    </row>
    <row r="138">
      <c r="A138" s="100"/>
      <c r="B138" s="113"/>
      <c r="C138" s="114" t="s">
        <v>13</v>
      </c>
      <c r="D138" s="114" t="s">
        <v>13</v>
      </c>
      <c r="E138" s="114" t="s">
        <v>15</v>
      </c>
      <c r="F138" s="114" t="s">
        <v>15</v>
      </c>
      <c r="G138" s="114" t="s">
        <v>16</v>
      </c>
      <c r="H138" s="114" t="s">
        <v>16</v>
      </c>
      <c r="I138" s="114" t="s">
        <v>17</v>
      </c>
      <c r="J138" s="115" t="s">
        <v>17</v>
      </c>
    </row>
    <row r="139">
      <c r="A139" s="100"/>
      <c r="B139" s="82"/>
      <c r="C139" s="7" t="s">
        <v>77</v>
      </c>
      <c r="D139" s="7" t="s">
        <v>78</v>
      </c>
      <c r="E139" s="7" t="s">
        <v>77</v>
      </c>
      <c r="F139" s="7" t="s">
        <v>78</v>
      </c>
      <c r="G139" s="7" t="s">
        <v>77</v>
      </c>
      <c r="H139" s="7" t="s">
        <v>78</v>
      </c>
      <c r="I139" s="7" t="s">
        <v>77</v>
      </c>
      <c r="J139" s="104" t="s">
        <v>78</v>
      </c>
    </row>
    <row r="140">
      <c r="A140" s="100"/>
      <c r="B140" s="116" t="s">
        <v>2356</v>
      </c>
      <c r="C140" s="5" t="str">
        <f>AVERAGE($C4-$C5,$C7-$C8,$C10-$C11,$C19-$C20,$C22-$C23)</f>
        <v>#VALUE!</v>
      </c>
      <c r="D140" s="5" t="str">
        <f>AVERAGE($D4-$D5,$D7-$D8,$D10-$D11,$D19-$D20,$D22-$D23)</f>
        <v>#VALUE!</v>
      </c>
      <c r="E140" s="5" t="str">
        <f t="shared" ref="E140:F140" si="1">AVERAGE(C$28-C$29,C$31-C$32,C$34-C$35,C$37-C$38,C$43-C$44,C$46-C$47)</f>
        <v>#VALUE!</v>
      </c>
      <c r="F140" s="5" t="str">
        <f t="shared" si="1"/>
        <v>#VALUE!</v>
      </c>
      <c r="G140" s="5" t="str">
        <f t="shared" ref="G140:H140" si="2">AVERAGE(C$52-C$53,C$55-C$56,C$58-C$59,C$61-C$62,C$67-C$68,C$70-C$71)</f>
        <v>#VALUE!</v>
      </c>
      <c r="H140" s="5" t="str">
        <f t="shared" si="2"/>
        <v>#VALUE!</v>
      </c>
      <c r="I140" s="5" t="str">
        <f t="shared" ref="I140:J140" si="3">AVERAGE(C$76-C$77,C$79-C$80,C$82-C$83,C$85-C$86,C$88-C$89,C$91-C$92,C$94-C$95,C$97-C$98)</f>
        <v>#VALUE!</v>
      </c>
      <c r="J140" s="45" t="str">
        <f t="shared" si="3"/>
        <v>#VALUE!</v>
      </c>
    </row>
    <row r="141">
      <c r="A141" s="100"/>
      <c r="B141" s="71"/>
      <c r="C141" s="5" t="str">
        <f>AVERAGE(C140:D140)</f>
        <v>#VALUE!</v>
      </c>
      <c r="D141" s="5"/>
      <c r="E141" s="5" t="str">
        <f>AVERAGE(E140:F140)</f>
        <v>#VALUE!</v>
      </c>
      <c r="F141" s="5"/>
      <c r="G141" s="5" t="str">
        <f>AVERAGE(G140:H140)</f>
        <v>#VALUE!</v>
      </c>
      <c r="H141" s="5"/>
      <c r="I141" s="5" t="str">
        <f>AVERAGE(I140:J140)</f>
        <v>#VALUE!</v>
      </c>
      <c r="J141" s="45"/>
    </row>
    <row r="142">
      <c r="A142" s="100"/>
      <c r="B142" s="116" t="s">
        <v>2357</v>
      </c>
      <c r="C142" s="5" t="str">
        <f t="shared" ref="C142:D142" si="4">AVERAGE(C$4-C$6,C$7-C$9,C$10-C$12,C$19-C$21,C$22-C$24)</f>
        <v>#VALUE!</v>
      </c>
      <c r="D142" s="5" t="str">
        <f t="shared" si="4"/>
        <v>#VALUE!</v>
      </c>
      <c r="E142" s="5" t="str">
        <f t="shared" ref="E142:F142" si="5">AVERAGE(C$28-C$30,C$31-C$33,C$34-C$36,C$37-C$39,C$43-C$45,C$46-C$48)</f>
        <v>#VALUE!</v>
      </c>
      <c r="F142" s="5" t="str">
        <f t="shared" si="5"/>
        <v>#VALUE!</v>
      </c>
      <c r="G142" s="5" t="str">
        <f t="shared" ref="G142:H142" si="6">AVERAGE(C$52-C$54,C$55-C$57,C$58-C$60,C$61-C$63,C$67-C$69,C$70-C$72)</f>
        <v>#VALUE!</v>
      </c>
      <c r="H142" s="5" t="str">
        <f t="shared" si="6"/>
        <v>#VALUE!</v>
      </c>
      <c r="I142" s="5" t="str">
        <f t="shared" ref="I142:J142" si="7">AVERAGE(C$76-C$78,C$79-C$81,C$82-C$84,C$85-C$87,C$88-C$90,C$91-C$93,C$94-C$96,C$97-C$99)</f>
        <v>#VALUE!</v>
      </c>
      <c r="J142" s="45" t="str">
        <f t="shared" si="7"/>
        <v>#VALUE!</v>
      </c>
    </row>
    <row r="143">
      <c r="A143" s="100"/>
      <c r="B143" s="79"/>
      <c r="C143" s="5" t="str">
        <f>AVERAGE(C142:D142)</f>
        <v>#VALUE!</v>
      </c>
      <c r="D143" s="5"/>
      <c r="E143" s="5" t="str">
        <f>AVERAGE(E142:F142)</f>
        <v>#VALUE!</v>
      </c>
      <c r="F143" s="5"/>
      <c r="G143" s="5" t="str">
        <f>AVERAGE(G142:H142)</f>
        <v>#VALUE!</v>
      </c>
      <c r="H143" s="5"/>
      <c r="I143" s="5" t="str">
        <f>AVERAGE(I142:J142)</f>
        <v>#VALUE!</v>
      </c>
      <c r="J143" s="45"/>
    </row>
    <row r="144">
      <c r="A144" s="100"/>
      <c r="B144" s="116" t="s">
        <v>2358</v>
      </c>
      <c r="C144" s="5" t="str">
        <f t="shared" ref="C144:D144" si="8">AVERAGE(E$4-E$5,E$7-E$8,E$10-E$11,E$13-E$14,E$16-E$17,E$19-E$20,E$22-E$23,E$25-E$26)</f>
        <v>#VALUE!</v>
      </c>
      <c r="D144" s="5" t="str">
        <f t="shared" si="8"/>
        <v>#VALUE!</v>
      </c>
      <c r="E144" s="5" t="str">
        <f t="shared" ref="E144:F144" si="9">AVERAGE(E$28-E$29,E$31-E$32,E$34-E$35,E$37-E$38,E$40-E$41,E$43-E$44,E$46-E$47,E$49-E$50)</f>
        <v>#VALUE!</v>
      </c>
      <c r="F144" s="5" t="str">
        <f t="shared" si="9"/>
        <v>#VALUE!</v>
      </c>
      <c r="G144" s="5" t="str">
        <f t="shared" ref="G144:H144" si="10">AVERAGE(E$52-E$53,E$55-E$56,E$58-E$59,E$61-E$62,E$64-E$65,E$67-E$68,E$70-E$71,E$73-E$74)</f>
        <v>#VALUE!</v>
      </c>
      <c r="H144" s="5" t="str">
        <f t="shared" si="10"/>
        <v>#VALUE!</v>
      </c>
      <c r="I144" s="5" t="str">
        <f t="shared" ref="I144:J144" si="11">AVERAGE(E$76-E$77,E$79-E$80,E$82-E$83,E$85-E$86,E$88-E$89,E$91-E$92,E$94-E$95,E$97-E$98)</f>
        <v>#VALUE!</v>
      </c>
      <c r="J144" s="45" t="str">
        <f t="shared" si="11"/>
        <v>#VALUE!</v>
      </c>
    </row>
    <row r="145">
      <c r="A145" s="100"/>
      <c r="B145" s="71"/>
      <c r="C145" s="5" t="str">
        <f>AVERAGE(C144:D144)</f>
        <v>#VALUE!</v>
      </c>
      <c r="D145" s="5"/>
      <c r="E145" s="5" t="str">
        <f>AVERAGE(E144:F144)</f>
        <v>#VALUE!</v>
      </c>
      <c r="F145" s="5"/>
      <c r="G145" s="5" t="str">
        <f>AVERAGE(G144:H144)</f>
        <v>#VALUE!</v>
      </c>
      <c r="H145" s="5"/>
      <c r="I145" s="5" t="str">
        <f>AVERAGE(I144:J144)</f>
        <v>#VALUE!</v>
      </c>
      <c r="J145" s="45"/>
    </row>
    <row r="146">
      <c r="A146" s="100"/>
      <c r="B146" s="116" t="s">
        <v>2359</v>
      </c>
      <c r="C146" s="5" t="str">
        <f t="shared" ref="C146:D146" si="12">AVERAGE(E$4-E$6,E$7-E$9,E$10-E$12,E$13-E$15,E$16-E$18,E$19-E$21,E$22-E$24,E$25-E$27)</f>
        <v>#VALUE!</v>
      </c>
      <c r="D146" s="5" t="str">
        <f t="shared" si="12"/>
        <v>#VALUE!</v>
      </c>
      <c r="E146" s="5" t="str">
        <f t="shared" ref="E146:F146" si="13">AVERAGE(E$28-E$30,E$31-E$33,E$34-E$36,E$37-E$39,E$40-E$42,E$43-E$45,E$46-E$48,E$49-E$51)</f>
        <v>#VALUE!</v>
      </c>
      <c r="F146" s="5" t="str">
        <f t="shared" si="13"/>
        <v>#VALUE!</v>
      </c>
      <c r="G146" s="5" t="str">
        <f t="shared" ref="G146:H146" si="14">AVERAGE(E$52-E$54,E$55-E$57,E$58-E$60,E$61-E$63,E$64-E$66,E$67-E$69,E$70-E$72,E$73-E$75)</f>
        <v>#VALUE!</v>
      </c>
      <c r="H146" s="5" t="str">
        <f t="shared" si="14"/>
        <v>#VALUE!</v>
      </c>
      <c r="I146" s="5" t="str">
        <f t="shared" ref="I146:J146" si="15">AVERAGE(E$76-E$78,E$79-E$81,E$82-E$84,E$85-E$87,E$88-E$90,E$91-E$93,E$94-E$96,E$97-E$99)</f>
        <v>#VALUE!</v>
      </c>
      <c r="J146" s="45" t="str">
        <f t="shared" si="15"/>
        <v>#VALUE!</v>
      </c>
    </row>
    <row r="147">
      <c r="A147" s="100"/>
      <c r="B147" s="79"/>
      <c r="C147" s="5" t="str">
        <f>AVERAGE(C146:D146)</f>
        <v>#VALUE!</v>
      </c>
      <c r="D147" s="5"/>
      <c r="E147" s="5" t="str">
        <f>AVERAGE(E146:F146)</f>
        <v>#VALUE!</v>
      </c>
      <c r="F147" s="5"/>
      <c r="G147" s="5" t="str">
        <f>AVERAGE(G146:H146)</f>
        <v>#VALUE!</v>
      </c>
      <c r="H147" s="5"/>
      <c r="I147" s="5" t="str">
        <f>AVERAGE(I146:J146)</f>
        <v>#VALUE!</v>
      </c>
      <c r="J147" s="45"/>
    </row>
    <row r="148">
      <c r="A148" s="100"/>
      <c r="B148" s="116" t="s">
        <v>2360</v>
      </c>
      <c r="C148" s="5" t="str">
        <f t="shared" ref="C148:D148" si="16">AVERAGE(G$4-G$5,G$7-G$8,G$10-G$11,G$13-G$14,G$16-G$17,G$19-G$20,G$22-G$23,G$25-G$26)</f>
        <v>#VALUE!</v>
      </c>
      <c r="D148" s="5" t="str">
        <f t="shared" si="16"/>
        <v>#VALUE!</v>
      </c>
      <c r="E148" s="5" t="str">
        <f t="shared" ref="E148:F148" si="17">AVERAGE(E$28-E$29,E$31-E$32,E$34-E$35,E$37-E$38,E$40-E$41,E$43-E$44,E$46-E$47,E$49-E$50)</f>
        <v>#VALUE!</v>
      </c>
      <c r="F148" s="5" t="str">
        <f t="shared" si="17"/>
        <v>#VALUE!</v>
      </c>
      <c r="G148" s="5" t="str">
        <f t="shared" ref="G148:H148" si="18">AVERAGE(E$52-E$53,E$55-E$56,E$58-E$59,E$61-E$62,E$64-E$65,E$67-E$68,E$70-E$71,E$73-E$74)</f>
        <v>#VALUE!</v>
      </c>
      <c r="H148" s="5" t="str">
        <f t="shared" si="18"/>
        <v>#VALUE!</v>
      </c>
      <c r="I148" s="5" t="str">
        <f t="shared" ref="I148:J148" si="19">AVERAGE(E$76-E$77,E$79-E$80,E$82-E$83,E$85-E$86,E$88-E$89,E$91-E$92,E$94-E$95,E$97-E$98)</f>
        <v>#VALUE!</v>
      </c>
      <c r="J148" s="45" t="str">
        <f t="shared" si="19"/>
        <v>#VALUE!</v>
      </c>
    </row>
    <row r="149">
      <c r="A149" s="100"/>
      <c r="B149" s="71"/>
      <c r="C149" s="5" t="str">
        <f>AVERAGE(C148:D148)</f>
        <v>#VALUE!</v>
      </c>
      <c r="D149" s="5"/>
      <c r="E149" s="5" t="str">
        <f>AVERAGE(E148:F148)</f>
        <v>#VALUE!</v>
      </c>
      <c r="F149" s="5"/>
      <c r="G149" s="5" t="str">
        <f>AVERAGE(G148:H148)</f>
        <v>#VALUE!</v>
      </c>
      <c r="H149" s="5"/>
      <c r="I149" s="5" t="str">
        <f>AVERAGE(I148:J148)</f>
        <v>#VALUE!</v>
      </c>
      <c r="J149" s="45"/>
    </row>
    <row r="150">
      <c r="A150" s="100"/>
      <c r="B150" s="116" t="s">
        <v>2361</v>
      </c>
      <c r="C150" s="5" t="str">
        <f t="shared" ref="C150:D150" si="20">AVERAGE(G$4-G$6,G$7-G$9,G$10-G$12,G$13-G$15,G$16-G$18,G$19-G$21,G$22-G$24,G$25-G$27)</f>
        <v>#VALUE!</v>
      </c>
      <c r="D150" s="5" t="str">
        <f t="shared" si="20"/>
        <v>#VALUE!</v>
      </c>
      <c r="E150" s="5" t="str">
        <f t="shared" ref="E150:F150" si="21">AVERAGE(G$28-G$30,G$31-G$33,G$34-G$36,G$37-G$39,G$40-G$42,G$43-G$45,G$46-G$48,G$49-G$51)</f>
        <v>#VALUE!</v>
      </c>
      <c r="F150" s="5" t="str">
        <f t="shared" si="21"/>
        <v>#VALUE!</v>
      </c>
      <c r="G150" s="5" t="str">
        <f t="shared" ref="G150:H150" si="22">AVERAGE(G$52-G$54,G$55-G$57,G$58-G$60,G$61-G$63,G$64-G$66,G$67-G$69,G$70-G$72,G$73-G$75)</f>
        <v>#VALUE!</v>
      </c>
      <c r="H150" s="5" t="str">
        <f t="shared" si="22"/>
        <v>#VALUE!</v>
      </c>
      <c r="I150" s="5" t="str">
        <f t="shared" ref="I150:J150" si="23">AVERAGE(G$76-G$78,G$79-G$81,G$82-G$84,G$85-G$87,G$88-G$90,G$91-G$93,G$94-G$96,G$97-G$99)</f>
        <v>#VALUE!</v>
      </c>
      <c r="J150" s="45" t="str">
        <f t="shared" si="23"/>
        <v>#VALUE!</v>
      </c>
    </row>
    <row r="151">
      <c r="A151" s="100"/>
      <c r="B151" s="117"/>
      <c r="C151" s="53" t="str">
        <f>AVERAGE(C150:D150)</f>
        <v>#VALUE!</v>
      </c>
      <c r="D151" s="53"/>
      <c r="E151" s="53" t="str">
        <f>AVERAGE(E150:F150)</f>
        <v>#VALUE!</v>
      </c>
      <c r="F151" s="53"/>
      <c r="G151" s="53" t="str">
        <f>AVERAGE(G150:H150)</f>
        <v>#VALUE!</v>
      </c>
      <c r="H151" s="53"/>
      <c r="I151" s="53" t="str">
        <f>AVERAGE(I150:J150)</f>
        <v>#VALUE!</v>
      </c>
      <c r="J151" s="54"/>
    </row>
    <row r="152">
      <c r="A152" s="100"/>
      <c r="B152" s="82"/>
      <c r="E152" s="82"/>
      <c r="G152" s="82"/>
    </row>
    <row r="153">
      <c r="A153" s="100"/>
      <c r="B153" s="82"/>
      <c r="E153" s="82"/>
      <c r="G153" s="82"/>
    </row>
    <row r="154">
      <c r="A154" s="100"/>
      <c r="B154" s="82"/>
      <c r="E154" s="82"/>
      <c r="G154" s="82"/>
    </row>
    <row r="155">
      <c r="A155" s="100"/>
      <c r="B155" s="82"/>
      <c r="E155" s="82"/>
      <c r="G155" s="82"/>
    </row>
    <row r="156">
      <c r="A156" s="100"/>
      <c r="B156" s="82"/>
      <c r="E156" s="82"/>
      <c r="G156" s="82"/>
    </row>
    <row r="157">
      <c r="A157" s="100"/>
      <c r="B157" s="82"/>
      <c r="E157" s="82"/>
      <c r="G157" s="82"/>
    </row>
    <row r="158">
      <c r="A158" s="100"/>
      <c r="B158" s="82"/>
      <c r="E158" s="82"/>
      <c r="G158" s="82"/>
    </row>
    <row r="159">
      <c r="A159" s="100"/>
      <c r="B159" s="82"/>
      <c r="E159" s="82"/>
      <c r="G159" s="82"/>
    </row>
    <row r="160">
      <c r="A160" s="100"/>
      <c r="B160" s="82"/>
      <c r="E160" s="82"/>
      <c r="G160" s="82"/>
    </row>
    <row r="161">
      <c r="A161" s="100"/>
      <c r="B161" s="82"/>
      <c r="E161" s="82"/>
      <c r="G161" s="82"/>
    </row>
    <row r="162">
      <c r="A162" s="100"/>
      <c r="B162" s="82"/>
      <c r="E162" s="82"/>
      <c r="G162" s="82"/>
    </row>
    <row r="163">
      <c r="A163" s="100"/>
      <c r="B163" s="82"/>
      <c r="E163" s="82"/>
      <c r="G163" s="82"/>
    </row>
    <row r="164">
      <c r="A164" s="100"/>
      <c r="B164" s="82"/>
      <c r="E164" s="82"/>
      <c r="G164" s="82"/>
    </row>
    <row r="165">
      <c r="A165" s="100"/>
      <c r="B165" s="82"/>
      <c r="E165" s="82"/>
      <c r="G165" s="82"/>
    </row>
    <row r="166">
      <c r="A166" s="100"/>
      <c r="B166" s="82"/>
      <c r="E166" s="82"/>
      <c r="G166" s="82"/>
    </row>
    <row r="167">
      <c r="A167" s="100"/>
      <c r="B167" s="82"/>
      <c r="E167" s="82"/>
      <c r="G167" s="82"/>
    </row>
    <row r="168">
      <c r="A168" s="100"/>
      <c r="B168" s="82"/>
      <c r="E168" s="82"/>
      <c r="G168" s="82"/>
    </row>
    <row r="169">
      <c r="A169" s="100"/>
      <c r="B169" s="82"/>
      <c r="E169" s="82"/>
      <c r="G169" s="82"/>
    </row>
    <row r="170">
      <c r="A170" s="100"/>
      <c r="B170" s="82"/>
      <c r="E170" s="82"/>
      <c r="G170" s="82"/>
    </row>
    <row r="171">
      <c r="A171" s="100"/>
      <c r="B171" s="82"/>
      <c r="E171" s="82"/>
      <c r="G171" s="82"/>
    </row>
    <row r="172">
      <c r="A172" s="100"/>
      <c r="B172" s="82"/>
      <c r="E172" s="82"/>
      <c r="G172" s="82"/>
    </row>
    <row r="173">
      <c r="A173" s="100"/>
      <c r="B173" s="82"/>
      <c r="E173" s="82"/>
      <c r="G173" s="82"/>
    </row>
    <row r="174">
      <c r="A174" s="100"/>
      <c r="B174" s="82"/>
      <c r="E174" s="82"/>
      <c r="G174" s="82"/>
    </row>
    <row r="175">
      <c r="A175" s="100"/>
      <c r="B175" s="82"/>
      <c r="E175" s="82"/>
      <c r="G175" s="82"/>
    </row>
    <row r="176">
      <c r="A176" s="100"/>
      <c r="B176" s="82"/>
      <c r="E176" s="82"/>
      <c r="G176" s="82"/>
    </row>
    <row r="177">
      <c r="A177" s="100"/>
      <c r="B177" s="82"/>
      <c r="E177" s="82"/>
      <c r="G177" s="82"/>
    </row>
    <row r="178">
      <c r="A178" s="100"/>
      <c r="B178" s="82"/>
      <c r="E178" s="82"/>
      <c r="G178" s="82"/>
    </row>
    <row r="179">
      <c r="A179" s="100"/>
      <c r="B179" s="82"/>
      <c r="E179" s="82"/>
      <c r="G179" s="82"/>
    </row>
    <row r="180">
      <c r="A180" s="100"/>
      <c r="B180" s="82"/>
      <c r="E180" s="82"/>
      <c r="G180" s="82"/>
    </row>
    <row r="181">
      <c r="A181" s="100"/>
      <c r="B181" s="82"/>
      <c r="E181" s="82"/>
      <c r="G181" s="82"/>
    </row>
    <row r="182">
      <c r="A182" s="100"/>
      <c r="B182" s="82"/>
      <c r="E182" s="82"/>
      <c r="G182" s="82"/>
    </row>
    <row r="183">
      <c r="A183" s="100"/>
      <c r="B183" s="82"/>
      <c r="E183" s="82"/>
      <c r="G183" s="82"/>
    </row>
    <row r="184">
      <c r="A184" s="100"/>
      <c r="B184" s="82"/>
      <c r="E184" s="82"/>
      <c r="G184" s="82"/>
    </row>
    <row r="185">
      <c r="A185" s="100"/>
      <c r="B185" s="82"/>
      <c r="E185" s="82"/>
      <c r="G185" s="82"/>
    </row>
    <row r="186">
      <c r="A186" s="100"/>
      <c r="B186" s="82"/>
      <c r="E186" s="82"/>
      <c r="G186" s="82"/>
    </row>
    <row r="187">
      <c r="A187" s="100"/>
      <c r="B187" s="82"/>
      <c r="E187" s="82"/>
      <c r="G187" s="82"/>
    </row>
    <row r="188">
      <c r="A188" s="100"/>
      <c r="B188" s="82"/>
      <c r="E188" s="82"/>
      <c r="G188" s="82"/>
    </row>
    <row r="189">
      <c r="A189" s="100"/>
      <c r="B189" s="82"/>
      <c r="E189" s="82"/>
      <c r="G189" s="82"/>
    </row>
    <row r="190">
      <c r="A190" s="100"/>
      <c r="B190" s="82"/>
      <c r="E190" s="82"/>
      <c r="G190" s="82"/>
    </row>
    <row r="191">
      <c r="A191" s="100"/>
      <c r="B191" s="82"/>
      <c r="E191" s="82"/>
      <c r="G191" s="82"/>
    </row>
    <row r="192">
      <c r="A192" s="100"/>
      <c r="B192" s="82"/>
      <c r="E192" s="82"/>
      <c r="G192" s="82"/>
    </row>
    <row r="193">
      <c r="A193" s="100"/>
      <c r="B193" s="82"/>
      <c r="E193" s="82"/>
      <c r="G193" s="82"/>
    </row>
    <row r="194">
      <c r="A194" s="100"/>
      <c r="B194" s="82"/>
      <c r="E194" s="82"/>
      <c r="G194" s="82"/>
    </row>
    <row r="195">
      <c r="A195" s="100"/>
      <c r="B195" s="82"/>
      <c r="E195" s="82"/>
      <c r="G195" s="82"/>
    </row>
    <row r="196">
      <c r="A196" s="100"/>
      <c r="B196" s="82"/>
      <c r="E196" s="82"/>
      <c r="G196" s="82"/>
    </row>
    <row r="197">
      <c r="A197" s="100"/>
      <c r="B197" s="82"/>
      <c r="E197" s="82"/>
      <c r="G197" s="82"/>
    </row>
    <row r="198">
      <c r="A198" s="100"/>
      <c r="B198" s="82"/>
      <c r="E198" s="82"/>
      <c r="G198" s="82"/>
    </row>
    <row r="199">
      <c r="A199" s="100"/>
      <c r="B199" s="82"/>
      <c r="E199" s="82"/>
      <c r="G199" s="82"/>
    </row>
    <row r="200">
      <c r="A200" s="100"/>
      <c r="B200" s="82"/>
      <c r="E200" s="82"/>
      <c r="G200" s="82"/>
    </row>
    <row r="201">
      <c r="A201" s="100"/>
      <c r="B201" s="82"/>
      <c r="E201" s="82"/>
      <c r="G201" s="82"/>
    </row>
    <row r="202">
      <c r="A202" s="100"/>
      <c r="B202" s="82"/>
      <c r="E202" s="82"/>
      <c r="G202" s="82"/>
    </row>
    <row r="203">
      <c r="A203" s="100"/>
      <c r="B203" s="82"/>
      <c r="E203" s="82"/>
      <c r="G203" s="82"/>
    </row>
    <row r="204">
      <c r="A204" s="100"/>
      <c r="B204" s="82"/>
      <c r="E204" s="82"/>
      <c r="G204" s="82"/>
    </row>
    <row r="205">
      <c r="A205" s="100"/>
      <c r="B205" s="82"/>
      <c r="E205" s="82"/>
      <c r="G205" s="82"/>
    </row>
    <row r="206">
      <c r="A206" s="100"/>
      <c r="B206" s="82"/>
      <c r="E206" s="82"/>
      <c r="G206" s="82"/>
    </row>
    <row r="207">
      <c r="A207" s="100"/>
      <c r="B207" s="82"/>
      <c r="E207" s="82"/>
      <c r="G207" s="82"/>
    </row>
    <row r="208">
      <c r="A208" s="100"/>
      <c r="B208" s="82"/>
      <c r="E208" s="82"/>
      <c r="G208" s="82"/>
    </row>
    <row r="209">
      <c r="A209" s="100"/>
      <c r="B209" s="82"/>
      <c r="E209" s="82"/>
      <c r="G209" s="82"/>
    </row>
    <row r="210">
      <c r="A210" s="100"/>
      <c r="B210" s="82"/>
      <c r="E210" s="82"/>
      <c r="G210" s="82"/>
    </row>
    <row r="211">
      <c r="A211" s="100"/>
      <c r="B211" s="82"/>
      <c r="E211" s="82"/>
      <c r="G211" s="82"/>
    </row>
    <row r="212">
      <c r="A212" s="100"/>
      <c r="B212" s="82"/>
      <c r="E212" s="82"/>
      <c r="G212" s="82"/>
    </row>
    <row r="213">
      <c r="A213" s="100"/>
      <c r="B213" s="82"/>
      <c r="E213" s="82"/>
      <c r="G213" s="82"/>
    </row>
    <row r="214">
      <c r="A214" s="100"/>
      <c r="B214" s="82"/>
      <c r="E214" s="82"/>
      <c r="G214" s="82"/>
    </row>
    <row r="215">
      <c r="A215" s="100"/>
      <c r="B215" s="82"/>
      <c r="E215" s="82"/>
      <c r="G215" s="82"/>
    </row>
    <row r="216">
      <c r="A216" s="100"/>
      <c r="B216" s="82"/>
      <c r="E216" s="82"/>
      <c r="G216" s="82"/>
    </row>
    <row r="217">
      <c r="A217" s="100"/>
      <c r="B217" s="82"/>
      <c r="E217" s="82"/>
      <c r="G217" s="82"/>
    </row>
    <row r="218">
      <c r="A218" s="100"/>
      <c r="B218" s="82"/>
      <c r="E218" s="82"/>
      <c r="G218" s="82"/>
    </row>
    <row r="219">
      <c r="A219" s="100"/>
      <c r="B219" s="82"/>
      <c r="E219" s="82"/>
      <c r="G219" s="82"/>
    </row>
    <row r="220">
      <c r="A220" s="100"/>
      <c r="B220" s="82"/>
      <c r="E220" s="82"/>
      <c r="G220" s="82"/>
    </row>
    <row r="221">
      <c r="A221" s="100"/>
      <c r="B221" s="82"/>
      <c r="E221" s="82"/>
      <c r="G221" s="82"/>
    </row>
    <row r="222">
      <c r="A222" s="100"/>
      <c r="B222" s="82"/>
      <c r="E222" s="82"/>
      <c r="G222" s="82"/>
    </row>
    <row r="223">
      <c r="A223" s="100"/>
      <c r="B223" s="82"/>
      <c r="E223" s="82"/>
      <c r="G223" s="82"/>
    </row>
    <row r="224">
      <c r="A224" s="100"/>
      <c r="B224" s="82"/>
      <c r="E224" s="82"/>
      <c r="G224" s="82"/>
    </row>
    <row r="225">
      <c r="A225" s="100"/>
      <c r="B225" s="82"/>
      <c r="E225" s="82"/>
      <c r="G225" s="82"/>
    </row>
    <row r="226">
      <c r="A226" s="100"/>
      <c r="B226" s="82"/>
      <c r="E226" s="82"/>
      <c r="G226" s="82"/>
    </row>
    <row r="227">
      <c r="A227" s="100"/>
      <c r="B227" s="82"/>
      <c r="E227" s="82"/>
      <c r="G227" s="82"/>
    </row>
    <row r="228">
      <c r="A228" s="100"/>
      <c r="B228" s="82"/>
      <c r="E228" s="82"/>
      <c r="G228" s="82"/>
    </row>
    <row r="229">
      <c r="A229" s="100"/>
      <c r="B229" s="82"/>
      <c r="E229" s="82"/>
      <c r="G229" s="82"/>
    </row>
    <row r="230">
      <c r="A230" s="100"/>
      <c r="B230" s="82"/>
      <c r="E230" s="82"/>
      <c r="G230" s="82"/>
    </row>
    <row r="231">
      <c r="A231" s="100"/>
      <c r="B231" s="82"/>
      <c r="E231" s="82"/>
      <c r="G231" s="82"/>
    </row>
    <row r="232">
      <c r="A232" s="100"/>
      <c r="B232" s="82"/>
      <c r="E232" s="82"/>
      <c r="G232" s="82"/>
    </row>
    <row r="233">
      <c r="A233" s="100"/>
      <c r="B233" s="82"/>
      <c r="E233" s="82"/>
      <c r="G233" s="82"/>
    </row>
    <row r="234">
      <c r="A234" s="100"/>
      <c r="B234" s="82"/>
      <c r="E234" s="82"/>
      <c r="G234" s="82"/>
    </row>
    <row r="235">
      <c r="A235" s="100"/>
      <c r="B235" s="82"/>
      <c r="E235" s="82"/>
      <c r="G235" s="82"/>
    </row>
    <row r="236">
      <c r="A236" s="100"/>
      <c r="B236" s="82"/>
      <c r="E236" s="82"/>
      <c r="G236" s="82"/>
    </row>
    <row r="237">
      <c r="A237" s="100"/>
      <c r="B237" s="82"/>
      <c r="E237" s="82"/>
      <c r="G237" s="82"/>
    </row>
    <row r="238">
      <c r="A238" s="100"/>
      <c r="B238" s="82"/>
      <c r="E238" s="82"/>
      <c r="G238" s="82"/>
    </row>
    <row r="239">
      <c r="A239" s="100"/>
      <c r="B239" s="82"/>
      <c r="E239" s="82"/>
      <c r="G239" s="82"/>
    </row>
    <row r="240">
      <c r="A240" s="100"/>
      <c r="B240" s="82"/>
      <c r="E240" s="82"/>
      <c r="G240" s="82"/>
    </row>
    <row r="241">
      <c r="A241" s="100"/>
      <c r="B241" s="82"/>
      <c r="E241" s="82"/>
      <c r="G241" s="82"/>
    </row>
    <row r="242">
      <c r="A242" s="100"/>
      <c r="B242" s="82"/>
      <c r="E242" s="82"/>
      <c r="G242" s="82"/>
    </row>
    <row r="243">
      <c r="A243" s="100"/>
      <c r="B243" s="82"/>
      <c r="E243" s="82"/>
      <c r="G243" s="82"/>
    </row>
    <row r="244">
      <c r="A244" s="100"/>
      <c r="B244" s="82"/>
      <c r="E244" s="82"/>
      <c r="G244" s="82"/>
    </row>
    <row r="245">
      <c r="A245" s="100"/>
      <c r="B245" s="82"/>
      <c r="E245" s="82"/>
      <c r="G245" s="82"/>
    </row>
    <row r="246">
      <c r="A246" s="100"/>
      <c r="B246" s="82"/>
      <c r="E246" s="82"/>
      <c r="G246" s="82"/>
    </row>
    <row r="247">
      <c r="A247" s="100"/>
      <c r="B247" s="82"/>
      <c r="E247" s="82"/>
      <c r="G247" s="82"/>
    </row>
    <row r="248">
      <c r="A248" s="100"/>
      <c r="B248" s="82"/>
      <c r="E248" s="82"/>
      <c r="G248" s="82"/>
    </row>
    <row r="249">
      <c r="A249" s="100"/>
      <c r="B249" s="82"/>
      <c r="E249" s="82"/>
      <c r="G249" s="82"/>
    </row>
    <row r="250">
      <c r="A250" s="100"/>
      <c r="B250" s="82"/>
      <c r="E250" s="82"/>
      <c r="G250" s="82"/>
    </row>
    <row r="251">
      <c r="A251" s="100"/>
      <c r="B251" s="82"/>
      <c r="E251" s="82"/>
      <c r="G251" s="82"/>
    </row>
    <row r="252">
      <c r="A252" s="100"/>
      <c r="B252" s="82"/>
      <c r="E252" s="82"/>
      <c r="G252" s="82"/>
    </row>
    <row r="253">
      <c r="A253" s="100"/>
      <c r="B253" s="82"/>
      <c r="E253" s="82"/>
      <c r="G253" s="82"/>
    </row>
    <row r="254">
      <c r="A254" s="100"/>
      <c r="B254" s="82"/>
      <c r="E254" s="82"/>
      <c r="G254" s="82"/>
    </row>
    <row r="255">
      <c r="A255" s="100"/>
      <c r="B255" s="82"/>
      <c r="E255" s="82"/>
      <c r="G255" s="82"/>
    </row>
    <row r="256">
      <c r="A256" s="100"/>
      <c r="B256" s="82"/>
      <c r="E256" s="82"/>
      <c r="G256" s="82"/>
    </row>
    <row r="257">
      <c r="A257" s="100"/>
      <c r="B257" s="82"/>
      <c r="E257" s="82"/>
      <c r="G257" s="82"/>
    </row>
    <row r="258">
      <c r="A258" s="100"/>
      <c r="B258" s="82"/>
      <c r="E258" s="82"/>
      <c r="G258" s="82"/>
    </row>
    <row r="259">
      <c r="A259" s="100"/>
      <c r="B259" s="82"/>
      <c r="E259" s="82"/>
      <c r="G259" s="82"/>
    </row>
    <row r="260">
      <c r="A260" s="100"/>
      <c r="B260" s="82"/>
      <c r="E260" s="82"/>
      <c r="G260" s="82"/>
    </row>
    <row r="261">
      <c r="A261" s="100"/>
      <c r="B261" s="82"/>
      <c r="E261" s="82"/>
      <c r="G261" s="82"/>
    </row>
    <row r="262">
      <c r="A262" s="100"/>
      <c r="B262" s="82"/>
      <c r="E262" s="82"/>
      <c r="G262" s="82"/>
    </row>
    <row r="263">
      <c r="A263" s="100"/>
      <c r="B263" s="82"/>
      <c r="E263" s="82"/>
      <c r="G263" s="82"/>
    </row>
    <row r="264">
      <c r="A264" s="100"/>
      <c r="B264" s="82"/>
      <c r="E264" s="82"/>
      <c r="G264" s="82"/>
    </row>
    <row r="265">
      <c r="A265" s="100"/>
      <c r="B265" s="82"/>
      <c r="E265" s="82"/>
      <c r="G265" s="82"/>
    </row>
    <row r="266">
      <c r="A266" s="100"/>
      <c r="B266" s="82"/>
      <c r="E266" s="82"/>
      <c r="G266" s="82"/>
    </row>
    <row r="267">
      <c r="A267" s="100"/>
      <c r="B267" s="82"/>
      <c r="E267" s="82"/>
      <c r="G267" s="82"/>
    </row>
    <row r="268">
      <c r="A268" s="100"/>
      <c r="B268" s="82"/>
      <c r="E268" s="82"/>
      <c r="G268" s="82"/>
    </row>
    <row r="269">
      <c r="A269" s="100"/>
      <c r="B269" s="82"/>
      <c r="E269" s="82"/>
      <c r="G269" s="82"/>
    </row>
    <row r="270">
      <c r="A270" s="100"/>
      <c r="B270" s="82"/>
      <c r="E270" s="82"/>
      <c r="G270" s="82"/>
    </row>
    <row r="271">
      <c r="A271" s="100"/>
      <c r="B271" s="82"/>
      <c r="E271" s="82"/>
      <c r="G271" s="82"/>
    </row>
    <row r="272">
      <c r="A272" s="100"/>
      <c r="B272" s="82"/>
      <c r="E272" s="82"/>
      <c r="G272" s="82"/>
    </row>
    <row r="273">
      <c r="A273" s="100"/>
      <c r="B273" s="82"/>
      <c r="E273" s="82"/>
      <c r="G273" s="82"/>
    </row>
    <row r="274">
      <c r="A274" s="100"/>
      <c r="B274" s="82"/>
      <c r="E274" s="82"/>
      <c r="G274" s="82"/>
    </row>
    <row r="275">
      <c r="A275" s="100"/>
      <c r="B275" s="82"/>
      <c r="E275" s="82"/>
      <c r="G275" s="82"/>
    </row>
    <row r="276">
      <c r="A276" s="100"/>
      <c r="B276" s="82"/>
      <c r="E276" s="82"/>
      <c r="G276" s="82"/>
    </row>
    <row r="277">
      <c r="A277" s="100"/>
      <c r="B277" s="82"/>
      <c r="E277" s="82"/>
      <c r="G277" s="82"/>
    </row>
    <row r="278">
      <c r="A278" s="100"/>
      <c r="B278" s="82"/>
      <c r="E278" s="82"/>
      <c r="G278" s="82"/>
    </row>
    <row r="279">
      <c r="A279" s="100"/>
      <c r="B279" s="82"/>
      <c r="E279" s="82"/>
      <c r="G279" s="82"/>
    </row>
    <row r="280">
      <c r="A280" s="100"/>
      <c r="B280" s="82"/>
      <c r="E280" s="82"/>
      <c r="G280" s="82"/>
    </row>
    <row r="281">
      <c r="A281" s="100"/>
      <c r="B281" s="82"/>
      <c r="E281" s="82"/>
      <c r="G281" s="82"/>
    </row>
    <row r="282">
      <c r="A282" s="100"/>
      <c r="B282" s="82"/>
      <c r="E282" s="82"/>
      <c r="G282" s="82"/>
    </row>
    <row r="283">
      <c r="A283" s="100"/>
      <c r="B283" s="82"/>
      <c r="E283" s="82"/>
      <c r="G283" s="82"/>
    </row>
    <row r="284">
      <c r="A284" s="100"/>
      <c r="B284" s="82"/>
      <c r="E284" s="82"/>
      <c r="G284" s="82"/>
    </row>
    <row r="285">
      <c r="A285" s="100"/>
      <c r="B285" s="82"/>
      <c r="E285" s="82"/>
      <c r="G285" s="82"/>
    </row>
    <row r="286">
      <c r="A286" s="100"/>
      <c r="B286" s="82"/>
      <c r="E286" s="82"/>
      <c r="G286" s="82"/>
    </row>
    <row r="287">
      <c r="A287" s="100"/>
      <c r="B287" s="82"/>
      <c r="E287" s="82"/>
      <c r="G287" s="82"/>
    </row>
    <row r="288">
      <c r="A288" s="100"/>
      <c r="B288" s="82"/>
      <c r="E288" s="82"/>
      <c r="G288" s="82"/>
    </row>
    <row r="289">
      <c r="A289" s="100"/>
      <c r="B289" s="82"/>
      <c r="E289" s="82"/>
      <c r="G289" s="82"/>
    </row>
    <row r="290">
      <c r="A290" s="100"/>
      <c r="B290" s="82"/>
      <c r="E290" s="82"/>
      <c r="G290" s="82"/>
    </row>
    <row r="291">
      <c r="A291" s="100"/>
      <c r="B291" s="82"/>
      <c r="E291" s="82"/>
      <c r="G291" s="82"/>
    </row>
    <row r="292">
      <c r="A292" s="100"/>
      <c r="B292" s="82"/>
      <c r="E292" s="82"/>
      <c r="G292" s="82"/>
    </row>
    <row r="293">
      <c r="A293" s="100"/>
      <c r="B293" s="82"/>
      <c r="E293" s="82"/>
      <c r="G293" s="82"/>
    </row>
    <row r="294">
      <c r="A294" s="100"/>
      <c r="B294" s="82"/>
      <c r="E294" s="82"/>
      <c r="G294" s="82"/>
    </row>
    <row r="295">
      <c r="A295" s="100"/>
      <c r="B295" s="82"/>
      <c r="E295" s="82"/>
      <c r="G295" s="82"/>
    </row>
    <row r="296">
      <c r="A296" s="100"/>
      <c r="B296" s="82"/>
      <c r="E296" s="82"/>
      <c r="G296" s="82"/>
    </row>
    <row r="297">
      <c r="A297" s="100"/>
      <c r="B297" s="82"/>
      <c r="E297" s="82"/>
      <c r="G297" s="82"/>
    </row>
    <row r="298">
      <c r="A298" s="100"/>
      <c r="B298" s="82"/>
      <c r="E298" s="82"/>
      <c r="G298" s="82"/>
    </row>
    <row r="299">
      <c r="A299" s="100"/>
      <c r="B299" s="82"/>
      <c r="E299" s="82"/>
      <c r="G299" s="82"/>
    </row>
    <row r="300">
      <c r="A300" s="100"/>
      <c r="B300" s="82"/>
      <c r="E300" s="82"/>
      <c r="G300" s="82"/>
    </row>
    <row r="301">
      <c r="A301" s="100"/>
      <c r="B301" s="82"/>
      <c r="E301" s="82"/>
      <c r="G301" s="82"/>
    </row>
    <row r="302">
      <c r="A302" s="100"/>
      <c r="B302" s="82"/>
      <c r="E302" s="82"/>
      <c r="G302" s="82"/>
    </row>
    <row r="303">
      <c r="A303" s="100"/>
      <c r="B303" s="82"/>
      <c r="E303" s="82"/>
      <c r="G303" s="82"/>
    </row>
    <row r="304">
      <c r="A304" s="100"/>
      <c r="B304" s="82"/>
      <c r="E304" s="82"/>
      <c r="G304" s="82"/>
    </row>
    <row r="305">
      <c r="A305" s="100"/>
      <c r="B305" s="82"/>
      <c r="E305" s="82"/>
      <c r="G305" s="82"/>
    </row>
    <row r="306">
      <c r="A306" s="100"/>
      <c r="B306" s="82"/>
      <c r="E306" s="82"/>
      <c r="G306" s="82"/>
    </row>
    <row r="307">
      <c r="A307" s="100"/>
      <c r="B307" s="82"/>
      <c r="E307" s="82"/>
      <c r="G307" s="82"/>
    </row>
    <row r="308">
      <c r="A308" s="100"/>
      <c r="B308" s="82"/>
      <c r="E308" s="82"/>
      <c r="G308" s="82"/>
    </row>
    <row r="309">
      <c r="A309" s="100"/>
      <c r="B309" s="82"/>
      <c r="E309" s="82"/>
      <c r="G309" s="82"/>
    </row>
    <row r="310">
      <c r="A310" s="100"/>
      <c r="B310" s="82"/>
      <c r="E310" s="82"/>
      <c r="G310" s="82"/>
    </row>
    <row r="311">
      <c r="A311" s="100"/>
      <c r="B311" s="82"/>
      <c r="E311" s="82"/>
      <c r="G311" s="82"/>
    </row>
    <row r="312">
      <c r="A312" s="100"/>
      <c r="B312" s="82"/>
      <c r="E312" s="82"/>
      <c r="G312" s="82"/>
    </row>
    <row r="313">
      <c r="A313" s="100"/>
      <c r="B313" s="82"/>
      <c r="E313" s="82"/>
      <c r="G313" s="82"/>
    </row>
    <row r="314">
      <c r="A314" s="100"/>
      <c r="B314" s="82"/>
      <c r="E314" s="82"/>
      <c r="G314" s="82"/>
    </row>
    <row r="315">
      <c r="A315" s="100"/>
      <c r="B315" s="82"/>
      <c r="E315" s="82"/>
      <c r="G315" s="82"/>
    </row>
    <row r="316">
      <c r="A316" s="100"/>
      <c r="B316" s="82"/>
      <c r="E316" s="82"/>
      <c r="G316" s="82"/>
    </row>
    <row r="317">
      <c r="A317" s="100"/>
      <c r="B317" s="82"/>
      <c r="E317" s="82"/>
      <c r="G317" s="82"/>
    </row>
    <row r="318">
      <c r="A318" s="100"/>
      <c r="B318" s="82"/>
      <c r="E318" s="82"/>
      <c r="G318" s="82"/>
    </row>
    <row r="319">
      <c r="A319" s="100"/>
      <c r="B319" s="82"/>
      <c r="E319" s="82"/>
      <c r="G319" s="82"/>
    </row>
    <row r="320">
      <c r="A320" s="100"/>
      <c r="B320" s="82"/>
      <c r="E320" s="82"/>
      <c r="G320" s="82"/>
    </row>
    <row r="321">
      <c r="A321" s="100"/>
      <c r="B321" s="82"/>
      <c r="E321" s="82"/>
      <c r="G321" s="82"/>
    </row>
    <row r="322">
      <c r="A322" s="100"/>
      <c r="B322" s="82"/>
      <c r="E322" s="82"/>
      <c r="G322" s="82"/>
    </row>
    <row r="323">
      <c r="A323" s="100"/>
      <c r="B323" s="82"/>
      <c r="E323" s="82"/>
      <c r="G323" s="82"/>
    </row>
    <row r="324">
      <c r="A324" s="100"/>
      <c r="B324" s="82"/>
      <c r="E324" s="82"/>
      <c r="G324" s="82"/>
    </row>
    <row r="325">
      <c r="A325" s="100"/>
      <c r="B325" s="82"/>
      <c r="E325" s="82"/>
      <c r="G325" s="82"/>
    </row>
    <row r="326">
      <c r="A326" s="100"/>
      <c r="B326" s="82"/>
      <c r="E326" s="82"/>
      <c r="G326" s="82"/>
    </row>
    <row r="327">
      <c r="A327" s="100"/>
      <c r="B327" s="82"/>
      <c r="E327" s="82"/>
      <c r="G327" s="82"/>
    </row>
    <row r="328">
      <c r="A328" s="100"/>
      <c r="B328" s="82"/>
      <c r="E328" s="82"/>
      <c r="G328" s="82"/>
    </row>
    <row r="329">
      <c r="A329" s="100"/>
      <c r="B329" s="82"/>
      <c r="E329" s="82"/>
      <c r="G329" s="82"/>
    </row>
    <row r="330">
      <c r="A330" s="100"/>
      <c r="B330" s="82"/>
      <c r="E330" s="82"/>
      <c r="G330" s="82"/>
    </row>
    <row r="331">
      <c r="A331" s="100"/>
      <c r="B331" s="82"/>
      <c r="E331" s="82"/>
      <c r="G331" s="82"/>
    </row>
    <row r="332">
      <c r="A332" s="100"/>
      <c r="B332" s="82"/>
      <c r="E332" s="82"/>
      <c r="G332" s="82"/>
    </row>
    <row r="333">
      <c r="A333" s="100"/>
      <c r="B333" s="82"/>
      <c r="E333" s="82"/>
      <c r="G333" s="82"/>
    </row>
    <row r="334">
      <c r="A334" s="100"/>
      <c r="B334" s="82"/>
      <c r="E334" s="82"/>
      <c r="G334" s="82"/>
    </row>
    <row r="335">
      <c r="A335" s="100"/>
      <c r="B335" s="82"/>
      <c r="E335" s="82"/>
      <c r="G335" s="82"/>
    </row>
    <row r="336">
      <c r="A336" s="100"/>
      <c r="B336" s="82"/>
      <c r="E336" s="82"/>
      <c r="G336" s="82"/>
    </row>
    <row r="337">
      <c r="A337" s="100"/>
      <c r="B337" s="82"/>
      <c r="E337" s="82"/>
      <c r="G337" s="82"/>
    </row>
    <row r="338">
      <c r="A338" s="100"/>
      <c r="B338" s="82"/>
      <c r="E338" s="82"/>
      <c r="G338" s="82"/>
    </row>
    <row r="339">
      <c r="A339" s="100"/>
      <c r="B339" s="82"/>
      <c r="E339" s="82"/>
      <c r="G339" s="82"/>
    </row>
    <row r="340">
      <c r="A340" s="100"/>
      <c r="B340" s="82"/>
      <c r="E340" s="82"/>
      <c r="G340" s="82"/>
    </row>
    <row r="341">
      <c r="A341" s="100"/>
      <c r="B341" s="82"/>
      <c r="E341" s="82"/>
      <c r="G341" s="82"/>
    </row>
    <row r="342">
      <c r="A342" s="100"/>
      <c r="B342" s="82"/>
      <c r="E342" s="82"/>
      <c r="G342" s="82"/>
    </row>
    <row r="343">
      <c r="A343" s="100"/>
      <c r="B343" s="82"/>
      <c r="E343" s="82"/>
      <c r="G343" s="82"/>
    </row>
    <row r="344">
      <c r="A344" s="100"/>
      <c r="B344" s="82"/>
      <c r="E344" s="82"/>
      <c r="G344" s="82"/>
    </row>
    <row r="345">
      <c r="A345" s="100"/>
      <c r="B345" s="82"/>
      <c r="E345" s="82"/>
      <c r="G345" s="82"/>
    </row>
    <row r="346">
      <c r="A346" s="100"/>
      <c r="B346" s="82"/>
      <c r="E346" s="82"/>
      <c r="G346" s="82"/>
    </row>
    <row r="347">
      <c r="A347" s="100"/>
      <c r="B347" s="82"/>
      <c r="E347" s="82"/>
      <c r="G347" s="82"/>
    </row>
    <row r="348">
      <c r="A348" s="100"/>
      <c r="B348" s="82"/>
      <c r="E348" s="82"/>
      <c r="G348" s="82"/>
    </row>
    <row r="349">
      <c r="A349" s="100"/>
      <c r="B349" s="82"/>
      <c r="E349" s="82"/>
      <c r="G349" s="82"/>
    </row>
    <row r="350">
      <c r="A350" s="100"/>
      <c r="B350" s="82"/>
      <c r="E350" s="82"/>
      <c r="G350" s="82"/>
    </row>
    <row r="351">
      <c r="A351" s="100"/>
      <c r="B351" s="82"/>
      <c r="E351" s="82"/>
      <c r="G351" s="82"/>
    </row>
    <row r="352">
      <c r="A352" s="100"/>
      <c r="B352" s="82"/>
      <c r="E352" s="82"/>
      <c r="G352" s="82"/>
    </row>
    <row r="353">
      <c r="A353" s="100"/>
      <c r="B353" s="82"/>
      <c r="E353" s="82"/>
      <c r="G353" s="82"/>
    </row>
    <row r="354">
      <c r="A354" s="100"/>
      <c r="B354" s="82"/>
      <c r="E354" s="82"/>
      <c r="G354" s="82"/>
    </row>
    <row r="355">
      <c r="A355" s="100"/>
      <c r="B355" s="82"/>
      <c r="E355" s="82"/>
      <c r="G355" s="82"/>
    </row>
    <row r="356">
      <c r="A356" s="100"/>
      <c r="B356" s="82"/>
      <c r="E356" s="82"/>
      <c r="G356" s="82"/>
    </row>
    <row r="357">
      <c r="A357" s="100"/>
      <c r="B357" s="82"/>
      <c r="E357" s="82"/>
      <c r="G357" s="82"/>
    </row>
    <row r="358">
      <c r="A358" s="100"/>
      <c r="B358" s="82"/>
      <c r="E358" s="82"/>
      <c r="G358" s="82"/>
    </row>
    <row r="359">
      <c r="A359" s="100"/>
      <c r="B359" s="82"/>
      <c r="E359" s="82"/>
      <c r="G359" s="82"/>
    </row>
    <row r="360">
      <c r="A360" s="100"/>
      <c r="B360" s="82"/>
      <c r="E360" s="82"/>
      <c r="G360" s="82"/>
    </row>
    <row r="361">
      <c r="A361" s="100"/>
      <c r="B361" s="82"/>
      <c r="E361" s="82"/>
      <c r="G361" s="82"/>
    </row>
    <row r="362">
      <c r="A362" s="100"/>
      <c r="B362" s="82"/>
      <c r="E362" s="82"/>
      <c r="G362" s="82"/>
    </row>
    <row r="363">
      <c r="A363" s="100"/>
      <c r="B363" s="82"/>
      <c r="E363" s="82"/>
      <c r="G363" s="82"/>
    </row>
    <row r="364">
      <c r="A364" s="100"/>
      <c r="B364" s="82"/>
      <c r="E364" s="82"/>
      <c r="G364" s="82"/>
    </row>
    <row r="365">
      <c r="A365" s="100"/>
      <c r="B365" s="82"/>
      <c r="E365" s="82"/>
      <c r="G365" s="82"/>
    </row>
    <row r="366">
      <c r="A366" s="100"/>
      <c r="B366" s="82"/>
      <c r="E366" s="82"/>
      <c r="G366" s="82"/>
    </row>
    <row r="367">
      <c r="A367" s="100"/>
      <c r="B367" s="82"/>
      <c r="E367" s="82"/>
      <c r="G367" s="82"/>
    </row>
    <row r="368">
      <c r="A368" s="100"/>
      <c r="B368" s="82"/>
      <c r="E368" s="82"/>
      <c r="G368" s="82"/>
    </row>
    <row r="369">
      <c r="A369" s="100"/>
      <c r="B369" s="82"/>
      <c r="E369" s="82"/>
      <c r="G369" s="82"/>
    </row>
    <row r="370">
      <c r="A370" s="100"/>
      <c r="B370" s="82"/>
      <c r="E370" s="82"/>
      <c r="G370" s="82"/>
    </row>
    <row r="371">
      <c r="A371" s="100"/>
      <c r="B371" s="82"/>
      <c r="E371" s="82"/>
      <c r="G371" s="82"/>
    </row>
    <row r="372">
      <c r="A372" s="100"/>
      <c r="B372" s="82"/>
      <c r="E372" s="82"/>
      <c r="G372" s="82"/>
    </row>
    <row r="373">
      <c r="A373" s="100"/>
      <c r="B373" s="82"/>
      <c r="E373" s="82"/>
      <c r="G373" s="82"/>
    </row>
    <row r="374">
      <c r="A374" s="100"/>
      <c r="B374" s="82"/>
      <c r="E374" s="82"/>
      <c r="G374" s="82"/>
    </row>
    <row r="375">
      <c r="A375" s="100"/>
      <c r="B375" s="82"/>
      <c r="E375" s="82"/>
      <c r="G375" s="82"/>
    </row>
    <row r="376">
      <c r="A376" s="100"/>
      <c r="B376" s="82"/>
      <c r="E376" s="82"/>
      <c r="G376" s="82"/>
    </row>
    <row r="377">
      <c r="A377" s="100"/>
      <c r="B377" s="82"/>
      <c r="E377" s="82"/>
      <c r="G377" s="82"/>
    </row>
    <row r="378">
      <c r="A378" s="100"/>
      <c r="B378" s="82"/>
      <c r="E378" s="82"/>
      <c r="G378" s="82"/>
    </row>
    <row r="379">
      <c r="A379" s="100"/>
      <c r="B379" s="82"/>
      <c r="E379" s="82"/>
      <c r="G379" s="82"/>
    </row>
    <row r="380">
      <c r="A380" s="100"/>
      <c r="B380" s="82"/>
      <c r="E380" s="82"/>
      <c r="G380" s="82"/>
    </row>
    <row r="381">
      <c r="A381" s="100"/>
      <c r="B381" s="82"/>
      <c r="E381" s="82"/>
      <c r="G381" s="82"/>
    </row>
    <row r="382">
      <c r="A382" s="100"/>
      <c r="B382" s="82"/>
      <c r="E382" s="82"/>
      <c r="G382" s="82"/>
    </row>
    <row r="383">
      <c r="A383" s="100"/>
      <c r="B383" s="82"/>
      <c r="E383" s="82"/>
      <c r="G383" s="82"/>
    </row>
    <row r="384">
      <c r="A384" s="100"/>
      <c r="B384" s="82"/>
      <c r="E384" s="82"/>
      <c r="G384" s="82"/>
    </row>
    <row r="385">
      <c r="A385" s="100"/>
      <c r="B385" s="82"/>
      <c r="E385" s="82"/>
      <c r="G385" s="82"/>
    </row>
    <row r="386">
      <c r="A386" s="100"/>
      <c r="B386" s="82"/>
      <c r="E386" s="82"/>
      <c r="G386" s="82"/>
    </row>
    <row r="387">
      <c r="A387" s="100"/>
      <c r="B387" s="82"/>
      <c r="E387" s="82"/>
      <c r="G387" s="82"/>
    </row>
    <row r="388">
      <c r="A388" s="100"/>
      <c r="B388" s="82"/>
      <c r="E388" s="82"/>
      <c r="G388" s="82"/>
    </row>
    <row r="389">
      <c r="A389" s="100"/>
      <c r="B389" s="82"/>
      <c r="E389" s="82"/>
      <c r="G389" s="82"/>
    </row>
    <row r="390">
      <c r="A390" s="100"/>
      <c r="B390" s="82"/>
      <c r="E390" s="82"/>
      <c r="G390" s="82"/>
    </row>
    <row r="391">
      <c r="A391" s="100"/>
      <c r="B391" s="82"/>
      <c r="E391" s="82"/>
      <c r="G391" s="82"/>
    </row>
    <row r="392">
      <c r="A392" s="100"/>
      <c r="B392" s="82"/>
      <c r="E392" s="82"/>
      <c r="G392" s="82"/>
    </row>
    <row r="393">
      <c r="A393" s="100"/>
      <c r="B393" s="82"/>
      <c r="E393" s="82"/>
      <c r="G393" s="82"/>
    </row>
    <row r="394">
      <c r="A394" s="100"/>
      <c r="B394" s="82"/>
      <c r="E394" s="82"/>
      <c r="G394" s="82"/>
    </row>
    <row r="395">
      <c r="A395" s="100"/>
      <c r="B395" s="82"/>
      <c r="E395" s="82"/>
      <c r="G395" s="82"/>
    </row>
    <row r="396">
      <c r="A396" s="100"/>
      <c r="B396" s="82"/>
      <c r="E396" s="82"/>
      <c r="G396" s="82"/>
    </row>
    <row r="397">
      <c r="A397" s="100"/>
      <c r="B397" s="82"/>
      <c r="E397" s="82"/>
      <c r="G397" s="82"/>
    </row>
    <row r="398">
      <c r="A398" s="100"/>
      <c r="B398" s="82"/>
      <c r="E398" s="82"/>
      <c r="G398" s="82"/>
    </row>
    <row r="399">
      <c r="A399" s="100"/>
      <c r="B399" s="82"/>
      <c r="E399" s="82"/>
      <c r="G399" s="82"/>
    </row>
    <row r="400">
      <c r="A400" s="100"/>
      <c r="B400" s="82"/>
      <c r="E400" s="82"/>
      <c r="G400" s="82"/>
    </row>
    <row r="401">
      <c r="A401" s="100"/>
      <c r="B401" s="82"/>
      <c r="E401" s="82"/>
      <c r="G401" s="82"/>
    </row>
    <row r="402">
      <c r="A402" s="100"/>
      <c r="B402" s="82"/>
      <c r="E402" s="82"/>
      <c r="G402" s="82"/>
    </row>
    <row r="403">
      <c r="A403" s="100"/>
      <c r="B403" s="82"/>
      <c r="E403" s="82"/>
      <c r="G403" s="82"/>
    </row>
    <row r="404">
      <c r="A404" s="100"/>
      <c r="B404" s="82"/>
      <c r="E404" s="82"/>
      <c r="G404" s="82"/>
    </row>
    <row r="405">
      <c r="A405" s="100"/>
      <c r="B405" s="82"/>
      <c r="E405" s="82"/>
      <c r="G405" s="82"/>
    </row>
    <row r="406">
      <c r="A406" s="100"/>
      <c r="B406" s="82"/>
      <c r="E406" s="82"/>
      <c r="G406" s="82"/>
    </row>
    <row r="407">
      <c r="A407" s="100"/>
      <c r="B407" s="82"/>
      <c r="E407" s="82"/>
      <c r="G407" s="82"/>
    </row>
    <row r="408">
      <c r="A408" s="100"/>
      <c r="B408" s="82"/>
      <c r="E408" s="82"/>
      <c r="G408" s="82"/>
    </row>
    <row r="409">
      <c r="A409" s="100"/>
      <c r="B409" s="82"/>
      <c r="E409" s="82"/>
      <c r="G409" s="82"/>
    </row>
    <row r="410">
      <c r="A410" s="100"/>
      <c r="B410" s="82"/>
      <c r="E410" s="82"/>
      <c r="G410" s="82"/>
    </row>
    <row r="411">
      <c r="A411" s="100"/>
      <c r="B411" s="82"/>
      <c r="E411" s="82"/>
      <c r="G411" s="82"/>
    </row>
    <row r="412">
      <c r="A412" s="100"/>
      <c r="B412" s="82"/>
      <c r="E412" s="82"/>
      <c r="G412" s="82"/>
    </row>
    <row r="413">
      <c r="A413" s="100"/>
      <c r="B413" s="82"/>
      <c r="E413" s="82"/>
      <c r="G413" s="82"/>
    </row>
    <row r="414">
      <c r="A414" s="100"/>
      <c r="B414" s="82"/>
      <c r="E414" s="82"/>
      <c r="G414" s="82"/>
    </row>
    <row r="415">
      <c r="A415" s="100"/>
      <c r="B415" s="82"/>
      <c r="E415" s="82"/>
      <c r="G415" s="82"/>
    </row>
    <row r="416">
      <c r="A416" s="100"/>
      <c r="B416" s="82"/>
      <c r="E416" s="82"/>
      <c r="G416" s="82"/>
    </row>
    <row r="417">
      <c r="A417" s="100"/>
      <c r="B417" s="82"/>
      <c r="E417" s="82"/>
      <c r="G417" s="82"/>
    </row>
    <row r="418">
      <c r="A418" s="100"/>
      <c r="B418" s="82"/>
      <c r="E418" s="82"/>
      <c r="G418" s="82"/>
    </row>
    <row r="419">
      <c r="A419" s="100"/>
      <c r="B419" s="82"/>
      <c r="E419" s="82"/>
      <c r="G419" s="82"/>
    </row>
    <row r="420">
      <c r="A420" s="100"/>
      <c r="B420" s="82"/>
      <c r="E420" s="82"/>
      <c r="G420" s="82"/>
    </row>
    <row r="421">
      <c r="A421" s="100"/>
      <c r="B421" s="82"/>
      <c r="E421" s="82"/>
      <c r="G421" s="82"/>
    </row>
    <row r="422">
      <c r="A422" s="100"/>
      <c r="B422" s="82"/>
      <c r="E422" s="82"/>
      <c r="G422" s="82"/>
    </row>
    <row r="423">
      <c r="A423" s="100"/>
      <c r="B423" s="82"/>
      <c r="E423" s="82"/>
      <c r="G423" s="82"/>
    </row>
    <row r="424">
      <c r="A424" s="100"/>
      <c r="B424" s="82"/>
      <c r="E424" s="82"/>
      <c r="G424" s="82"/>
    </row>
    <row r="425">
      <c r="A425" s="100"/>
      <c r="B425" s="82"/>
      <c r="E425" s="82"/>
      <c r="G425" s="82"/>
    </row>
    <row r="426">
      <c r="A426" s="100"/>
      <c r="B426" s="82"/>
      <c r="E426" s="82"/>
      <c r="G426" s="82"/>
    </row>
    <row r="427">
      <c r="A427" s="100"/>
      <c r="B427" s="82"/>
      <c r="E427" s="82"/>
      <c r="G427" s="82"/>
    </row>
    <row r="428">
      <c r="A428" s="100"/>
      <c r="B428" s="82"/>
      <c r="E428" s="82"/>
      <c r="G428" s="82"/>
    </row>
    <row r="429">
      <c r="A429" s="100"/>
      <c r="B429" s="82"/>
      <c r="E429" s="82"/>
      <c r="G429" s="82"/>
    </row>
    <row r="430">
      <c r="A430" s="100"/>
      <c r="B430" s="82"/>
      <c r="E430" s="82"/>
      <c r="G430" s="82"/>
    </row>
    <row r="431">
      <c r="A431" s="100"/>
      <c r="B431" s="82"/>
      <c r="E431" s="82"/>
      <c r="G431" s="82"/>
    </row>
    <row r="432">
      <c r="A432" s="100"/>
      <c r="B432" s="82"/>
      <c r="E432" s="82"/>
      <c r="G432" s="82"/>
    </row>
    <row r="433">
      <c r="A433" s="100"/>
      <c r="B433" s="82"/>
      <c r="E433" s="82"/>
      <c r="G433" s="82"/>
    </row>
    <row r="434">
      <c r="A434" s="100"/>
      <c r="B434" s="82"/>
      <c r="E434" s="82"/>
      <c r="G434" s="82"/>
    </row>
    <row r="435">
      <c r="A435" s="100"/>
      <c r="B435" s="82"/>
      <c r="E435" s="82"/>
      <c r="G435" s="82"/>
    </row>
    <row r="436">
      <c r="A436" s="100"/>
      <c r="B436" s="82"/>
      <c r="E436" s="82"/>
      <c r="G436" s="82"/>
    </row>
    <row r="437">
      <c r="A437" s="100"/>
      <c r="B437" s="82"/>
      <c r="E437" s="82"/>
      <c r="G437" s="82"/>
    </row>
    <row r="438">
      <c r="A438" s="100"/>
      <c r="B438" s="82"/>
      <c r="E438" s="82"/>
      <c r="G438" s="82"/>
    </row>
    <row r="439">
      <c r="A439" s="100"/>
      <c r="B439" s="82"/>
      <c r="E439" s="82"/>
      <c r="G439" s="82"/>
    </row>
    <row r="440">
      <c r="A440" s="100"/>
      <c r="B440" s="82"/>
      <c r="E440" s="82"/>
      <c r="G440" s="82"/>
    </row>
    <row r="441">
      <c r="A441" s="100"/>
      <c r="B441" s="82"/>
      <c r="E441" s="82"/>
      <c r="G441" s="82"/>
    </row>
    <row r="442">
      <c r="A442" s="100"/>
      <c r="B442" s="82"/>
      <c r="E442" s="82"/>
      <c r="G442" s="82"/>
    </row>
    <row r="443">
      <c r="A443" s="100"/>
      <c r="B443" s="82"/>
      <c r="E443" s="82"/>
      <c r="G443" s="82"/>
    </row>
    <row r="444">
      <c r="A444" s="100"/>
      <c r="B444" s="82"/>
      <c r="E444" s="82"/>
      <c r="G444" s="82"/>
    </row>
    <row r="445">
      <c r="A445" s="100"/>
      <c r="B445" s="82"/>
      <c r="E445" s="82"/>
      <c r="G445" s="82"/>
    </row>
    <row r="446">
      <c r="A446" s="100"/>
      <c r="B446" s="82"/>
      <c r="E446" s="82"/>
      <c r="G446" s="82"/>
    </row>
    <row r="447">
      <c r="A447" s="100"/>
      <c r="B447" s="82"/>
      <c r="E447" s="82"/>
      <c r="G447" s="82"/>
    </row>
    <row r="448">
      <c r="A448" s="100"/>
      <c r="B448" s="82"/>
      <c r="E448" s="82"/>
      <c r="G448" s="82"/>
    </row>
    <row r="449">
      <c r="A449" s="100"/>
      <c r="B449" s="82"/>
      <c r="E449" s="82"/>
      <c r="G449" s="82"/>
    </row>
    <row r="450">
      <c r="A450" s="100"/>
      <c r="B450" s="82"/>
      <c r="E450" s="82"/>
      <c r="G450" s="82"/>
    </row>
    <row r="451">
      <c r="A451" s="100"/>
      <c r="B451" s="82"/>
      <c r="E451" s="82"/>
      <c r="G451" s="82"/>
    </row>
    <row r="452">
      <c r="A452" s="100"/>
      <c r="B452" s="82"/>
      <c r="E452" s="82"/>
      <c r="G452" s="82"/>
    </row>
    <row r="453">
      <c r="A453" s="100"/>
      <c r="B453" s="82"/>
      <c r="E453" s="82"/>
      <c r="G453" s="82"/>
    </row>
    <row r="454">
      <c r="A454" s="100"/>
      <c r="B454" s="82"/>
      <c r="E454" s="82"/>
      <c r="G454" s="82"/>
    </row>
    <row r="455">
      <c r="A455" s="100"/>
      <c r="B455" s="82"/>
      <c r="E455" s="82"/>
      <c r="G455" s="82"/>
    </row>
    <row r="456">
      <c r="A456" s="100"/>
      <c r="B456" s="82"/>
      <c r="E456" s="82"/>
      <c r="G456" s="82"/>
    </row>
    <row r="457">
      <c r="A457" s="100"/>
      <c r="B457" s="82"/>
      <c r="E457" s="82"/>
      <c r="G457" s="82"/>
    </row>
    <row r="458">
      <c r="A458" s="100"/>
      <c r="B458" s="82"/>
      <c r="E458" s="82"/>
      <c r="G458" s="82"/>
    </row>
    <row r="459">
      <c r="A459" s="100"/>
      <c r="B459" s="82"/>
      <c r="E459" s="82"/>
      <c r="G459" s="82"/>
    </row>
    <row r="460">
      <c r="A460" s="100"/>
      <c r="B460" s="82"/>
      <c r="E460" s="82"/>
      <c r="G460" s="82"/>
    </row>
    <row r="461">
      <c r="A461" s="100"/>
      <c r="B461" s="82"/>
      <c r="E461" s="82"/>
      <c r="G461" s="82"/>
    </row>
    <row r="462">
      <c r="A462" s="100"/>
      <c r="B462" s="82"/>
      <c r="E462" s="82"/>
      <c r="G462" s="82"/>
    </row>
    <row r="463">
      <c r="A463" s="100"/>
      <c r="B463" s="82"/>
      <c r="E463" s="82"/>
      <c r="G463" s="82"/>
    </row>
    <row r="464">
      <c r="A464" s="100"/>
      <c r="B464" s="82"/>
      <c r="E464" s="82"/>
      <c r="G464" s="82"/>
    </row>
    <row r="465">
      <c r="A465" s="100"/>
      <c r="B465" s="82"/>
      <c r="E465" s="82"/>
      <c r="G465" s="82"/>
    </row>
    <row r="466">
      <c r="A466" s="100"/>
      <c r="B466" s="82"/>
      <c r="E466" s="82"/>
      <c r="G466" s="82"/>
    </row>
    <row r="467">
      <c r="A467" s="100"/>
      <c r="B467" s="82"/>
      <c r="E467" s="82"/>
      <c r="G467" s="82"/>
    </row>
    <row r="468">
      <c r="A468" s="100"/>
      <c r="B468" s="82"/>
      <c r="E468" s="82"/>
      <c r="G468" s="82"/>
    </row>
    <row r="469">
      <c r="A469" s="100"/>
      <c r="B469" s="82"/>
      <c r="E469" s="82"/>
      <c r="G469" s="82"/>
    </row>
    <row r="470">
      <c r="A470" s="100"/>
      <c r="B470" s="82"/>
      <c r="E470" s="82"/>
      <c r="G470" s="82"/>
    </row>
    <row r="471">
      <c r="A471" s="100"/>
      <c r="B471" s="82"/>
      <c r="E471" s="82"/>
      <c r="G471" s="82"/>
    </row>
    <row r="472">
      <c r="A472" s="100"/>
      <c r="B472" s="82"/>
      <c r="E472" s="82"/>
      <c r="G472" s="82"/>
    </row>
    <row r="473">
      <c r="A473" s="100"/>
      <c r="B473" s="82"/>
      <c r="E473" s="82"/>
      <c r="G473" s="82"/>
    </row>
    <row r="474">
      <c r="A474" s="100"/>
      <c r="B474" s="82"/>
      <c r="E474" s="82"/>
      <c r="G474" s="82"/>
    </row>
    <row r="475">
      <c r="A475" s="100"/>
      <c r="B475" s="82"/>
      <c r="E475" s="82"/>
      <c r="G475" s="82"/>
    </row>
    <row r="476">
      <c r="A476" s="100"/>
      <c r="B476" s="82"/>
      <c r="E476" s="82"/>
      <c r="G476" s="82"/>
    </row>
    <row r="477">
      <c r="A477" s="100"/>
      <c r="B477" s="82"/>
      <c r="E477" s="82"/>
      <c r="G477" s="82"/>
    </row>
    <row r="478">
      <c r="A478" s="100"/>
      <c r="B478" s="82"/>
      <c r="E478" s="82"/>
      <c r="G478" s="82"/>
    </row>
    <row r="479">
      <c r="A479" s="100"/>
      <c r="B479" s="82"/>
      <c r="E479" s="82"/>
      <c r="G479" s="82"/>
    </row>
    <row r="480">
      <c r="A480" s="100"/>
      <c r="B480" s="82"/>
      <c r="E480" s="82"/>
      <c r="G480" s="82"/>
    </row>
    <row r="481">
      <c r="A481" s="100"/>
      <c r="B481" s="82"/>
      <c r="E481" s="82"/>
      <c r="G481" s="82"/>
    </row>
    <row r="482">
      <c r="A482" s="100"/>
      <c r="B482" s="82"/>
      <c r="E482" s="82"/>
      <c r="G482" s="82"/>
    </row>
    <row r="483">
      <c r="A483" s="100"/>
      <c r="B483" s="82"/>
      <c r="E483" s="82"/>
      <c r="G483" s="82"/>
    </row>
    <row r="484">
      <c r="A484" s="100"/>
      <c r="B484" s="82"/>
      <c r="E484" s="82"/>
      <c r="G484" s="82"/>
    </row>
    <row r="485">
      <c r="A485" s="100"/>
      <c r="B485" s="82"/>
      <c r="E485" s="82"/>
      <c r="G485" s="82"/>
    </row>
    <row r="486">
      <c r="A486" s="100"/>
      <c r="B486" s="82"/>
      <c r="E486" s="82"/>
      <c r="G486" s="82"/>
    </row>
    <row r="487">
      <c r="A487" s="100"/>
      <c r="B487" s="82"/>
      <c r="E487" s="82"/>
      <c r="G487" s="82"/>
    </row>
    <row r="488">
      <c r="A488" s="100"/>
      <c r="B488" s="82"/>
      <c r="E488" s="82"/>
      <c r="G488" s="82"/>
    </row>
    <row r="489">
      <c r="A489" s="100"/>
      <c r="B489" s="82"/>
      <c r="E489" s="82"/>
      <c r="G489" s="82"/>
    </row>
    <row r="490">
      <c r="A490" s="100"/>
      <c r="B490" s="82"/>
      <c r="E490" s="82"/>
      <c r="G490" s="82"/>
    </row>
    <row r="491">
      <c r="A491" s="100"/>
      <c r="B491" s="82"/>
      <c r="E491" s="82"/>
      <c r="G491" s="82"/>
    </row>
    <row r="492">
      <c r="A492" s="100"/>
      <c r="B492" s="82"/>
      <c r="E492" s="82"/>
      <c r="G492" s="82"/>
    </row>
    <row r="493">
      <c r="A493" s="100"/>
      <c r="B493" s="82"/>
      <c r="E493" s="82"/>
      <c r="G493" s="82"/>
    </row>
    <row r="494">
      <c r="A494" s="100"/>
      <c r="B494" s="82"/>
      <c r="E494" s="82"/>
      <c r="G494" s="82"/>
    </row>
    <row r="495">
      <c r="A495" s="100"/>
      <c r="B495" s="82"/>
      <c r="E495" s="82"/>
      <c r="G495" s="82"/>
    </row>
    <row r="496">
      <c r="A496" s="100"/>
      <c r="B496" s="82"/>
      <c r="E496" s="82"/>
      <c r="G496" s="82"/>
    </row>
    <row r="497">
      <c r="A497" s="100"/>
      <c r="B497" s="82"/>
      <c r="E497" s="82"/>
      <c r="G497" s="82"/>
    </row>
    <row r="498">
      <c r="A498" s="100"/>
      <c r="B498" s="82"/>
      <c r="E498" s="82"/>
      <c r="G498" s="82"/>
    </row>
    <row r="499">
      <c r="A499" s="100"/>
      <c r="B499" s="82"/>
      <c r="E499" s="82"/>
      <c r="G499" s="82"/>
    </row>
    <row r="500">
      <c r="A500" s="100"/>
      <c r="B500" s="82"/>
      <c r="E500" s="82"/>
      <c r="G500" s="82"/>
    </row>
    <row r="501">
      <c r="A501" s="100"/>
      <c r="B501" s="82"/>
      <c r="E501" s="82"/>
      <c r="G501" s="82"/>
    </row>
    <row r="502">
      <c r="A502" s="100"/>
      <c r="B502" s="82"/>
      <c r="E502" s="82"/>
      <c r="G502" s="82"/>
    </row>
    <row r="503">
      <c r="A503" s="100"/>
      <c r="B503" s="82"/>
      <c r="E503" s="82"/>
      <c r="G503" s="82"/>
    </row>
    <row r="504">
      <c r="A504" s="100"/>
      <c r="B504" s="82"/>
      <c r="E504" s="82"/>
      <c r="G504" s="82"/>
    </row>
    <row r="505">
      <c r="A505" s="100"/>
      <c r="B505" s="82"/>
      <c r="E505" s="82"/>
      <c r="G505" s="82"/>
    </row>
    <row r="506">
      <c r="A506" s="100"/>
      <c r="B506" s="82"/>
      <c r="E506" s="82"/>
      <c r="G506" s="82"/>
    </row>
    <row r="507">
      <c r="A507" s="100"/>
      <c r="B507" s="82"/>
      <c r="E507" s="82"/>
      <c r="G507" s="82"/>
    </row>
    <row r="508">
      <c r="A508" s="100"/>
      <c r="B508" s="82"/>
      <c r="E508" s="82"/>
      <c r="G508" s="82"/>
    </row>
    <row r="509">
      <c r="A509" s="100"/>
      <c r="B509" s="82"/>
      <c r="E509" s="82"/>
      <c r="G509" s="82"/>
    </row>
    <row r="510">
      <c r="A510" s="100"/>
      <c r="B510" s="82"/>
      <c r="E510" s="82"/>
      <c r="G510" s="82"/>
    </row>
    <row r="511">
      <c r="A511" s="100"/>
      <c r="B511" s="82"/>
      <c r="E511" s="82"/>
      <c r="G511" s="82"/>
    </row>
    <row r="512">
      <c r="A512" s="100"/>
      <c r="B512" s="82"/>
      <c r="E512" s="82"/>
      <c r="G512" s="82"/>
    </row>
    <row r="513">
      <c r="A513" s="100"/>
      <c r="B513" s="82"/>
      <c r="E513" s="82"/>
      <c r="G513" s="82"/>
    </row>
    <row r="514">
      <c r="A514" s="100"/>
      <c r="B514" s="82"/>
      <c r="E514" s="82"/>
      <c r="G514" s="82"/>
    </row>
    <row r="515">
      <c r="A515" s="100"/>
      <c r="B515" s="82"/>
      <c r="E515" s="82"/>
      <c r="G515" s="82"/>
    </row>
    <row r="516">
      <c r="A516" s="100"/>
      <c r="B516" s="82"/>
      <c r="E516" s="82"/>
      <c r="G516" s="82"/>
    </row>
    <row r="517">
      <c r="A517" s="100"/>
      <c r="B517" s="82"/>
      <c r="E517" s="82"/>
      <c r="G517" s="82"/>
    </row>
    <row r="518">
      <c r="A518" s="100"/>
      <c r="B518" s="82"/>
      <c r="E518" s="82"/>
      <c r="G518" s="82"/>
    </row>
    <row r="519">
      <c r="A519" s="100"/>
      <c r="B519" s="82"/>
      <c r="E519" s="82"/>
      <c r="G519" s="82"/>
    </row>
    <row r="520">
      <c r="A520" s="100"/>
      <c r="B520" s="82"/>
      <c r="E520" s="82"/>
      <c r="G520" s="82"/>
    </row>
    <row r="521">
      <c r="A521" s="100"/>
      <c r="B521" s="82"/>
      <c r="E521" s="82"/>
      <c r="G521" s="82"/>
    </row>
    <row r="522">
      <c r="A522" s="100"/>
      <c r="B522" s="82"/>
      <c r="E522" s="82"/>
      <c r="G522" s="82"/>
    </row>
    <row r="523">
      <c r="A523" s="100"/>
      <c r="B523" s="82"/>
      <c r="E523" s="82"/>
      <c r="G523" s="82"/>
    </row>
    <row r="524">
      <c r="A524" s="100"/>
      <c r="B524" s="82"/>
      <c r="E524" s="82"/>
      <c r="G524" s="82"/>
    </row>
    <row r="525">
      <c r="A525" s="100"/>
      <c r="B525" s="82"/>
      <c r="E525" s="82"/>
      <c r="G525" s="82"/>
    </row>
    <row r="526">
      <c r="A526" s="100"/>
      <c r="B526" s="82"/>
      <c r="E526" s="82"/>
      <c r="G526" s="82"/>
    </row>
    <row r="527">
      <c r="A527" s="100"/>
      <c r="B527" s="82"/>
      <c r="E527" s="82"/>
      <c r="G527" s="82"/>
    </row>
    <row r="528">
      <c r="A528" s="100"/>
      <c r="B528" s="82"/>
      <c r="E528" s="82"/>
      <c r="G528" s="82"/>
    </row>
    <row r="529">
      <c r="A529" s="100"/>
      <c r="B529" s="82"/>
      <c r="E529" s="82"/>
      <c r="G529" s="82"/>
    </row>
    <row r="530">
      <c r="A530" s="100"/>
      <c r="B530" s="82"/>
      <c r="E530" s="82"/>
      <c r="G530" s="82"/>
    </row>
    <row r="531">
      <c r="A531" s="100"/>
      <c r="B531" s="82"/>
      <c r="E531" s="82"/>
      <c r="G531" s="82"/>
    </row>
    <row r="532">
      <c r="A532" s="100"/>
      <c r="B532" s="82"/>
      <c r="E532" s="82"/>
      <c r="G532" s="82"/>
    </row>
    <row r="533">
      <c r="A533" s="100"/>
      <c r="B533" s="82"/>
      <c r="E533" s="82"/>
      <c r="G533" s="82"/>
    </row>
    <row r="534">
      <c r="A534" s="100"/>
      <c r="B534" s="82"/>
      <c r="E534" s="82"/>
      <c r="G534" s="82"/>
    </row>
    <row r="535">
      <c r="A535" s="100"/>
      <c r="B535" s="82"/>
      <c r="E535" s="82"/>
      <c r="G535" s="82"/>
    </row>
    <row r="536">
      <c r="A536" s="100"/>
      <c r="B536" s="82"/>
      <c r="E536" s="82"/>
      <c r="G536" s="82"/>
    </row>
    <row r="537">
      <c r="A537" s="100"/>
      <c r="B537" s="82"/>
      <c r="E537" s="82"/>
      <c r="G537" s="82"/>
    </row>
    <row r="538">
      <c r="A538" s="100"/>
      <c r="B538" s="82"/>
      <c r="E538" s="82"/>
      <c r="G538" s="82"/>
    </row>
    <row r="539">
      <c r="A539" s="100"/>
      <c r="B539" s="82"/>
      <c r="E539" s="82"/>
      <c r="G539" s="82"/>
    </row>
    <row r="540">
      <c r="A540" s="100"/>
      <c r="B540" s="82"/>
      <c r="E540" s="82"/>
      <c r="G540" s="82"/>
    </row>
    <row r="541">
      <c r="A541" s="100"/>
      <c r="B541" s="82"/>
      <c r="E541" s="82"/>
      <c r="G541" s="82"/>
    </row>
    <row r="542">
      <c r="A542" s="100"/>
      <c r="B542" s="82"/>
      <c r="E542" s="82"/>
      <c r="G542" s="82"/>
    </row>
    <row r="543">
      <c r="A543" s="100"/>
      <c r="B543" s="82"/>
      <c r="E543" s="82"/>
      <c r="G543" s="82"/>
    </row>
    <row r="544">
      <c r="A544" s="100"/>
      <c r="B544" s="82"/>
      <c r="E544" s="82"/>
      <c r="G544" s="82"/>
    </row>
    <row r="545">
      <c r="A545" s="100"/>
      <c r="B545" s="82"/>
      <c r="E545" s="82"/>
      <c r="G545" s="82"/>
    </row>
    <row r="546">
      <c r="A546" s="100"/>
      <c r="B546" s="82"/>
      <c r="E546" s="82"/>
      <c r="G546" s="82"/>
    </row>
    <row r="547">
      <c r="A547" s="100"/>
      <c r="B547" s="82"/>
      <c r="E547" s="82"/>
      <c r="G547" s="82"/>
    </row>
    <row r="548">
      <c r="A548" s="100"/>
      <c r="B548" s="82"/>
      <c r="E548" s="82"/>
      <c r="G548" s="82"/>
    </row>
    <row r="549">
      <c r="A549" s="100"/>
      <c r="B549" s="82"/>
      <c r="E549" s="82"/>
      <c r="G549" s="82"/>
    </row>
    <row r="550">
      <c r="A550" s="100"/>
      <c r="B550" s="82"/>
      <c r="E550" s="82"/>
      <c r="G550" s="82"/>
    </row>
    <row r="551">
      <c r="A551" s="100"/>
      <c r="B551" s="82"/>
      <c r="E551" s="82"/>
      <c r="G551" s="82"/>
    </row>
    <row r="552">
      <c r="A552" s="100"/>
      <c r="B552" s="82"/>
      <c r="E552" s="82"/>
      <c r="G552" s="82"/>
    </row>
    <row r="553">
      <c r="A553" s="100"/>
      <c r="B553" s="82"/>
      <c r="E553" s="82"/>
      <c r="G553" s="82"/>
    </row>
    <row r="554">
      <c r="A554" s="100"/>
      <c r="B554" s="82"/>
      <c r="E554" s="82"/>
      <c r="G554" s="82"/>
    </row>
    <row r="555">
      <c r="A555" s="100"/>
      <c r="B555" s="82"/>
      <c r="E555" s="82"/>
      <c r="G555" s="82"/>
    </row>
    <row r="556">
      <c r="A556" s="100"/>
      <c r="B556" s="82"/>
      <c r="E556" s="82"/>
      <c r="G556" s="82"/>
    </row>
    <row r="557">
      <c r="A557" s="100"/>
      <c r="B557" s="82"/>
      <c r="E557" s="82"/>
      <c r="G557" s="82"/>
    </row>
    <row r="558">
      <c r="A558" s="100"/>
      <c r="B558" s="82"/>
      <c r="E558" s="82"/>
      <c r="G558" s="82"/>
    </row>
    <row r="559">
      <c r="A559" s="100"/>
      <c r="B559" s="82"/>
      <c r="E559" s="82"/>
      <c r="G559" s="82"/>
    </row>
    <row r="560">
      <c r="A560" s="100"/>
      <c r="B560" s="82"/>
      <c r="E560" s="82"/>
      <c r="G560" s="82"/>
    </row>
    <row r="561">
      <c r="A561" s="100"/>
      <c r="B561" s="82"/>
      <c r="E561" s="82"/>
      <c r="G561" s="82"/>
    </row>
    <row r="562">
      <c r="A562" s="100"/>
      <c r="B562" s="82"/>
      <c r="E562" s="82"/>
      <c r="G562" s="82"/>
    </row>
    <row r="563">
      <c r="A563" s="100"/>
      <c r="B563" s="82"/>
      <c r="E563" s="82"/>
      <c r="G563" s="82"/>
    </row>
    <row r="564">
      <c r="A564" s="100"/>
      <c r="B564" s="82"/>
      <c r="E564" s="82"/>
      <c r="G564" s="82"/>
    </row>
    <row r="565">
      <c r="A565" s="100"/>
      <c r="B565" s="82"/>
      <c r="E565" s="82"/>
      <c r="G565" s="82"/>
    </row>
    <row r="566">
      <c r="A566" s="100"/>
      <c r="B566" s="82"/>
      <c r="E566" s="82"/>
      <c r="G566" s="82"/>
    </row>
    <row r="567">
      <c r="A567" s="100"/>
      <c r="B567" s="82"/>
      <c r="E567" s="82"/>
      <c r="G567" s="82"/>
    </row>
    <row r="568">
      <c r="A568" s="100"/>
      <c r="B568" s="82"/>
      <c r="E568" s="82"/>
      <c r="G568" s="82"/>
    </row>
    <row r="569">
      <c r="A569" s="100"/>
      <c r="B569" s="82"/>
      <c r="E569" s="82"/>
      <c r="G569" s="82"/>
    </row>
    <row r="570">
      <c r="A570" s="100"/>
      <c r="B570" s="82"/>
      <c r="E570" s="82"/>
      <c r="G570" s="82"/>
    </row>
    <row r="571">
      <c r="A571" s="100"/>
      <c r="B571" s="82"/>
      <c r="E571" s="82"/>
      <c r="G571" s="82"/>
    </row>
    <row r="572">
      <c r="A572" s="100"/>
      <c r="B572" s="82"/>
      <c r="E572" s="82"/>
      <c r="G572" s="82"/>
    </row>
    <row r="573">
      <c r="A573" s="100"/>
      <c r="B573" s="82"/>
      <c r="E573" s="82"/>
      <c r="G573" s="82"/>
    </row>
    <row r="574">
      <c r="A574" s="100"/>
      <c r="B574" s="82"/>
      <c r="E574" s="82"/>
      <c r="G574" s="82"/>
    </row>
    <row r="575">
      <c r="A575" s="100"/>
      <c r="B575" s="82"/>
      <c r="E575" s="82"/>
      <c r="G575" s="82"/>
    </row>
    <row r="576">
      <c r="A576" s="100"/>
      <c r="B576" s="82"/>
      <c r="E576" s="82"/>
      <c r="G576" s="82"/>
    </row>
    <row r="577">
      <c r="A577" s="100"/>
      <c r="B577" s="82"/>
      <c r="E577" s="82"/>
      <c r="G577" s="82"/>
    </row>
    <row r="578">
      <c r="A578" s="100"/>
      <c r="B578" s="82"/>
      <c r="E578" s="82"/>
      <c r="G578" s="82"/>
    </row>
    <row r="579">
      <c r="A579" s="100"/>
      <c r="B579" s="82"/>
      <c r="E579" s="82"/>
      <c r="G579" s="82"/>
    </row>
    <row r="580">
      <c r="A580" s="100"/>
      <c r="B580" s="82"/>
      <c r="E580" s="82"/>
      <c r="G580" s="82"/>
    </row>
    <row r="581">
      <c r="A581" s="100"/>
      <c r="B581" s="82"/>
      <c r="E581" s="82"/>
      <c r="G581" s="82"/>
    </row>
    <row r="582">
      <c r="A582" s="100"/>
      <c r="B582" s="82"/>
      <c r="E582" s="82"/>
      <c r="G582" s="82"/>
    </row>
    <row r="583">
      <c r="A583" s="100"/>
      <c r="B583" s="82"/>
      <c r="E583" s="82"/>
      <c r="G583" s="82"/>
    </row>
    <row r="584">
      <c r="A584" s="100"/>
      <c r="B584" s="82"/>
      <c r="E584" s="82"/>
      <c r="G584" s="82"/>
    </row>
    <row r="585">
      <c r="A585" s="100"/>
      <c r="B585" s="82"/>
      <c r="E585" s="82"/>
      <c r="G585" s="82"/>
    </row>
    <row r="586">
      <c r="A586" s="100"/>
      <c r="B586" s="82"/>
      <c r="E586" s="82"/>
      <c r="G586" s="82"/>
    </row>
    <row r="587">
      <c r="A587" s="100"/>
      <c r="B587" s="82"/>
      <c r="E587" s="82"/>
      <c r="G587" s="82"/>
    </row>
    <row r="588">
      <c r="A588" s="100"/>
      <c r="B588" s="82"/>
      <c r="E588" s="82"/>
      <c r="G588" s="82"/>
    </row>
    <row r="589">
      <c r="A589" s="100"/>
      <c r="B589" s="82"/>
      <c r="E589" s="82"/>
      <c r="G589" s="82"/>
    </row>
    <row r="590">
      <c r="A590" s="100"/>
      <c r="B590" s="82"/>
      <c r="E590" s="82"/>
      <c r="G590" s="82"/>
    </row>
    <row r="591">
      <c r="A591" s="100"/>
      <c r="B591" s="82"/>
      <c r="E591" s="82"/>
      <c r="G591" s="82"/>
    </row>
    <row r="592">
      <c r="A592" s="100"/>
      <c r="B592" s="82"/>
      <c r="E592" s="82"/>
      <c r="G592" s="82"/>
    </row>
    <row r="593">
      <c r="A593" s="100"/>
      <c r="B593" s="82"/>
      <c r="E593" s="82"/>
      <c r="G593" s="82"/>
    </row>
    <row r="594">
      <c r="A594" s="100"/>
      <c r="B594" s="82"/>
      <c r="E594" s="82"/>
      <c r="G594" s="82"/>
    </row>
    <row r="595">
      <c r="A595" s="100"/>
      <c r="B595" s="82"/>
      <c r="E595" s="82"/>
      <c r="G595" s="82"/>
    </row>
    <row r="596">
      <c r="A596" s="100"/>
      <c r="B596" s="82"/>
      <c r="E596" s="82"/>
      <c r="G596" s="82"/>
    </row>
    <row r="597">
      <c r="A597" s="100"/>
      <c r="B597" s="82"/>
      <c r="E597" s="82"/>
      <c r="G597" s="82"/>
    </row>
    <row r="598">
      <c r="A598" s="100"/>
      <c r="B598" s="82"/>
      <c r="E598" s="82"/>
      <c r="G598" s="82"/>
    </row>
    <row r="599">
      <c r="A599" s="100"/>
      <c r="B599" s="82"/>
      <c r="E599" s="82"/>
      <c r="G599" s="82"/>
    </row>
    <row r="600">
      <c r="A600" s="100"/>
      <c r="B600" s="82"/>
      <c r="E600" s="82"/>
      <c r="G600" s="82"/>
    </row>
    <row r="601">
      <c r="A601" s="100"/>
      <c r="B601" s="82"/>
      <c r="E601" s="82"/>
      <c r="G601" s="82"/>
    </row>
    <row r="602">
      <c r="A602" s="100"/>
      <c r="B602" s="82"/>
      <c r="E602" s="82"/>
      <c r="G602" s="82"/>
    </row>
    <row r="603">
      <c r="A603" s="100"/>
      <c r="B603" s="82"/>
      <c r="E603" s="82"/>
      <c r="G603" s="82"/>
    </row>
    <row r="604">
      <c r="A604" s="100"/>
      <c r="B604" s="82"/>
      <c r="E604" s="82"/>
      <c r="G604" s="82"/>
    </row>
    <row r="605">
      <c r="A605" s="100"/>
      <c r="B605" s="82"/>
      <c r="E605" s="82"/>
      <c r="G605" s="82"/>
    </row>
    <row r="606">
      <c r="A606" s="100"/>
      <c r="B606" s="82"/>
      <c r="E606" s="82"/>
      <c r="G606" s="82"/>
    </row>
    <row r="607">
      <c r="A607" s="100"/>
      <c r="B607" s="82"/>
      <c r="E607" s="82"/>
      <c r="G607" s="82"/>
    </row>
    <row r="608">
      <c r="A608" s="100"/>
      <c r="B608" s="82"/>
      <c r="E608" s="82"/>
      <c r="G608" s="82"/>
    </row>
    <row r="609">
      <c r="A609" s="100"/>
      <c r="B609" s="82"/>
      <c r="E609" s="82"/>
      <c r="G609" s="82"/>
    </row>
    <row r="610">
      <c r="A610" s="100"/>
      <c r="B610" s="82"/>
      <c r="E610" s="82"/>
      <c r="G610" s="82"/>
    </row>
    <row r="611">
      <c r="A611" s="100"/>
      <c r="B611" s="82"/>
      <c r="E611" s="82"/>
      <c r="G611" s="82"/>
    </row>
    <row r="612">
      <c r="A612" s="100"/>
      <c r="B612" s="82"/>
      <c r="E612" s="82"/>
      <c r="G612" s="82"/>
    </row>
    <row r="613">
      <c r="A613" s="100"/>
      <c r="B613" s="82"/>
      <c r="E613" s="82"/>
      <c r="G613" s="82"/>
    </row>
    <row r="614">
      <c r="A614" s="100"/>
      <c r="B614" s="82"/>
      <c r="E614" s="82"/>
      <c r="G614" s="82"/>
    </row>
    <row r="615">
      <c r="A615" s="100"/>
      <c r="B615" s="82"/>
      <c r="E615" s="82"/>
      <c r="G615" s="82"/>
    </row>
    <row r="616">
      <c r="A616" s="100"/>
      <c r="B616" s="82"/>
      <c r="E616" s="82"/>
      <c r="G616" s="82"/>
    </row>
    <row r="617">
      <c r="A617" s="100"/>
      <c r="B617" s="82"/>
      <c r="E617" s="82"/>
      <c r="G617" s="82"/>
    </row>
    <row r="618">
      <c r="A618" s="100"/>
      <c r="B618" s="82"/>
      <c r="E618" s="82"/>
      <c r="G618" s="82"/>
    </row>
    <row r="619">
      <c r="A619" s="100"/>
      <c r="B619" s="82"/>
      <c r="E619" s="82"/>
      <c r="G619" s="82"/>
    </row>
    <row r="620">
      <c r="A620" s="100"/>
      <c r="B620" s="82"/>
      <c r="E620" s="82"/>
      <c r="G620" s="82"/>
    </row>
    <row r="621">
      <c r="A621" s="100"/>
      <c r="B621" s="82"/>
      <c r="E621" s="82"/>
      <c r="G621" s="82"/>
    </row>
    <row r="622">
      <c r="A622" s="100"/>
      <c r="B622" s="82"/>
      <c r="E622" s="82"/>
      <c r="G622" s="82"/>
    </row>
    <row r="623">
      <c r="A623" s="100"/>
      <c r="B623" s="82"/>
      <c r="E623" s="82"/>
      <c r="G623" s="82"/>
    </row>
    <row r="624">
      <c r="A624" s="100"/>
      <c r="B624" s="82"/>
      <c r="E624" s="82"/>
      <c r="G624" s="82"/>
    </row>
    <row r="625">
      <c r="A625" s="100"/>
      <c r="B625" s="82"/>
      <c r="E625" s="82"/>
      <c r="G625" s="82"/>
    </row>
    <row r="626">
      <c r="A626" s="100"/>
      <c r="B626" s="82"/>
      <c r="E626" s="82"/>
      <c r="G626" s="82"/>
    </row>
    <row r="627">
      <c r="A627" s="100"/>
      <c r="B627" s="82"/>
      <c r="E627" s="82"/>
      <c r="G627" s="82"/>
    </row>
    <row r="628">
      <c r="A628" s="100"/>
      <c r="B628" s="82"/>
      <c r="E628" s="82"/>
      <c r="G628" s="82"/>
    </row>
    <row r="629">
      <c r="A629" s="100"/>
      <c r="B629" s="82"/>
      <c r="E629" s="82"/>
      <c r="G629" s="82"/>
    </row>
    <row r="630">
      <c r="A630" s="100"/>
      <c r="B630" s="82"/>
      <c r="E630" s="82"/>
      <c r="G630" s="82"/>
    </row>
    <row r="631">
      <c r="A631" s="100"/>
      <c r="B631" s="82"/>
      <c r="E631" s="82"/>
      <c r="G631" s="82"/>
    </row>
    <row r="632">
      <c r="A632" s="100"/>
      <c r="B632" s="82"/>
      <c r="E632" s="82"/>
      <c r="G632" s="82"/>
    </row>
    <row r="633">
      <c r="A633" s="100"/>
      <c r="B633" s="82"/>
      <c r="E633" s="82"/>
      <c r="G633" s="82"/>
    </row>
    <row r="634">
      <c r="A634" s="100"/>
      <c r="B634" s="82"/>
      <c r="E634" s="82"/>
      <c r="G634" s="82"/>
    </row>
    <row r="635">
      <c r="A635" s="100"/>
      <c r="B635" s="82"/>
      <c r="E635" s="82"/>
      <c r="G635" s="82"/>
    </row>
    <row r="636">
      <c r="A636" s="100"/>
      <c r="B636" s="82"/>
      <c r="E636" s="82"/>
      <c r="G636" s="82"/>
    </row>
    <row r="637">
      <c r="A637" s="100"/>
      <c r="B637" s="82"/>
      <c r="E637" s="82"/>
      <c r="G637" s="82"/>
    </row>
    <row r="638">
      <c r="A638" s="100"/>
      <c r="B638" s="82"/>
      <c r="E638" s="82"/>
      <c r="G638" s="82"/>
    </row>
    <row r="639">
      <c r="A639" s="100"/>
      <c r="B639" s="82"/>
      <c r="E639" s="82"/>
      <c r="G639" s="82"/>
    </row>
    <row r="640">
      <c r="A640" s="100"/>
      <c r="B640" s="82"/>
      <c r="E640" s="82"/>
      <c r="G640" s="82"/>
    </row>
    <row r="641">
      <c r="A641" s="100"/>
      <c r="B641" s="82"/>
      <c r="E641" s="82"/>
      <c r="G641" s="82"/>
    </row>
    <row r="642">
      <c r="A642" s="100"/>
      <c r="B642" s="82"/>
      <c r="E642" s="82"/>
      <c r="G642" s="82"/>
    </row>
    <row r="643">
      <c r="A643" s="100"/>
      <c r="B643" s="82"/>
      <c r="E643" s="82"/>
      <c r="G643" s="82"/>
    </row>
    <row r="644">
      <c r="A644" s="100"/>
      <c r="B644" s="82"/>
      <c r="E644" s="82"/>
      <c r="G644" s="82"/>
    </row>
    <row r="645">
      <c r="A645" s="100"/>
      <c r="B645" s="82"/>
      <c r="E645" s="82"/>
      <c r="G645" s="82"/>
    </row>
    <row r="646">
      <c r="A646" s="100"/>
      <c r="B646" s="82"/>
      <c r="E646" s="82"/>
      <c r="G646" s="82"/>
    </row>
    <row r="647">
      <c r="A647" s="100"/>
      <c r="B647" s="82"/>
      <c r="E647" s="82"/>
      <c r="G647" s="82"/>
    </row>
    <row r="648">
      <c r="A648" s="100"/>
      <c r="B648" s="82"/>
      <c r="E648" s="82"/>
      <c r="G648" s="82"/>
    </row>
    <row r="649">
      <c r="A649" s="100"/>
      <c r="B649" s="82"/>
      <c r="E649" s="82"/>
      <c r="G649" s="82"/>
    </row>
    <row r="650">
      <c r="A650" s="100"/>
      <c r="B650" s="82"/>
      <c r="E650" s="82"/>
      <c r="G650" s="82"/>
    </row>
    <row r="651">
      <c r="A651" s="100"/>
      <c r="B651" s="82"/>
      <c r="E651" s="82"/>
      <c r="G651" s="82"/>
    </row>
    <row r="652">
      <c r="A652" s="100"/>
      <c r="B652" s="82"/>
      <c r="E652" s="82"/>
      <c r="G652" s="82"/>
    </row>
    <row r="653">
      <c r="A653" s="100"/>
      <c r="B653" s="82"/>
      <c r="E653" s="82"/>
      <c r="G653" s="82"/>
    </row>
    <row r="654">
      <c r="A654" s="100"/>
      <c r="B654" s="82"/>
      <c r="E654" s="82"/>
      <c r="G654" s="82"/>
    </row>
    <row r="655">
      <c r="A655" s="100"/>
      <c r="B655" s="82"/>
      <c r="E655" s="82"/>
      <c r="G655" s="82"/>
    </row>
    <row r="656">
      <c r="A656" s="100"/>
      <c r="B656" s="82"/>
      <c r="E656" s="82"/>
      <c r="G656" s="82"/>
    </row>
    <row r="657">
      <c r="A657" s="100"/>
      <c r="B657" s="82"/>
      <c r="E657" s="82"/>
      <c r="G657" s="82"/>
    </row>
    <row r="658">
      <c r="A658" s="100"/>
      <c r="B658" s="82"/>
      <c r="E658" s="82"/>
      <c r="G658" s="82"/>
    </row>
    <row r="659">
      <c r="A659" s="100"/>
      <c r="B659" s="82"/>
      <c r="E659" s="82"/>
      <c r="G659" s="82"/>
    </row>
    <row r="660">
      <c r="A660" s="100"/>
      <c r="B660" s="82"/>
      <c r="E660" s="82"/>
      <c r="G660" s="82"/>
    </row>
    <row r="661">
      <c r="A661" s="100"/>
      <c r="B661" s="82"/>
      <c r="E661" s="82"/>
      <c r="G661" s="82"/>
    </row>
    <row r="662">
      <c r="A662" s="100"/>
      <c r="B662" s="82"/>
      <c r="E662" s="82"/>
      <c r="G662" s="82"/>
    </row>
    <row r="663">
      <c r="A663" s="100"/>
      <c r="B663" s="82"/>
      <c r="E663" s="82"/>
      <c r="G663" s="82"/>
    </row>
    <row r="664">
      <c r="A664" s="100"/>
      <c r="B664" s="82"/>
      <c r="E664" s="82"/>
      <c r="G664" s="82"/>
    </row>
    <row r="665">
      <c r="A665" s="100"/>
      <c r="B665" s="82"/>
      <c r="E665" s="82"/>
      <c r="G665" s="82"/>
    </row>
    <row r="666">
      <c r="A666" s="100"/>
      <c r="B666" s="82"/>
      <c r="E666" s="82"/>
      <c r="G666" s="82"/>
    </row>
    <row r="667">
      <c r="A667" s="100"/>
      <c r="B667" s="82"/>
      <c r="E667" s="82"/>
      <c r="G667" s="82"/>
    </row>
    <row r="668">
      <c r="A668" s="100"/>
      <c r="B668" s="82"/>
      <c r="E668" s="82"/>
      <c r="G668" s="82"/>
    </row>
    <row r="669">
      <c r="A669" s="100"/>
      <c r="B669" s="82"/>
      <c r="E669" s="82"/>
      <c r="G669" s="82"/>
    </row>
    <row r="670">
      <c r="A670" s="100"/>
      <c r="B670" s="82"/>
      <c r="E670" s="82"/>
      <c r="G670" s="82"/>
    </row>
    <row r="671">
      <c r="A671" s="100"/>
      <c r="B671" s="82"/>
      <c r="E671" s="82"/>
      <c r="G671" s="82"/>
    </row>
    <row r="672">
      <c r="A672" s="100"/>
      <c r="B672" s="82"/>
      <c r="E672" s="82"/>
      <c r="G672" s="82"/>
    </row>
    <row r="673">
      <c r="A673" s="100"/>
      <c r="B673" s="82"/>
      <c r="E673" s="82"/>
      <c r="G673" s="82"/>
    </row>
    <row r="674">
      <c r="A674" s="100"/>
      <c r="B674" s="82"/>
      <c r="E674" s="82"/>
      <c r="G674" s="82"/>
    </row>
    <row r="675">
      <c r="A675" s="100"/>
      <c r="B675" s="82"/>
      <c r="E675" s="82"/>
      <c r="G675" s="82"/>
    </row>
    <row r="676">
      <c r="A676" s="100"/>
      <c r="B676" s="82"/>
      <c r="E676" s="82"/>
      <c r="G676" s="82"/>
    </row>
    <row r="677">
      <c r="A677" s="100"/>
      <c r="B677" s="82"/>
      <c r="E677" s="82"/>
      <c r="G677" s="82"/>
    </row>
    <row r="678">
      <c r="A678" s="100"/>
      <c r="B678" s="82"/>
      <c r="E678" s="82"/>
      <c r="G678" s="82"/>
    </row>
    <row r="679">
      <c r="A679" s="100"/>
      <c r="B679" s="82"/>
      <c r="E679" s="82"/>
      <c r="G679" s="82"/>
    </row>
    <row r="680">
      <c r="A680" s="100"/>
      <c r="B680" s="82"/>
      <c r="E680" s="82"/>
      <c r="G680" s="82"/>
    </row>
    <row r="681">
      <c r="A681" s="100"/>
      <c r="B681" s="82"/>
      <c r="E681" s="82"/>
      <c r="G681" s="82"/>
    </row>
    <row r="682">
      <c r="A682" s="100"/>
      <c r="B682" s="82"/>
      <c r="E682" s="82"/>
      <c r="G682" s="82"/>
    </row>
    <row r="683">
      <c r="A683" s="100"/>
      <c r="B683" s="82"/>
      <c r="E683" s="82"/>
      <c r="G683" s="82"/>
    </row>
    <row r="684">
      <c r="A684" s="100"/>
      <c r="B684" s="82"/>
      <c r="E684" s="82"/>
      <c r="G684" s="82"/>
    </row>
    <row r="685">
      <c r="A685" s="100"/>
      <c r="B685" s="82"/>
      <c r="E685" s="82"/>
      <c r="G685" s="82"/>
    </row>
    <row r="686">
      <c r="A686" s="100"/>
      <c r="B686" s="82"/>
      <c r="E686" s="82"/>
      <c r="G686" s="82"/>
    </row>
    <row r="687">
      <c r="A687" s="100"/>
      <c r="B687" s="82"/>
      <c r="E687" s="82"/>
      <c r="G687" s="82"/>
    </row>
    <row r="688">
      <c r="A688" s="100"/>
      <c r="B688" s="82"/>
      <c r="E688" s="82"/>
      <c r="G688" s="82"/>
    </row>
    <row r="689">
      <c r="A689" s="100"/>
      <c r="B689" s="82"/>
      <c r="E689" s="82"/>
      <c r="G689" s="82"/>
    </row>
    <row r="690">
      <c r="A690" s="100"/>
      <c r="B690" s="82"/>
      <c r="E690" s="82"/>
      <c r="G690" s="82"/>
    </row>
    <row r="691">
      <c r="A691" s="100"/>
      <c r="B691" s="82"/>
      <c r="E691" s="82"/>
      <c r="G691" s="82"/>
    </row>
    <row r="692">
      <c r="A692" s="100"/>
      <c r="B692" s="82"/>
      <c r="E692" s="82"/>
      <c r="G692" s="82"/>
    </row>
    <row r="693">
      <c r="A693" s="100"/>
      <c r="B693" s="82"/>
      <c r="E693" s="82"/>
      <c r="G693" s="82"/>
    </row>
    <row r="694">
      <c r="A694" s="100"/>
      <c r="B694" s="82"/>
      <c r="E694" s="82"/>
      <c r="G694" s="82"/>
    </row>
    <row r="695">
      <c r="A695" s="100"/>
      <c r="B695" s="82"/>
      <c r="E695" s="82"/>
      <c r="G695" s="82"/>
    </row>
    <row r="696">
      <c r="A696" s="100"/>
      <c r="B696" s="82"/>
      <c r="E696" s="82"/>
      <c r="G696" s="82"/>
    </row>
    <row r="697">
      <c r="A697" s="100"/>
      <c r="B697" s="82"/>
      <c r="E697" s="82"/>
      <c r="G697" s="82"/>
    </row>
    <row r="698">
      <c r="A698" s="100"/>
      <c r="B698" s="82"/>
      <c r="E698" s="82"/>
      <c r="G698" s="82"/>
    </row>
    <row r="699">
      <c r="A699" s="100"/>
      <c r="B699" s="82"/>
      <c r="E699" s="82"/>
      <c r="G699" s="82"/>
    </row>
    <row r="700">
      <c r="A700" s="100"/>
      <c r="B700" s="82"/>
      <c r="E700" s="82"/>
      <c r="G700" s="82"/>
    </row>
    <row r="701">
      <c r="A701" s="100"/>
      <c r="B701" s="82"/>
      <c r="E701" s="82"/>
      <c r="G701" s="82"/>
    </row>
    <row r="702">
      <c r="A702" s="100"/>
      <c r="B702" s="82"/>
      <c r="E702" s="82"/>
      <c r="G702" s="82"/>
    </row>
    <row r="703">
      <c r="A703" s="100"/>
      <c r="B703" s="82"/>
      <c r="E703" s="82"/>
      <c r="G703" s="82"/>
    </row>
    <row r="704">
      <c r="A704" s="100"/>
      <c r="B704" s="82"/>
      <c r="E704" s="82"/>
      <c r="G704" s="82"/>
    </row>
    <row r="705">
      <c r="A705" s="100"/>
      <c r="B705" s="82"/>
      <c r="E705" s="82"/>
      <c r="G705" s="82"/>
    </row>
    <row r="706">
      <c r="A706" s="100"/>
      <c r="B706" s="82"/>
      <c r="E706" s="82"/>
      <c r="G706" s="82"/>
    </row>
    <row r="707">
      <c r="A707" s="100"/>
      <c r="B707" s="82"/>
      <c r="E707" s="82"/>
      <c r="G707" s="82"/>
    </row>
    <row r="708">
      <c r="A708" s="100"/>
      <c r="B708" s="82"/>
      <c r="E708" s="82"/>
      <c r="G708" s="82"/>
    </row>
    <row r="709">
      <c r="A709" s="100"/>
      <c r="B709" s="82"/>
      <c r="E709" s="82"/>
      <c r="G709" s="82"/>
    </row>
    <row r="710">
      <c r="A710" s="100"/>
      <c r="B710" s="82"/>
      <c r="E710" s="82"/>
      <c r="G710" s="82"/>
    </row>
    <row r="711">
      <c r="A711" s="100"/>
      <c r="B711" s="82"/>
      <c r="E711" s="82"/>
      <c r="G711" s="82"/>
    </row>
    <row r="712">
      <c r="A712" s="100"/>
      <c r="B712" s="82"/>
      <c r="E712" s="82"/>
      <c r="G712" s="82"/>
    </row>
    <row r="713">
      <c r="A713" s="100"/>
      <c r="B713" s="82"/>
      <c r="E713" s="82"/>
      <c r="G713" s="82"/>
    </row>
    <row r="714">
      <c r="A714" s="100"/>
      <c r="B714" s="82"/>
      <c r="E714" s="82"/>
      <c r="G714" s="82"/>
    </row>
    <row r="715">
      <c r="A715" s="100"/>
      <c r="B715" s="82"/>
      <c r="E715" s="82"/>
      <c r="G715" s="82"/>
    </row>
    <row r="716">
      <c r="A716" s="100"/>
      <c r="B716" s="82"/>
      <c r="E716" s="82"/>
      <c r="G716" s="82"/>
    </row>
    <row r="717">
      <c r="A717" s="100"/>
      <c r="B717" s="82"/>
      <c r="E717" s="82"/>
      <c r="G717" s="82"/>
    </row>
    <row r="718">
      <c r="A718" s="100"/>
      <c r="B718" s="82"/>
      <c r="E718" s="82"/>
      <c r="G718" s="82"/>
    </row>
    <row r="719">
      <c r="A719" s="100"/>
      <c r="B719" s="82"/>
      <c r="E719" s="82"/>
      <c r="G719" s="82"/>
    </row>
    <row r="720">
      <c r="A720" s="100"/>
      <c r="B720" s="82"/>
      <c r="E720" s="82"/>
      <c r="G720" s="82"/>
    </row>
    <row r="721">
      <c r="A721" s="100"/>
      <c r="B721" s="82"/>
      <c r="E721" s="82"/>
      <c r="G721" s="82"/>
    </row>
    <row r="722">
      <c r="A722" s="100"/>
      <c r="B722" s="82"/>
      <c r="E722" s="82"/>
      <c r="G722" s="82"/>
    </row>
    <row r="723">
      <c r="A723" s="100"/>
      <c r="B723" s="82"/>
      <c r="E723" s="82"/>
      <c r="G723" s="82"/>
    </row>
    <row r="724">
      <c r="A724" s="100"/>
      <c r="B724" s="82"/>
      <c r="E724" s="82"/>
      <c r="G724" s="82"/>
    </row>
    <row r="725">
      <c r="A725" s="100"/>
      <c r="B725" s="82"/>
      <c r="E725" s="82"/>
      <c r="G725" s="82"/>
    </row>
    <row r="726">
      <c r="A726" s="100"/>
      <c r="B726" s="82"/>
      <c r="E726" s="82"/>
      <c r="G726" s="82"/>
    </row>
    <row r="727">
      <c r="A727" s="100"/>
      <c r="B727" s="82"/>
      <c r="E727" s="82"/>
      <c r="G727" s="82"/>
    </row>
    <row r="728">
      <c r="A728" s="100"/>
      <c r="B728" s="82"/>
      <c r="E728" s="82"/>
      <c r="G728" s="82"/>
    </row>
    <row r="729">
      <c r="A729" s="100"/>
      <c r="B729" s="82"/>
      <c r="E729" s="82"/>
      <c r="G729" s="82"/>
    </row>
    <row r="730">
      <c r="A730" s="100"/>
      <c r="B730" s="82"/>
      <c r="E730" s="82"/>
      <c r="G730" s="82"/>
    </row>
    <row r="731">
      <c r="A731" s="100"/>
      <c r="B731" s="82"/>
      <c r="E731" s="82"/>
      <c r="G731" s="82"/>
    </row>
    <row r="732">
      <c r="A732" s="100"/>
      <c r="B732" s="82"/>
      <c r="E732" s="82"/>
      <c r="G732" s="82"/>
    </row>
    <row r="733">
      <c r="A733" s="100"/>
      <c r="B733" s="82"/>
      <c r="E733" s="82"/>
      <c r="G733" s="82"/>
    </row>
    <row r="734">
      <c r="A734" s="100"/>
      <c r="B734" s="82"/>
      <c r="E734" s="82"/>
      <c r="G734" s="82"/>
    </row>
    <row r="735">
      <c r="A735" s="100"/>
      <c r="B735" s="82"/>
      <c r="E735" s="82"/>
      <c r="G735" s="82"/>
    </row>
    <row r="736">
      <c r="A736" s="100"/>
      <c r="B736" s="82"/>
      <c r="E736" s="82"/>
      <c r="G736" s="82"/>
    </row>
    <row r="737">
      <c r="A737" s="100"/>
      <c r="B737" s="82"/>
      <c r="E737" s="82"/>
      <c r="G737" s="82"/>
    </row>
    <row r="738">
      <c r="A738" s="100"/>
      <c r="B738" s="82"/>
      <c r="E738" s="82"/>
      <c r="G738" s="82"/>
    </row>
    <row r="739">
      <c r="A739" s="100"/>
      <c r="B739" s="82"/>
      <c r="E739" s="82"/>
      <c r="G739" s="82"/>
    </row>
    <row r="740">
      <c r="A740" s="100"/>
      <c r="B740" s="82"/>
      <c r="E740" s="82"/>
      <c r="G740" s="82"/>
    </row>
    <row r="741">
      <c r="A741" s="100"/>
      <c r="B741" s="82"/>
      <c r="E741" s="82"/>
      <c r="G741" s="82"/>
    </row>
    <row r="742">
      <c r="A742" s="100"/>
      <c r="B742" s="82"/>
      <c r="E742" s="82"/>
      <c r="G742" s="82"/>
    </row>
    <row r="743">
      <c r="A743" s="100"/>
      <c r="B743" s="82"/>
      <c r="E743" s="82"/>
      <c r="G743" s="82"/>
    </row>
    <row r="744">
      <c r="A744" s="100"/>
      <c r="B744" s="82"/>
      <c r="E744" s="82"/>
      <c r="G744" s="82"/>
    </row>
    <row r="745">
      <c r="A745" s="100"/>
      <c r="B745" s="82"/>
      <c r="E745" s="82"/>
      <c r="G745" s="82"/>
    </row>
    <row r="746">
      <c r="A746" s="100"/>
      <c r="B746" s="82"/>
      <c r="E746" s="82"/>
      <c r="G746" s="82"/>
    </row>
    <row r="747">
      <c r="A747" s="100"/>
      <c r="B747" s="82"/>
      <c r="E747" s="82"/>
      <c r="G747" s="82"/>
    </row>
    <row r="748">
      <c r="A748" s="100"/>
      <c r="B748" s="82"/>
      <c r="E748" s="82"/>
      <c r="G748" s="82"/>
    </row>
    <row r="749">
      <c r="A749" s="100"/>
      <c r="B749" s="82"/>
      <c r="E749" s="82"/>
      <c r="G749" s="82"/>
    </row>
    <row r="750">
      <c r="A750" s="100"/>
      <c r="B750" s="82"/>
      <c r="E750" s="82"/>
      <c r="G750" s="82"/>
    </row>
    <row r="751">
      <c r="A751" s="100"/>
      <c r="B751" s="82"/>
      <c r="E751" s="82"/>
      <c r="G751" s="82"/>
    </row>
    <row r="752">
      <c r="A752" s="100"/>
      <c r="B752" s="82"/>
      <c r="E752" s="82"/>
      <c r="G752" s="82"/>
    </row>
    <row r="753">
      <c r="A753" s="100"/>
      <c r="B753" s="82"/>
      <c r="E753" s="82"/>
      <c r="G753" s="82"/>
    </row>
    <row r="754">
      <c r="A754" s="100"/>
      <c r="B754" s="82"/>
      <c r="E754" s="82"/>
      <c r="G754" s="82"/>
    </row>
    <row r="755">
      <c r="A755" s="100"/>
      <c r="B755" s="82"/>
      <c r="E755" s="82"/>
      <c r="G755" s="82"/>
    </row>
    <row r="756">
      <c r="A756" s="100"/>
      <c r="B756" s="82"/>
      <c r="E756" s="82"/>
      <c r="G756" s="82"/>
    </row>
    <row r="757">
      <c r="A757" s="100"/>
      <c r="B757" s="82"/>
      <c r="E757" s="82"/>
      <c r="G757" s="82"/>
    </row>
    <row r="758">
      <c r="A758" s="100"/>
      <c r="B758" s="82"/>
      <c r="E758" s="82"/>
      <c r="G758" s="82"/>
    </row>
    <row r="759">
      <c r="A759" s="100"/>
      <c r="B759" s="82"/>
      <c r="E759" s="82"/>
      <c r="G759" s="82"/>
    </row>
    <row r="760">
      <c r="A760" s="100"/>
      <c r="B760" s="82"/>
      <c r="E760" s="82"/>
      <c r="G760" s="82"/>
    </row>
    <row r="761">
      <c r="A761" s="100"/>
      <c r="B761" s="82"/>
      <c r="E761" s="82"/>
      <c r="G761" s="82"/>
    </row>
    <row r="762">
      <c r="A762" s="100"/>
      <c r="B762" s="82"/>
      <c r="E762" s="82"/>
      <c r="G762" s="82"/>
    </row>
    <row r="763">
      <c r="A763" s="100"/>
      <c r="B763" s="82"/>
      <c r="E763" s="82"/>
      <c r="G763" s="82"/>
    </row>
    <row r="764">
      <c r="A764" s="100"/>
      <c r="B764" s="82"/>
      <c r="E764" s="82"/>
      <c r="G764" s="82"/>
    </row>
    <row r="765">
      <c r="A765" s="100"/>
      <c r="B765" s="82"/>
      <c r="E765" s="82"/>
      <c r="G765" s="82"/>
    </row>
    <row r="766">
      <c r="A766" s="100"/>
      <c r="B766" s="82"/>
      <c r="E766" s="82"/>
      <c r="G766" s="82"/>
    </row>
    <row r="767">
      <c r="A767" s="100"/>
      <c r="B767" s="82"/>
      <c r="E767" s="82"/>
      <c r="G767" s="82"/>
    </row>
    <row r="768">
      <c r="A768" s="100"/>
      <c r="B768" s="82"/>
      <c r="E768" s="82"/>
      <c r="G768" s="82"/>
    </row>
    <row r="769">
      <c r="A769" s="100"/>
      <c r="B769" s="82"/>
      <c r="E769" s="82"/>
      <c r="G769" s="82"/>
    </row>
    <row r="770">
      <c r="A770" s="100"/>
      <c r="B770" s="82"/>
      <c r="E770" s="82"/>
      <c r="G770" s="82"/>
    </row>
    <row r="771">
      <c r="A771" s="100"/>
      <c r="B771" s="82"/>
      <c r="E771" s="82"/>
      <c r="G771" s="82"/>
    </row>
    <row r="772">
      <c r="A772" s="100"/>
      <c r="B772" s="82"/>
      <c r="E772" s="82"/>
      <c r="G772" s="82"/>
    </row>
    <row r="773">
      <c r="A773" s="100"/>
      <c r="B773" s="82"/>
      <c r="E773" s="82"/>
      <c r="G773" s="82"/>
    </row>
    <row r="774">
      <c r="A774" s="100"/>
      <c r="B774" s="82"/>
      <c r="E774" s="82"/>
      <c r="G774" s="82"/>
    </row>
    <row r="775">
      <c r="A775" s="100"/>
      <c r="B775" s="82"/>
      <c r="E775" s="82"/>
      <c r="G775" s="82"/>
    </row>
    <row r="776">
      <c r="A776" s="100"/>
      <c r="B776" s="82"/>
      <c r="E776" s="82"/>
      <c r="G776" s="82"/>
    </row>
    <row r="777">
      <c r="A777" s="100"/>
      <c r="B777" s="82"/>
      <c r="E777" s="82"/>
      <c r="G777" s="82"/>
    </row>
    <row r="778">
      <c r="A778" s="100"/>
      <c r="B778" s="82"/>
      <c r="E778" s="82"/>
      <c r="G778" s="82"/>
    </row>
    <row r="779">
      <c r="A779" s="100"/>
      <c r="B779" s="82"/>
      <c r="E779" s="82"/>
      <c r="G779" s="82"/>
    </row>
    <row r="780">
      <c r="A780" s="100"/>
      <c r="B780" s="82"/>
      <c r="E780" s="82"/>
      <c r="G780" s="82"/>
    </row>
    <row r="781">
      <c r="A781" s="100"/>
      <c r="B781" s="82"/>
      <c r="E781" s="82"/>
      <c r="G781" s="82"/>
    </row>
    <row r="782">
      <c r="A782" s="100"/>
      <c r="B782" s="82"/>
      <c r="E782" s="82"/>
      <c r="G782" s="82"/>
    </row>
    <row r="783">
      <c r="A783" s="100"/>
      <c r="B783" s="82"/>
      <c r="E783" s="82"/>
      <c r="G783" s="82"/>
    </row>
    <row r="784">
      <c r="A784" s="100"/>
      <c r="B784" s="82"/>
      <c r="E784" s="82"/>
      <c r="G784" s="82"/>
    </row>
    <row r="785">
      <c r="A785" s="100"/>
      <c r="B785" s="82"/>
      <c r="E785" s="82"/>
      <c r="G785" s="82"/>
    </row>
    <row r="786">
      <c r="A786" s="100"/>
      <c r="B786" s="82"/>
      <c r="E786" s="82"/>
      <c r="G786" s="82"/>
    </row>
    <row r="787">
      <c r="A787" s="100"/>
      <c r="B787" s="82"/>
      <c r="E787" s="82"/>
      <c r="G787" s="82"/>
    </row>
    <row r="788">
      <c r="A788" s="100"/>
      <c r="B788" s="82"/>
      <c r="E788" s="82"/>
      <c r="G788" s="82"/>
    </row>
    <row r="789">
      <c r="A789" s="100"/>
      <c r="B789" s="82"/>
      <c r="E789" s="82"/>
      <c r="G789" s="82"/>
    </row>
    <row r="790">
      <c r="A790" s="100"/>
      <c r="B790" s="82"/>
      <c r="E790" s="82"/>
      <c r="G790" s="82"/>
    </row>
    <row r="791">
      <c r="A791" s="100"/>
      <c r="B791" s="82"/>
      <c r="E791" s="82"/>
      <c r="G791" s="82"/>
    </row>
    <row r="792">
      <c r="A792" s="100"/>
      <c r="B792" s="82"/>
      <c r="E792" s="82"/>
      <c r="G792" s="82"/>
    </row>
    <row r="793">
      <c r="A793" s="100"/>
      <c r="B793" s="82"/>
      <c r="E793" s="82"/>
      <c r="G793" s="82"/>
    </row>
    <row r="794">
      <c r="A794" s="100"/>
      <c r="B794" s="82"/>
      <c r="E794" s="82"/>
      <c r="G794" s="82"/>
    </row>
    <row r="795">
      <c r="A795" s="100"/>
      <c r="B795" s="82"/>
      <c r="E795" s="82"/>
      <c r="G795" s="82"/>
    </row>
    <row r="796">
      <c r="A796" s="100"/>
      <c r="B796" s="82"/>
      <c r="E796" s="82"/>
      <c r="G796" s="82"/>
    </row>
    <row r="797">
      <c r="A797" s="100"/>
      <c r="B797" s="82"/>
      <c r="E797" s="82"/>
      <c r="G797" s="82"/>
    </row>
    <row r="798">
      <c r="A798" s="100"/>
      <c r="B798" s="82"/>
      <c r="E798" s="82"/>
      <c r="G798" s="82"/>
    </row>
    <row r="799">
      <c r="A799" s="100"/>
      <c r="B799" s="82"/>
      <c r="E799" s="82"/>
      <c r="G799" s="82"/>
    </row>
    <row r="800">
      <c r="A800" s="100"/>
      <c r="B800" s="82"/>
      <c r="E800" s="82"/>
      <c r="G800" s="82"/>
    </row>
    <row r="801">
      <c r="A801" s="100"/>
      <c r="B801" s="82"/>
      <c r="E801" s="82"/>
      <c r="G801" s="82"/>
    </row>
    <row r="802">
      <c r="A802" s="100"/>
      <c r="B802" s="82"/>
      <c r="E802" s="82"/>
      <c r="G802" s="82"/>
    </row>
    <row r="803">
      <c r="A803" s="100"/>
      <c r="B803" s="82"/>
      <c r="E803" s="82"/>
      <c r="G803" s="82"/>
    </row>
    <row r="804">
      <c r="A804" s="100"/>
      <c r="B804" s="82"/>
      <c r="E804" s="82"/>
      <c r="G804" s="82"/>
    </row>
    <row r="805">
      <c r="A805" s="100"/>
      <c r="B805" s="82"/>
      <c r="E805" s="82"/>
      <c r="G805" s="82"/>
    </row>
    <row r="806">
      <c r="A806" s="100"/>
      <c r="B806" s="82"/>
      <c r="E806" s="82"/>
      <c r="G806" s="82"/>
    </row>
    <row r="807">
      <c r="A807" s="100"/>
      <c r="B807" s="82"/>
      <c r="E807" s="82"/>
      <c r="G807" s="82"/>
    </row>
    <row r="808">
      <c r="A808" s="100"/>
      <c r="B808" s="82"/>
      <c r="E808" s="82"/>
      <c r="G808" s="82"/>
    </row>
    <row r="809">
      <c r="A809" s="100"/>
      <c r="B809" s="82"/>
      <c r="E809" s="82"/>
      <c r="G809" s="82"/>
    </row>
    <row r="810">
      <c r="A810" s="100"/>
      <c r="B810" s="82"/>
      <c r="E810" s="82"/>
      <c r="G810" s="82"/>
    </row>
    <row r="811">
      <c r="A811" s="100"/>
      <c r="B811" s="82"/>
      <c r="E811" s="82"/>
      <c r="G811" s="82"/>
    </row>
    <row r="812">
      <c r="A812" s="100"/>
      <c r="B812" s="82"/>
      <c r="E812" s="82"/>
      <c r="G812" s="82"/>
    </row>
    <row r="813">
      <c r="A813" s="100"/>
      <c r="B813" s="82"/>
      <c r="E813" s="82"/>
      <c r="G813" s="82"/>
    </row>
    <row r="814">
      <c r="A814" s="100"/>
      <c r="B814" s="82"/>
      <c r="E814" s="82"/>
      <c r="G814" s="82"/>
    </row>
    <row r="815">
      <c r="A815" s="100"/>
      <c r="B815" s="82"/>
      <c r="E815" s="82"/>
      <c r="G815" s="82"/>
    </row>
    <row r="816">
      <c r="A816" s="100"/>
      <c r="B816" s="82"/>
      <c r="E816" s="82"/>
      <c r="G816" s="82"/>
    </row>
    <row r="817">
      <c r="A817" s="100"/>
      <c r="B817" s="82"/>
      <c r="E817" s="82"/>
      <c r="G817" s="82"/>
    </row>
    <row r="818">
      <c r="A818" s="100"/>
      <c r="B818" s="82"/>
      <c r="E818" s="82"/>
      <c r="G818" s="82"/>
    </row>
    <row r="819">
      <c r="A819" s="100"/>
      <c r="B819" s="82"/>
      <c r="E819" s="82"/>
      <c r="G819" s="82"/>
    </row>
    <row r="820">
      <c r="A820" s="100"/>
      <c r="B820" s="82"/>
      <c r="E820" s="82"/>
      <c r="G820" s="82"/>
    </row>
    <row r="821">
      <c r="A821" s="100"/>
      <c r="B821" s="82"/>
      <c r="E821" s="82"/>
      <c r="G821" s="82"/>
    </row>
    <row r="822">
      <c r="A822" s="100"/>
      <c r="B822" s="82"/>
      <c r="E822" s="82"/>
      <c r="G822" s="82"/>
    </row>
    <row r="823">
      <c r="A823" s="100"/>
      <c r="B823" s="82"/>
      <c r="E823" s="82"/>
      <c r="G823" s="82"/>
    </row>
    <row r="824">
      <c r="A824" s="100"/>
      <c r="B824" s="82"/>
      <c r="E824" s="82"/>
      <c r="G824" s="82"/>
    </row>
    <row r="825">
      <c r="A825" s="100"/>
      <c r="B825" s="82"/>
      <c r="E825" s="82"/>
      <c r="G825" s="82"/>
    </row>
    <row r="826">
      <c r="A826" s="100"/>
      <c r="B826" s="82"/>
      <c r="E826" s="82"/>
      <c r="G826" s="82"/>
    </row>
    <row r="827">
      <c r="A827" s="100"/>
      <c r="B827" s="82"/>
      <c r="E827" s="82"/>
      <c r="G827" s="82"/>
    </row>
    <row r="828">
      <c r="A828" s="100"/>
      <c r="B828" s="82"/>
      <c r="E828" s="82"/>
      <c r="G828" s="82"/>
    </row>
    <row r="829">
      <c r="A829" s="100"/>
      <c r="B829" s="82"/>
      <c r="E829" s="82"/>
      <c r="G829" s="82"/>
    </row>
    <row r="830">
      <c r="A830" s="100"/>
      <c r="B830" s="82"/>
      <c r="E830" s="82"/>
      <c r="G830" s="82"/>
    </row>
    <row r="831">
      <c r="A831" s="100"/>
      <c r="B831" s="82"/>
      <c r="E831" s="82"/>
      <c r="G831" s="82"/>
    </row>
    <row r="832">
      <c r="A832" s="100"/>
      <c r="B832" s="82"/>
      <c r="E832" s="82"/>
      <c r="G832" s="82"/>
    </row>
    <row r="833">
      <c r="A833" s="100"/>
      <c r="B833" s="82"/>
      <c r="E833" s="82"/>
      <c r="G833" s="82"/>
    </row>
    <row r="834">
      <c r="A834" s="100"/>
      <c r="B834" s="82"/>
      <c r="E834" s="82"/>
      <c r="G834" s="82"/>
    </row>
    <row r="835">
      <c r="A835" s="100"/>
      <c r="B835" s="82"/>
      <c r="E835" s="82"/>
      <c r="G835" s="82"/>
    </row>
    <row r="836">
      <c r="A836" s="100"/>
      <c r="B836" s="82"/>
      <c r="E836" s="82"/>
      <c r="G836" s="82"/>
    </row>
    <row r="837">
      <c r="A837" s="100"/>
      <c r="B837" s="82"/>
      <c r="E837" s="82"/>
      <c r="G837" s="82"/>
    </row>
    <row r="838">
      <c r="A838" s="100"/>
      <c r="B838" s="82"/>
      <c r="E838" s="82"/>
      <c r="G838" s="82"/>
    </row>
    <row r="839">
      <c r="A839" s="100"/>
      <c r="B839" s="82"/>
      <c r="E839" s="82"/>
      <c r="G839" s="82"/>
    </row>
    <row r="840">
      <c r="A840" s="100"/>
      <c r="B840" s="82"/>
      <c r="E840" s="82"/>
      <c r="G840" s="82"/>
    </row>
    <row r="841">
      <c r="A841" s="100"/>
      <c r="B841" s="82"/>
      <c r="E841" s="82"/>
      <c r="G841" s="82"/>
    </row>
    <row r="842">
      <c r="A842" s="100"/>
      <c r="B842" s="82"/>
      <c r="E842" s="82"/>
      <c r="G842" s="82"/>
    </row>
    <row r="843">
      <c r="A843" s="100"/>
      <c r="B843" s="82"/>
      <c r="E843" s="82"/>
      <c r="G843" s="82"/>
    </row>
    <row r="844">
      <c r="A844" s="100"/>
      <c r="B844" s="82"/>
      <c r="E844" s="82"/>
      <c r="G844" s="82"/>
    </row>
    <row r="845">
      <c r="A845" s="100"/>
      <c r="B845" s="82"/>
      <c r="E845" s="82"/>
      <c r="G845" s="82"/>
    </row>
    <row r="846">
      <c r="A846" s="100"/>
      <c r="B846" s="82"/>
      <c r="E846" s="82"/>
      <c r="G846" s="82"/>
    </row>
    <row r="847">
      <c r="A847" s="100"/>
      <c r="B847" s="82"/>
      <c r="E847" s="82"/>
      <c r="G847" s="82"/>
    </row>
    <row r="848">
      <c r="A848" s="100"/>
      <c r="B848" s="82"/>
      <c r="E848" s="82"/>
      <c r="G848" s="82"/>
    </row>
    <row r="849">
      <c r="A849" s="100"/>
      <c r="B849" s="82"/>
      <c r="E849" s="82"/>
      <c r="G849" s="82"/>
    </row>
    <row r="850">
      <c r="A850" s="100"/>
      <c r="B850" s="82"/>
      <c r="E850" s="82"/>
      <c r="G850" s="82"/>
    </row>
    <row r="851">
      <c r="A851" s="100"/>
      <c r="B851" s="82"/>
      <c r="E851" s="82"/>
      <c r="G851" s="82"/>
    </row>
    <row r="852">
      <c r="A852" s="100"/>
      <c r="B852" s="82"/>
      <c r="E852" s="82"/>
      <c r="G852" s="82"/>
    </row>
    <row r="853">
      <c r="A853" s="100"/>
      <c r="B853" s="82"/>
      <c r="E853" s="82"/>
      <c r="G853" s="82"/>
    </row>
    <row r="854">
      <c r="A854" s="100"/>
      <c r="B854" s="82"/>
      <c r="E854" s="82"/>
      <c r="G854" s="82"/>
    </row>
    <row r="855">
      <c r="A855" s="100"/>
      <c r="B855" s="82"/>
      <c r="E855" s="82"/>
      <c r="G855" s="82"/>
    </row>
    <row r="856">
      <c r="A856" s="100"/>
      <c r="B856" s="82"/>
      <c r="E856" s="82"/>
      <c r="G856" s="82"/>
    </row>
    <row r="857">
      <c r="A857" s="100"/>
      <c r="B857" s="82"/>
      <c r="E857" s="82"/>
      <c r="G857" s="82"/>
    </row>
    <row r="858">
      <c r="A858" s="100"/>
      <c r="B858" s="82"/>
      <c r="E858" s="82"/>
      <c r="G858" s="82"/>
    </row>
    <row r="859">
      <c r="A859" s="100"/>
      <c r="B859" s="82"/>
      <c r="E859" s="82"/>
      <c r="G859" s="82"/>
    </row>
    <row r="860">
      <c r="A860" s="100"/>
      <c r="B860" s="82"/>
      <c r="E860" s="82"/>
      <c r="G860" s="82"/>
    </row>
    <row r="861">
      <c r="A861" s="100"/>
      <c r="B861" s="82"/>
      <c r="E861" s="82"/>
      <c r="G861" s="82"/>
    </row>
    <row r="862">
      <c r="A862" s="100"/>
      <c r="B862" s="82"/>
      <c r="E862" s="82"/>
      <c r="G862" s="82"/>
    </row>
    <row r="863">
      <c r="A863" s="100"/>
      <c r="B863" s="82"/>
      <c r="E863" s="82"/>
      <c r="G863" s="82"/>
    </row>
    <row r="864">
      <c r="A864" s="100"/>
      <c r="B864" s="82"/>
      <c r="E864" s="82"/>
      <c r="G864" s="82"/>
    </row>
    <row r="865">
      <c r="A865" s="100"/>
      <c r="B865" s="82"/>
      <c r="E865" s="82"/>
      <c r="G865" s="82"/>
    </row>
    <row r="866">
      <c r="A866" s="100"/>
      <c r="B866" s="82"/>
      <c r="E866" s="82"/>
      <c r="G866" s="82"/>
    </row>
    <row r="867">
      <c r="A867" s="100"/>
      <c r="B867" s="82"/>
      <c r="E867" s="82"/>
      <c r="G867" s="82"/>
    </row>
    <row r="868">
      <c r="A868" s="100"/>
      <c r="B868" s="82"/>
      <c r="E868" s="82"/>
      <c r="G868" s="82"/>
    </row>
    <row r="869">
      <c r="A869" s="100"/>
      <c r="B869" s="82"/>
      <c r="E869" s="82"/>
      <c r="G869" s="82"/>
    </row>
    <row r="870">
      <c r="A870" s="100"/>
      <c r="B870" s="82"/>
      <c r="E870" s="82"/>
      <c r="G870" s="82"/>
    </row>
    <row r="871">
      <c r="A871" s="100"/>
      <c r="B871" s="82"/>
      <c r="E871" s="82"/>
      <c r="G871" s="82"/>
    </row>
    <row r="872">
      <c r="A872" s="100"/>
      <c r="B872" s="82"/>
      <c r="E872" s="82"/>
      <c r="G872" s="82"/>
    </row>
    <row r="873">
      <c r="A873" s="100"/>
      <c r="B873" s="82"/>
      <c r="E873" s="82"/>
      <c r="G873" s="82"/>
    </row>
    <row r="874">
      <c r="A874" s="100"/>
      <c r="B874" s="82"/>
      <c r="E874" s="82"/>
      <c r="G874" s="82"/>
    </row>
    <row r="875">
      <c r="A875" s="100"/>
      <c r="B875" s="82"/>
      <c r="E875" s="82"/>
      <c r="G875" s="82"/>
    </row>
    <row r="876">
      <c r="A876" s="100"/>
      <c r="B876" s="82"/>
      <c r="E876" s="82"/>
      <c r="G876" s="82"/>
    </row>
    <row r="877">
      <c r="A877" s="100"/>
      <c r="B877" s="82"/>
      <c r="E877" s="82"/>
      <c r="G877" s="82"/>
    </row>
    <row r="878">
      <c r="A878" s="100"/>
      <c r="B878" s="82"/>
      <c r="E878" s="82"/>
      <c r="G878" s="82"/>
    </row>
    <row r="879">
      <c r="A879" s="100"/>
      <c r="B879" s="82"/>
      <c r="E879" s="82"/>
      <c r="G879" s="82"/>
    </row>
    <row r="880">
      <c r="A880" s="100"/>
      <c r="B880" s="82"/>
      <c r="E880" s="82"/>
      <c r="G880" s="82"/>
    </row>
    <row r="881">
      <c r="A881" s="100"/>
      <c r="B881" s="82"/>
      <c r="E881" s="82"/>
      <c r="G881" s="82"/>
    </row>
    <row r="882">
      <c r="A882" s="100"/>
      <c r="B882" s="82"/>
      <c r="E882" s="82"/>
      <c r="G882" s="82"/>
    </row>
    <row r="883">
      <c r="A883" s="100"/>
      <c r="B883" s="82"/>
      <c r="E883" s="82"/>
      <c r="G883" s="82"/>
    </row>
    <row r="884">
      <c r="A884" s="100"/>
      <c r="B884" s="82"/>
      <c r="E884" s="82"/>
      <c r="G884" s="82"/>
    </row>
    <row r="885">
      <c r="A885" s="100"/>
      <c r="B885" s="82"/>
      <c r="E885" s="82"/>
      <c r="G885" s="82"/>
    </row>
    <row r="886">
      <c r="A886" s="100"/>
      <c r="B886" s="82"/>
      <c r="E886" s="82"/>
      <c r="G886" s="82"/>
    </row>
    <row r="887">
      <c r="A887" s="100"/>
      <c r="B887" s="82"/>
      <c r="E887" s="82"/>
      <c r="G887" s="82"/>
    </row>
    <row r="888">
      <c r="A888" s="100"/>
      <c r="B888" s="82"/>
      <c r="E888" s="82"/>
      <c r="G888" s="82"/>
    </row>
    <row r="889">
      <c r="A889" s="100"/>
      <c r="B889" s="82"/>
      <c r="E889" s="82"/>
      <c r="G889" s="82"/>
    </row>
    <row r="890">
      <c r="A890" s="100"/>
      <c r="B890" s="82"/>
      <c r="E890" s="82"/>
      <c r="G890" s="82"/>
    </row>
    <row r="891">
      <c r="A891" s="100"/>
      <c r="B891" s="82"/>
      <c r="E891" s="82"/>
      <c r="G891" s="82"/>
    </row>
    <row r="892">
      <c r="A892" s="100"/>
      <c r="B892" s="82"/>
      <c r="E892" s="82"/>
      <c r="G892" s="82"/>
    </row>
    <row r="893">
      <c r="A893" s="100"/>
      <c r="B893" s="82"/>
      <c r="E893" s="82"/>
      <c r="G893" s="82"/>
    </row>
    <row r="894">
      <c r="A894" s="100"/>
      <c r="B894" s="82"/>
      <c r="E894" s="82"/>
      <c r="G894" s="82"/>
    </row>
    <row r="895">
      <c r="A895" s="100"/>
      <c r="B895" s="82"/>
      <c r="E895" s="82"/>
      <c r="G895" s="82"/>
    </row>
    <row r="896">
      <c r="A896" s="100"/>
      <c r="B896" s="82"/>
      <c r="E896" s="82"/>
      <c r="G896" s="82"/>
    </row>
    <row r="897">
      <c r="A897" s="100"/>
      <c r="B897" s="82"/>
      <c r="E897" s="82"/>
      <c r="G897" s="82"/>
    </row>
    <row r="898">
      <c r="A898" s="100"/>
      <c r="B898" s="82"/>
      <c r="E898" s="82"/>
      <c r="G898" s="82"/>
    </row>
    <row r="899">
      <c r="A899" s="100"/>
      <c r="B899" s="82"/>
      <c r="E899" s="82"/>
      <c r="G899" s="82"/>
    </row>
    <row r="900">
      <c r="A900" s="100"/>
      <c r="B900" s="82"/>
      <c r="E900" s="82"/>
      <c r="G900" s="82"/>
    </row>
    <row r="901">
      <c r="A901" s="100"/>
      <c r="B901" s="82"/>
      <c r="E901" s="82"/>
      <c r="G901" s="82"/>
    </row>
    <row r="902">
      <c r="A902" s="100"/>
      <c r="B902" s="82"/>
      <c r="E902" s="82"/>
      <c r="G902" s="82"/>
    </row>
    <row r="903">
      <c r="A903" s="100"/>
      <c r="B903" s="82"/>
      <c r="E903" s="82"/>
      <c r="G903" s="82"/>
    </row>
    <row r="904">
      <c r="A904" s="100"/>
      <c r="B904" s="82"/>
      <c r="E904" s="82"/>
      <c r="G904" s="82"/>
    </row>
    <row r="905">
      <c r="A905" s="100"/>
      <c r="B905" s="82"/>
      <c r="E905" s="82"/>
      <c r="G905" s="82"/>
    </row>
    <row r="906">
      <c r="A906" s="100"/>
      <c r="B906" s="82"/>
      <c r="E906" s="82"/>
      <c r="G906" s="82"/>
    </row>
    <row r="907">
      <c r="A907" s="100"/>
      <c r="B907" s="82"/>
      <c r="E907" s="82"/>
      <c r="G907" s="82"/>
    </row>
    <row r="908">
      <c r="A908" s="100"/>
      <c r="B908" s="82"/>
      <c r="E908" s="82"/>
      <c r="G908" s="82"/>
    </row>
    <row r="909">
      <c r="A909" s="100"/>
      <c r="B909" s="82"/>
      <c r="E909" s="82"/>
      <c r="G909" s="82"/>
    </row>
    <row r="910">
      <c r="A910" s="100"/>
      <c r="B910" s="82"/>
      <c r="E910" s="82"/>
      <c r="G910" s="82"/>
    </row>
    <row r="911">
      <c r="A911" s="100"/>
      <c r="B911" s="82"/>
      <c r="E911" s="82"/>
      <c r="G911" s="82"/>
    </row>
    <row r="912">
      <c r="A912" s="100"/>
      <c r="B912" s="82"/>
      <c r="E912" s="82"/>
      <c r="G912" s="82"/>
    </row>
    <row r="913">
      <c r="A913" s="100"/>
      <c r="B913" s="82"/>
      <c r="E913" s="82"/>
      <c r="G913" s="82"/>
    </row>
    <row r="914">
      <c r="A914" s="100"/>
      <c r="B914" s="82"/>
      <c r="E914" s="82"/>
      <c r="G914" s="82"/>
    </row>
    <row r="915">
      <c r="A915" s="100"/>
      <c r="B915" s="82"/>
      <c r="E915" s="82"/>
      <c r="G915" s="82"/>
    </row>
    <row r="916">
      <c r="A916" s="100"/>
      <c r="B916" s="82"/>
      <c r="E916" s="82"/>
      <c r="G916" s="82"/>
    </row>
    <row r="917">
      <c r="A917" s="100"/>
      <c r="B917" s="82"/>
      <c r="E917" s="82"/>
      <c r="G917" s="82"/>
    </row>
    <row r="918">
      <c r="A918" s="100"/>
      <c r="B918" s="82"/>
      <c r="E918" s="82"/>
      <c r="G918" s="82"/>
    </row>
    <row r="919">
      <c r="A919" s="100"/>
      <c r="B919" s="82"/>
      <c r="E919" s="82"/>
      <c r="G919" s="82"/>
    </row>
    <row r="920">
      <c r="A920" s="100"/>
      <c r="B920" s="82"/>
      <c r="E920" s="82"/>
      <c r="G920" s="82"/>
    </row>
    <row r="921">
      <c r="A921" s="100"/>
      <c r="B921" s="82"/>
      <c r="E921" s="82"/>
      <c r="G921" s="82"/>
    </row>
    <row r="922">
      <c r="A922" s="100"/>
      <c r="B922" s="82"/>
      <c r="E922" s="82"/>
      <c r="G922" s="82"/>
    </row>
    <row r="923">
      <c r="A923" s="100"/>
      <c r="B923" s="82"/>
      <c r="E923" s="82"/>
      <c r="G923" s="82"/>
    </row>
    <row r="924">
      <c r="A924" s="100"/>
      <c r="B924" s="82"/>
      <c r="E924" s="82"/>
      <c r="G924" s="82"/>
    </row>
    <row r="925">
      <c r="A925" s="100"/>
      <c r="B925" s="82"/>
      <c r="E925" s="82"/>
      <c r="G925" s="82"/>
    </row>
    <row r="926">
      <c r="A926" s="100"/>
      <c r="B926" s="82"/>
      <c r="E926" s="82"/>
      <c r="G926" s="82"/>
    </row>
    <row r="927">
      <c r="A927" s="100"/>
      <c r="B927" s="82"/>
      <c r="E927" s="82"/>
      <c r="G927" s="82"/>
    </row>
    <row r="928">
      <c r="A928" s="100"/>
      <c r="B928" s="82"/>
      <c r="E928" s="82"/>
      <c r="G928" s="82"/>
    </row>
    <row r="929">
      <c r="A929" s="100"/>
      <c r="B929" s="82"/>
      <c r="E929" s="82"/>
      <c r="G929" s="82"/>
    </row>
    <row r="930">
      <c r="A930" s="100"/>
      <c r="B930" s="82"/>
      <c r="E930" s="82"/>
      <c r="G930" s="82"/>
    </row>
    <row r="931">
      <c r="A931" s="100"/>
      <c r="B931" s="82"/>
      <c r="E931" s="82"/>
      <c r="G931" s="82"/>
    </row>
    <row r="932">
      <c r="A932" s="100"/>
      <c r="B932" s="82"/>
      <c r="E932" s="82"/>
      <c r="G932" s="82"/>
    </row>
    <row r="933">
      <c r="A933" s="100"/>
      <c r="B933" s="82"/>
      <c r="E933" s="82"/>
      <c r="G933" s="82"/>
    </row>
    <row r="934">
      <c r="A934" s="100"/>
      <c r="B934" s="82"/>
      <c r="E934" s="82"/>
      <c r="G934" s="82"/>
    </row>
    <row r="935">
      <c r="A935" s="100"/>
      <c r="B935" s="82"/>
      <c r="E935" s="82"/>
      <c r="G935" s="82"/>
    </row>
    <row r="936">
      <c r="A936" s="100"/>
      <c r="B936" s="82"/>
      <c r="E936" s="82"/>
      <c r="G936" s="82"/>
    </row>
    <row r="937">
      <c r="A937" s="100"/>
      <c r="B937" s="82"/>
      <c r="E937" s="82"/>
      <c r="G937" s="82"/>
    </row>
    <row r="938">
      <c r="A938" s="100"/>
      <c r="B938" s="82"/>
      <c r="E938" s="82"/>
      <c r="G938" s="82"/>
    </row>
    <row r="939">
      <c r="A939" s="100"/>
      <c r="B939" s="82"/>
      <c r="E939" s="82"/>
      <c r="G939" s="82"/>
    </row>
    <row r="940">
      <c r="A940" s="100"/>
      <c r="B940" s="82"/>
      <c r="E940" s="82"/>
      <c r="G940" s="82"/>
    </row>
    <row r="941">
      <c r="A941" s="100"/>
      <c r="B941" s="82"/>
      <c r="E941" s="82"/>
      <c r="G941" s="82"/>
    </row>
    <row r="942">
      <c r="A942" s="100"/>
      <c r="B942" s="82"/>
      <c r="E942" s="82"/>
      <c r="G942" s="82"/>
    </row>
    <row r="943">
      <c r="A943" s="100"/>
      <c r="B943" s="82"/>
      <c r="E943" s="82"/>
      <c r="G943" s="82"/>
    </row>
    <row r="944">
      <c r="A944" s="100"/>
      <c r="B944" s="82"/>
      <c r="E944" s="82"/>
      <c r="G944" s="82"/>
    </row>
    <row r="945">
      <c r="A945" s="100"/>
      <c r="B945" s="82"/>
      <c r="E945" s="82"/>
      <c r="G945" s="82"/>
    </row>
    <row r="946">
      <c r="A946" s="100"/>
      <c r="B946" s="82"/>
      <c r="E946" s="82"/>
      <c r="G946" s="82"/>
    </row>
    <row r="947">
      <c r="A947" s="100"/>
      <c r="B947" s="82"/>
      <c r="E947" s="82"/>
      <c r="G947" s="82"/>
    </row>
    <row r="948">
      <c r="A948" s="100"/>
      <c r="B948" s="82"/>
      <c r="E948" s="82"/>
      <c r="G948" s="82"/>
    </row>
    <row r="949">
      <c r="A949" s="100"/>
      <c r="B949" s="82"/>
      <c r="E949" s="82"/>
      <c r="G949" s="82"/>
    </row>
    <row r="950">
      <c r="A950" s="100"/>
      <c r="B950" s="82"/>
      <c r="E950" s="82"/>
      <c r="G950" s="82"/>
    </row>
    <row r="951">
      <c r="A951" s="100"/>
      <c r="B951" s="82"/>
      <c r="E951" s="82"/>
      <c r="G951" s="82"/>
    </row>
    <row r="952">
      <c r="A952" s="100"/>
      <c r="B952" s="82"/>
      <c r="E952" s="82"/>
      <c r="G952" s="82"/>
    </row>
    <row r="953">
      <c r="A953" s="100"/>
      <c r="B953" s="82"/>
      <c r="E953" s="82"/>
      <c r="G953" s="82"/>
    </row>
    <row r="954">
      <c r="A954" s="100"/>
      <c r="B954" s="82"/>
      <c r="E954" s="82"/>
      <c r="G954" s="82"/>
    </row>
    <row r="955">
      <c r="A955" s="100"/>
      <c r="B955" s="82"/>
      <c r="E955" s="82"/>
      <c r="G955" s="82"/>
    </row>
    <row r="956">
      <c r="A956" s="100"/>
      <c r="B956" s="82"/>
      <c r="E956" s="82"/>
      <c r="G956" s="82"/>
    </row>
    <row r="957">
      <c r="A957" s="100"/>
      <c r="B957" s="82"/>
      <c r="E957" s="82"/>
      <c r="G957" s="82"/>
    </row>
    <row r="958">
      <c r="A958" s="100"/>
      <c r="B958" s="82"/>
      <c r="E958" s="82"/>
      <c r="G958" s="82"/>
    </row>
    <row r="959">
      <c r="A959" s="100"/>
      <c r="B959" s="82"/>
      <c r="E959" s="82"/>
      <c r="G959" s="82"/>
    </row>
    <row r="960">
      <c r="A960" s="100"/>
      <c r="B960" s="82"/>
      <c r="E960" s="82"/>
      <c r="G960" s="82"/>
    </row>
    <row r="961">
      <c r="A961" s="100"/>
      <c r="B961" s="82"/>
      <c r="E961" s="82"/>
      <c r="G961" s="82"/>
    </row>
    <row r="962">
      <c r="A962" s="100"/>
      <c r="B962" s="82"/>
      <c r="E962" s="82"/>
      <c r="G962" s="82"/>
    </row>
    <row r="963">
      <c r="A963" s="100"/>
      <c r="B963" s="82"/>
      <c r="E963" s="82"/>
      <c r="G963" s="82"/>
    </row>
    <row r="964">
      <c r="A964" s="100"/>
      <c r="B964" s="82"/>
      <c r="E964" s="82"/>
      <c r="G964" s="82"/>
    </row>
    <row r="965">
      <c r="A965" s="100"/>
      <c r="B965" s="82"/>
      <c r="E965" s="82"/>
      <c r="G965" s="82"/>
    </row>
    <row r="966">
      <c r="A966" s="100"/>
      <c r="B966" s="82"/>
      <c r="E966" s="82"/>
      <c r="G966" s="82"/>
    </row>
    <row r="967">
      <c r="A967" s="100"/>
      <c r="B967" s="82"/>
      <c r="E967" s="82"/>
      <c r="G967" s="82"/>
    </row>
    <row r="968">
      <c r="A968" s="100"/>
      <c r="B968" s="82"/>
      <c r="E968" s="82"/>
      <c r="G968" s="82"/>
    </row>
    <row r="969">
      <c r="A969" s="100"/>
      <c r="B969" s="82"/>
      <c r="E969" s="82"/>
      <c r="G969" s="82"/>
    </row>
    <row r="970">
      <c r="A970" s="100"/>
      <c r="B970" s="82"/>
      <c r="E970" s="82"/>
      <c r="G970" s="82"/>
    </row>
    <row r="971">
      <c r="A971" s="100"/>
      <c r="B971" s="82"/>
      <c r="E971" s="82"/>
      <c r="G971" s="82"/>
    </row>
    <row r="972">
      <c r="A972" s="100"/>
      <c r="B972" s="82"/>
      <c r="E972" s="82"/>
      <c r="G972" s="82"/>
    </row>
    <row r="973">
      <c r="A973" s="100"/>
      <c r="B973" s="82"/>
      <c r="E973" s="82"/>
      <c r="G973" s="82"/>
    </row>
    <row r="974">
      <c r="A974" s="100"/>
      <c r="B974" s="82"/>
      <c r="E974" s="82"/>
      <c r="G974" s="82"/>
    </row>
    <row r="975">
      <c r="A975" s="100"/>
      <c r="B975" s="82"/>
      <c r="E975" s="82"/>
      <c r="G975" s="82"/>
    </row>
    <row r="976">
      <c r="A976" s="100"/>
      <c r="B976" s="82"/>
      <c r="E976" s="82"/>
      <c r="G976" s="82"/>
    </row>
    <row r="977">
      <c r="A977" s="100"/>
      <c r="B977" s="82"/>
      <c r="E977" s="82"/>
      <c r="G977" s="82"/>
    </row>
    <row r="978">
      <c r="A978" s="100"/>
      <c r="B978" s="82"/>
      <c r="E978" s="82"/>
      <c r="G978" s="82"/>
    </row>
    <row r="979">
      <c r="A979" s="100"/>
      <c r="B979" s="82"/>
      <c r="E979" s="82"/>
      <c r="G979" s="82"/>
    </row>
    <row r="980">
      <c r="A980" s="100"/>
      <c r="B980" s="82"/>
      <c r="E980" s="82"/>
      <c r="G980" s="82"/>
    </row>
    <row r="981">
      <c r="A981" s="100"/>
      <c r="B981" s="82"/>
      <c r="E981" s="82"/>
      <c r="G981" s="82"/>
    </row>
    <row r="982">
      <c r="A982" s="100"/>
      <c r="B982" s="82"/>
      <c r="E982" s="82"/>
      <c r="G982" s="82"/>
    </row>
    <row r="983">
      <c r="A983" s="100"/>
      <c r="B983" s="82"/>
      <c r="E983" s="82"/>
      <c r="G983" s="82"/>
    </row>
    <row r="984">
      <c r="A984" s="100"/>
      <c r="B984" s="82"/>
      <c r="E984" s="82"/>
      <c r="G984" s="82"/>
    </row>
    <row r="985">
      <c r="A985" s="100"/>
      <c r="B985" s="82"/>
      <c r="E985" s="82"/>
      <c r="G985" s="82"/>
    </row>
    <row r="986">
      <c r="A986" s="100"/>
      <c r="B986" s="82"/>
      <c r="E986" s="82"/>
      <c r="G986" s="82"/>
    </row>
    <row r="987">
      <c r="A987" s="100"/>
      <c r="B987" s="82"/>
      <c r="E987" s="82"/>
      <c r="G987" s="82"/>
    </row>
    <row r="988">
      <c r="A988" s="100"/>
      <c r="B988" s="82"/>
      <c r="E988" s="82"/>
      <c r="G988" s="82"/>
    </row>
    <row r="989">
      <c r="A989" s="100"/>
      <c r="B989" s="82"/>
      <c r="E989" s="82"/>
      <c r="G989" s="82"/>
    </row>
    <row r="990">
      <c r="A990" s="100"/>
      <c r="B990" s="82"/>
      <c r="E990" s="82"/>
      <c r="G990" s="82"/>
    </row>
    <row r="991">
      <c r="A991" s="100"/>
      <c r="B991" s="82"/>
      <c r="E991" s="82"/>
      <c r="G991" s="82"/>
    </row>
    <row r="992">
      <c r="A992" s="100"/>
      <c r="B992" s="82"/>
      <c r="E992" s="82"/>
      <c r="G992" s="82"/>
    </row>
    <row r="993">
      <c r="A993" s="100"/>
      <c r="B993" s="82"/>
      <c r="E993" s="82"/>
      <c r="G993" s="82"/>
    </row>
    <row r="994">
      <c r="A994" s="100"/>
      <c r="B994" s="82"/>
      <c r="E994" s="82"/>
      <c r="G994" s="82"/>
    </row>
    <row r="995">
      <c r="A995" s="100"/>
      <c r="B995" s="82"/>
      <c r="E995" s="82"/>
      <c r="G995" s="82"/>
    </row>
    <row r="996">
      <c r="A996" s="100"/>
      <c r="B996" s="82"/>
      <c r="E996" s="82"/>
      <c r="G996" s="82"/>
    </row>
    <row r="997">
      <c r="A997" s="100"/>
      <c r="B997" s="82"/>
      <c r="E997" s="82"/>
      <c r="G997" s="82"/>
    </row>
    <row r="998">
      <c r="A998" s="100"/>
      <c r="B998" s="82"/>
      <c r="E998" s="82"/>
      <c r="G998" s="82"/>
    </row>
    <row r="999">
      <c r="A999" s="100"/>
      <c r="B999" s="82"/>
      <c r="E999" s="82"/>
      <c r="G999" s="82"/>
    </row>
    <row r="1000">
      <c r="A1000" s="100"/>
      <c r="B1000" s="82"/>
      <c r="E1000" s="82"/>
      <c r="G1000" s="82"/>
    </row>
    <row r="1001">
      <c r="A1001" s="100"/>
      <c r="B1001" s="82"/>
      <c r="E1001" s="82"/>
      <c r="G1001" s="82"/>
    </row>
    <row r="1002">
      <c r="A1002" s="100"/>
      <c r="B1002" s="82"/>
      <c r="E1002" s="82"/>
      <c r="G1002" s="82"/>
    </row>
    <row r="1003">
      <c r="A1003" s="100"/>
      <c r="B1003" s="82"/>
      <c r="E1003" s="82"/>
      <c r="G1003" s="82"/>
    </row>
    <row r="1004">
      <c r="A1004" s="100"/>
      <c r="B1004" s="82"/>
      <c r="E1004" s="82"/>
      <c r="G1004" s="82"/>
    </row>
    <row r="1005">
      <c r="A1005" s="100"/>
      <c r="B1005" s="82"/>
      <c r="E1005" s="82"/>
      <c r="G1005" s="82"/>
    </row>
    <row r="1006">
      <c r="A1006" s="100"/>
      <c r="B1006" s="82"/>
      <c r="E1006" s="82"/>
      <c r="G1006" s="82"/>
    </row>
    <row r="1007">
      <c r="A1007" s="100"/>
      <c r="B1007" s="82"/>
      <c r="E1007" s="82"/>
      <c r="G1007" s="82"/>
    </row>
    <row r="1008">
      <c r="A1008" s="100"/>
      <c r="B1008" s="82"/>
      <c r="E1008" s="82"/>
      <c r="G1008" s="82"/>
    </row>
    <row r="1009">
      <c r="A1009" s="100"/>
      <c r="B1009" s="82"/>
      <c r="E1009" s="82"/>
      <c r="G1009" s="82"/>
    </row>
    <row r="1010">
      <c r="A1010" s="100"/>
      <c r="B1010" s="82"/>
      <c r="E1010" s="82"/>
      <c r="G1010" s="82"/>
    </row>
    <row r="1011">
      <c r="A1011" s="100"/>
      <c r="B1011" s="82"/>
      <c r="E1011" s="82"/>
      <c r="G1011" s="82"/>
    </row>
    <row r="1012">
      <c r="A1012" s="100"/>
      <c r="B1012" s="82"/>
      <c r="E1012" s="82"/>
      <c r="G1012" s="82"/>
    </row>
    <row r="1013">
      <c r="A1013" s="100"/>
      <c r="B1013" s="82"/>
      <c r="E1013" s="82"/>
      <c r="G1013" s="82"/>
    </row>
    <row r="1014">
      <c r="A1014" s="100"/>
      <c r="B1014" s="82"/>
      <c r="E1014" s="82"/>
      <c r="G1014" s="82"/>
    </row>
    <row r="1015">
      <c r="A1015" s="100"/>
      <c r="B1015" s="82"/>
      <c r="E1015" s="82"/>
      <c r="G1015" s="82"/>
    </row>
    <row r="1016">
      <c r="A1016" s="100"/>
      <c r="B1016" s="82"/>
      <c r="E1016" s="82"/>
      <c r="G1016" s="82"/>
    </row>
    <row r="1017">
      <c r="A1017" s="100"/>
      <c r="B1017" s="82"/>
      <c r="E1017" s="82"/>
      <c r="G1017" s="82"/>
    </row>
    <row r="1018">
      <c r="A1018" s="100"/>
      <c r="B1018" s="82"/>
      <c r="E1018" s="82"/>
      <c r="G1018" s="82"/>
    </row>
  </sheetData>
  <mergeCells count="3">
    <mergeCell ref="C2:D2"/>
    <mergeCell ref="E2:F2"/>
    <mergeCell ref="G2:H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</cols>
  <sheetData>
    <row r="1">
      <c r="A1" s="7" t="s">
        <v>96</v>
      </c>
      <c r="B1" s="7" t="s">
        <v>97</v>
      </c>
      <c r="C1" s="7" t="s">
        <v>98</v>
      </c>
    </row>
    <row r="2">
      <c r="A2" s="7" t="s">
        <v>99</v>
      </c>
      <c r="B2" s="7" t="s">
        <v>68</v>
      </c>
      <c r="C2" s="7">
        <v>0.631787462260468</v>
      </c>
    </row>
    <row r="3">
      <c r="A3" s="7" t="s">
        <v>100</v>
      </c>
      <c r="B3" s="7" t="s">
        <v>68</v>
      </c>
      <c r="C3" s="7">
        <v>0.632355163340107</v>
      </c>
    </row>
    <row r="4">
      <c r="A4" s="7" t="s">
        <v>101</v>
      </c>
      <c r="B4" s="7" t="s">
        <v>68</v>
      </c>
      <c r="C4" s="7">
        <v>0.623665130624197</v>
      </c>
    </row>
    <row r="5">
      <c r="A5" s="7" t="s">
        <v>102</v>
      </c>
      <c r="B5" s="7" t="s">
        <v>68</v>
      </c>
      <c r="C5" s="7">
        <v>0.632205916810062</v>
      </c>
    </row>
    <row r="6">
      <c r="A6" s="7" t="s">
        <v>103</v>
      </c>
      <c r="B6" s="7" t="s">
        <v>68</v>
      </c>
      <c r="C6" s="7">
        <v>0.619132771075762</v>
      </c>
    </row>
    <row r="7">
      <c r="A7" s="7" t="s">
        <v>104</v>
      </c>
      <c r="B7" s="7" t="s">
        <v>68</v>
      </c>
      <c r="C7" s="7">
        <v>0.633863956317775</v>
      </c>
    </row>
    <row r="8">
      <c r="A8" s="7" t="s">
        <v>105</v>
      </c>
      <c r="B8" s="7" t="s">
        <v>68</v>
      </c>
      <c r="C8" s="7">
        <v>0.621040280030557</v>
      </c>
    </row>
    <row r="9">
      <c r="A9" s="7" t="s">
        <v>106</v>
      </c>
      <c r="B9" s="7" t="s">
        <v>68</v>
      </c>
      <c r="C9" s="7">
        <v>0.599118413697072</v>
      </c>
    </row>
    <row r="10">
      <c r="A10" s="7" t="s">
        <v>107</v>
      </c>
      <c r="B10" s="7" t="s">
        <v>68</v>
      </c>
      <c r="C10" s="7">
        <v>0.624855407556112</v>
      </c>
    </row>
    <row r="11">
      <c r="A11" s="7" t="s">
        <v>108</v>
      </c>
      <c r="B11" s="7" t="s">
        <v>68</v>
      </c>
      <c r="C11" s="7">
        <v>0.640317661477475</v>
      </c>
    </row>
    <row r="12">
      <c r="A12" s="7" t="s">
        <v>110</v>
      </c>
      <c r="B12" s="7" t="s">
        <v>68</v>
      </c>
      <c r="C12" s="7">
        <v>0.626620634285161</v>
      </c>
    </row>
    <row r="13">
      <c r="A13" s="7" t="s">
        <v>111</v>
      </c>
      <c r="B13" s="7" t="s">
        <v>68</v>
      </c>
      <c r="C13" s="7">
        <v>0.611749663625608</v>
      </c>
    </row>
    <row r="14">
      <c r="A14" s="7" t="s">
        <v>112</v>
      </c>
      <c r="B14" s="7" t="s">
        <v>68</v>
      </c>
      <c r="C14" s="7">
        <v>0.637043794593181</v>
      </c>
    </row>
    <row r="15">
      <c r="A15" s="7" t="s">
        <v>113</v>
      </c>
      <c r="B15" s="7" t="s">
        <v>68</v>
      </c>
      <c r="C15" s="7">
        <v>0.63096464489449</v>
      </c>
    </row>
    <row r="16">
      <c r="A16" s="7" t="s">
        <v>114</v>
      </c>
      <c r="B16" s="7" t="s">
        <v>68</v>
      </c>
      <c r="C16" s="7">
        <v>0.64151186537621</v>
      </c>
    </row>
    <row r="17">
      <c r="A17" s="7" t="s">
        <v>115</v>
      </c>
      <c r="B17" s="7" t="s">
        <v>68</v>
      </c>
      <c r="C17" s="7">
        <v>0.608500522443986</v>
      </c>
    </row>
    <row r="18">
      <c r="A18" s="7" t="s">
        <v>116</v>
      </c>
      <c r="B18" s="7" t="s">
        <v>68</v>
      </c>
      <c r="C18" s="7">
        <v>0.592810008534732</v>
      </c>
    </row>
    <row r="19">
      <c r="A19" s="7" t="s">
        <v>117</v>
      </c>
      <c r="B19" s="7" t="s">
        <v>68</v>
      </c>
      <c r="C19" s="7">
        <v>0.611137434520519</v>
      </c>
    </row>
    <row r="20">
      <c r="A20" s="7" t="s">
        <v>118</v>
      </c>
      <c r="B20" s="7" t="s">
        <v>68</v>
      </c>
      <c r="C20" s="7">
        <v>0.634504615288617</v>
      </c>
    </row>
    <row r="21">
      <c r="A21" s="7" t="s">
        <v>119</v>
      </c>
      <c r="B21" s="7" t="s">
        <v>68</v>
      </c>
      <c r="C21" s="7">
        <v>0.615371009437579</v>
      </c>
    </row>
    <row r="22">
      <c r="A22" s="7" t="s">
        <v>120</v>
      </c>
      <c r="B22" s="7" t="s">
        <v>68</v>
      </c>
      <c r="C22" s="7">
        <v>0.639468108366998</v>
      </c>
    </row>
    <row r="23">
      <c r="A23" s="7" t="s">
        <v>121</v>
      </c>
      <c r="B23" s="7" t="s">
        <v>68</v>
      </c>
      <c r="C23" s="7">
        <v>0.638654812715595</v>
      </c>
    </row>
    <row r="24">
      <c r="A24" s="7" t="s">
        <v>122</v>
      </c>
      <c r="B24" s="7" t="s">
        <v>68</v>
      </c>
      <c r="C24" s="7">
        <v>0.621561027511779</v>
      </c>
    </row>
    <row r="25">
      <c r="A25" s="7" t="s">
        <v>123</v>
      </c>
      <c r="B25" s="7" t="s">
        <v>68</v>
      </c>
      <c r="C25" s="7">
        <v>0.639646077436995</v>
      </c>
    </row>
    <row r="26">
      <c r="A26" s="7" t="s">
        <v>124</v>
      </c>
      <c r="B26" s="7" t="s">
        <v>68</v>
      </c>
      <c r="C26" s="7">
        <v>0.546258468663482</v>
      </c>
    </row>
    <row r="27">
      <c r="A27" s="7" t="s">
        <v>125</v>
      </c>
      <c r="B27" s="7" t="s">
        <v>68</v>
      </c>
      <c r="C27" s="7">
        <v>0.457442229094388</v>
      </c>
    </row>
    <row r="28">
      <c r="A28" s="7" t="s">
        <v>126</v>
      </c>
      <c r="B28" s="7" t="s">
        <v>68</v>
      </c>
      <c r="C28" s="7">
        <v>0.420755678424062</v>
      </c>
    </row>
    <row r="29">
      <c r="A29" s="7" t="s">
        <v>127</v>
      </c>
      <c r="B29" s="7" t="s">
        <v>68</v>
      </c>
      <c r="C29" s="7">
        <v>0.50020370939895</v>
      </c>
    </row>
    <row r="30">
      <c r="A30" s="7" t="s">
        <v>128</v>
      </c>
      <c r="B30" s="7" t="s">
        <v>68</v>
      </c>
      <c r="C30" s="7">
        <v>0.505656304289516</v>
      </c>
    </row>
    <row r="31">
      <c r="A31" s="7" t="s">
        <v>129</v>
      </c>
      <c r="B31" s="7" t="s">
        <v>68</v>
      </c>
      <c r="C31" s="7">
        <v>0.574595032322791</v>
      </c>
    </row>
    <row r="32">
      <c r="A32" s="7" t="s">
        <v>130</v>
      </c>
      <c r="B32" s="7" t="s">
        <v>68</v>
      </c>
      <c r="C32" s="7">
        <v>0.506150051999198</v>
      </c>
    </row>
    <row r="33">
      <c r="A33" s="7" t="s">
        <v>131</v>
      </c>
      <c r="B33" s="7" t="s">
        <v>68</v>
      </c>
      <c r="C33" s="7">
        <v>0.475889580830867</v>
      </c>
    </row>
    <row r="34">
      <c r="A34" s="7" t="s">
        <v>132</v>
      </c>
      <c r="B34" s="7" t="s">
        <v>68</v>
      </c>
      <c r="C34" s="7">
        <v>0.537368496679701</v>
      </c>
    </row>
    <row r="35">
      <c r="A35" s="7" t="s">
        <v>133</v>
      </c>
      <c r="B35" s="7" t="s">
        <v>68</v>
      </c>
      <c r="C35" s="7">
        <v>0.545763744390765</v>
      </c>
    </row>
    <row r="36">
      <c r="A36" s="7" t="s">
        <v>134</v>
      </c>
      <c r="B36" s="7" t="s">
        <v>68</v>
      </c>
      <c r="C36" s="7">
        <v>0.484593915089339</v>
      </c>
    </row>
    <row r="37">
      <c r="A37" s="7" t="s">
        <v>135</v>
      </c>
      <c r="B37" s="7" t="s">
        <v>68</v>
      </c>
      <c r="C37" s="7">
        <v>0.448670629551751</v>
      </c>
    </row>
    <row r="38">
      <c r="A38" s="7" t="s">
        <v>136</v>
      </c>
      <c r="B38" s="7" t="s">
        <v>68</v>
      </c>
      <c r="C38" s="7">
        <v>0.525659575124815</v>
      </c>
    </row>
    <row r="39">
      <c r="A39" s="7" t="s">
        <v>137</v>
      </c>
      <c r="B39" s="7" t="s">
        <v>68</v>
      </c>
      <c r="C39" s="7">
        <v>0.504744781778472</v>
      </c>
    </row>
    <row r="40">
      <c r="A40" s="7" t="s">
        <v>138</v>
      </c>
      <c r="B40" s="7" t="s">
        <v>68</v>
      </c>
      <c r="C40" s="7">
        <v>0.566473395147322</v>
      </c>
    </row>
    <row r="41">
      <c r="A41" s="7" t="s">
        <v>139</v>
      </c>
      <c r="B41" s="7" t="s">
        <v>68</v>
      </c>
      <c r="C41" s="7">
        <v>0.524902705155418</v>
      </c>
    </row>
    <row r="42">
      <c r="A42" s="7" t="s">
        <v>140</v>
      </c>
      <c r="B42" s="7" t="s">
        <v>68</v>
      </c>
      <c r="C42" s="7">
        <v>0.484365260002208</v>
      </c>
    </row>
    <row r="43">
      <c r="A43" s="7" t="s">
        <v>141</v>
      </c>
      <c r="B43" s="7" t="s">
        <v>68</v>
      </c>
      <c r="C43" s="7">
        <v>0.558510124726803</v>
      </c>
    </row>
    <row r="44">
      <c r="A44" s="7" t="s">
        <v>142</v>
      </c>
      <c r="B44" s="7" t="s">
        <v>68</v>
      </c>
      <c r="C44" s="7">
        <v>0.551936514723647</v>
      </c>
    </row>
    <row r="45">
      <c r="A45" s="7" t="s">
        <v>143</v>
      </c>
      <c r="B45" s="7" t="s">
        <v>68</v>
      </c>
      <c r="C45" s="7">
        <v>0.524160111536237</v>
      </c>
    </row>
    <row r="46">
      <c r="A46" s="7" t="s">
        <v>144</v>
      </c>
      <c r="B46" s="7" t="s">
        <v>68</v>
      </c>
      <c r="C46" s="7">
        <v>0.56244898871882</v>
      </c>
    </row>
    <row r="47">
      <c r="A47" s="7" t="s">
        <v>145</v>
      </c>
      <c r="B47" s="7" t="s">
        <v>68</v>
      </c>
      <c r="C47" s="7">
        <v>0.572478446675392</v>
      </c>
    </row>
    <row r="48">
      <c r="A48" s="7" t="s">
        <v>146</v>
      </c>
      <c r="B48" s="7" t="s">
        <v>68</v>
      </c>
      <c r="C48" s="7">
        <v>0.54878835786238</v>
      </c>
    </row>
    <row r="49">
      <c r="A49" s="7" t="s">
        <v>147</v>
      </c>
      <c r="B49" s="7" t="s">
        <v>68</v>
      </c>
      <c r="C49" s="7">
        <v>0.589474431948378</v>
      </c>
    </row>
    <row r="50">
      <c r="A50" s="7" t="s">
        <v>148</v>
      </c>
      <c r="B50" s="7" t="s">
        <v>68</v>
      </c>
      <c r="C50" s="7">
        <v>0.586439666342686</v>
      </c>
    </row>
    <row r="51">
      <c r="A51" s="7" t="s">
        <v>149</v>
      </c>
      <c r="B51" s="7" t="s">
        <v>68</v>
      </c>
      <c r="C51" s="7">
        <v>0.535090217689681</v>
      </c>
    </row>
    <row r="52">
      <c r="A52" s="7" t="s">
        <v>150</v>
      </c>
      <c r="B52" s="7" t="s">
        <v>68</v>
      </c>
      <c r="C52" s="7">
        <v>0.529201648845143</v>
      </c>
    </row>
    <row r="53">
      <c r="A53" s="7" t="s">
        <v>151</v>
      </c>
      <c r="B53" s="7" t="s">
        <v>68</v>
      </c>
      <c r="C53" s="7">
        <v>0.53406959490258</v>
      </c>
    </row>
    <row r="54">
      <c r="A54" s="7" t="s">
        <v>152</v>
      </c>
      <c r="B54" s="7" t="s">
        <v>68</v>
      </c>
      <c r="C54" s="7">
        <v>0.575989677858439</v>
      </c>
    </row>
    <row r="55">
      <c r="A55" s="7" t="s">
        <v>153</v>
      </c>
      <c r="B55" s="7" t="s">
        <v>68</v>
      </c>
      <c r="C55" s="7">
        <v>0.587539094270107</v>
      </c>
    </row>
    <row r="56">
      <c r="A56" s="7" t="s">
        <v>154</v>
      </c>
      <c r="B56" s="7" t="s">
        <v>68</v>
      </c>
      <c r="C56" s="7">
        <v>0.57620875615112</v>
      </c>
    </row>
    <row r="57">
      <c r="A57" s="7" t="s">
        <v>155</v>
      </c>
      <c r="B57" s="7" t="s">
        <v>68</v>
      </c>
      <c r="C57" s="7">
        <v>0.565967515491866</v>
      </c>
    </row>
    <row r="58">
      <c r="A58" s="7" t="s">
        <v>156</v>
      </c>
      <c r="B58" s="7" t="s">
        <v>68</v>
      </c>
      <c r="C58" s="7">
        <v>0.577055105263409</v>
      </c>
    </row>
    <row r="59">
      <c r="A59" s="7" t="s">
        <v>157</v>
      </c>
      <c r="B59" s="7" t="s">
        <v>68</v>
      </c>
      <c r="C59" s="7">
        <v>0.613750839783722</v>
      </c>
    </row>
    <row r="60">
      <c r="A60" s="7" t="s">
        <v>158</v>
      </c>
      <c r="B60" s="7" t="s">
        <v>68</v>
      </c>
      <c r="C60" s="7">
        <v>0.274748595417237</v>
      </c>
    </row>
    <row r="61">
      <c r="A61" s="7" t="s">
        <v>159</v>
      </c>
      <c r="B61" s="7" t="s">
        <v>68</v>
      </c>
      <c r="C61" s="7">
        <v>0.308453277816885</v>
      </c>
    </row>
    <row r="62">
      <c r="A62" s="7" t="s">
        <v>160</v>
      </c>
      <c r="B62" s="7" t="s">
        <v>68</v>
      </c>
      <c r="C62" s="7">
        <v>0.275567673878061</v>
      </c>
    </row>
    <row r="63">
      <c r="A63" s="7" t="s">
        <v>161</v>
      </c>
      <c r="B63" s="7" t="s">
        <v>68</v>
      </c>
      <c r="C63" s="7">
        <v>0.603423837159287</v>
      </c>
    </row>
    <row r="64">
      <c r="A64" s="7" t="s">
        <v>162</v>
      </c>
      <c r="B64" s="7" t="s">
        <v>68</v>
      </c>
      <c r="C64" s="7">
        <v>0.613783712375261</v>
      </c>
    </row>
    <row r="65">
      <c r="A65" s="7" t="s">
        <v>163</v>
      </c>
      <c r="B65" s="7" t="s">
        <v>68</v>
      </c>
      <c r="C65" s="7">
        <v>0.583927636565709</v>
      </c>
    </row>
    <row r="66">
      <c r="A66" s="7" t="s">
        <v>164</v>
      </c>
      <c r="B66" s="7" t="s">
        <v>68</v>
      </c>
      <c r="C66" s="7">
        <v>0.575833883301639</v>
      </c>
    </row>
    <row r="67">
      <c r="A67" s="7" t="s">
        <v>165</v>
      </c>
      <c r="B67" s="7" t="s">
        <v>68</v>
      </c>
      <c r="C67" s="7">
        <v>0.582732347904307</v>
      </c>
    </row>
    <row r="68">
      <c r="A68" s="7" t="s">
        <v>166</v>
      </c>
      <c r="B68" s="7" t="s">
        <v>68</v>
      </c>
      <c r="C68" s="7">
        <v>0.612546907727468</v>
      </c>
    </row>
    <row r="69">
      <c r="A69" s="7" t="s">
        <v>167</v>
      </c>
      <c r="B69" s="7" t="s">
        <v>68</v>
      </c>
      <c r="C69" s="7">
        <v>0.608184915595477</v>
      </c>
    </row>
    <row r="70">
      <c r="A70" s="7" t="s">
        <v>168</v>
      </c>
      <c r="B70" s="7" t="s">
        <v>68</v>
      </c>
      <c r="C70" s="7">
        <v>0.614143324352865</v>
      </c>
    </row>
    <row r="71">
      <c r="A71" s="7" t="s">
        <v>169</v>
      </c>
      <c r="B71" s="7" t="s">
        <v>68</v>
      </c>
      <c r="C71" s="7">
        <v>0.624175131263906</v>
      </c>
    </row>
    <row r="72">
      <c r="A72" s="7" t="s">
        <v>170</v>
      </c>
      <c r="B72" s="7" t="s">
        <v>68</v>
      </c>
      <c r="C72" s="7">
        <v>0.62506442721654</v>
      </c>
    </row>
    <row r="73">
      <c r="A73" s="7" t="s">
        <v>171</v>
      </c>
      <c r="B73" s="7" t="s">
        <v>68</v>
      </c>
      <c r="C73" s="7">
        <v>0.626618245702897</v>
      </c>
    </row>
    <row r="74">
      <c r="A74" s="7" t="s">
        <v>172</v>
      </c>
      <c r="B74" s="7" t="s">
        <v>68</v>
      </c>
      <c r="C74" s="7">
        <v>0.284838731621514</v>
      </c>
    </row>
    <row r="75">
      <c r="A75" s="7" t="s">
        <v>173</v>
      </c>
      <c r="B75" s="7" t="s">
        <v>68</v>
      </c>
      <c r="C75" s="7">
        <v>0.220620940157727</v>
      </c>
    </row>
    <row r="76">
      <c r="A76" s="7" t="s">
        <v>174</v>
      </c>
      <c r="B76" s="7" t="s">
        <v>68</v>
      </c>
      <c r="C76" s="7">
        <v>0.276071165635297</v>
      </c>
    </row>
    <row r="77">
      <c r="A77" s="7" t="s">
        <v>175</v>
      </c>
      <c r="B77" s="7" t="s">
        <v>68</v>
      </c>
      <c r="C77" s="7">
        <v>0.205454448370073</v>
      </c>
    </row>
    <row r="78">
      <c r="A78" s="7" t="s">
        <v>176</v>
      </c>
      <c r="B78" s="7" t="s">
        <v>68</v>
      </c>
      <c r="C78" s="7">
        <v>0.321366270176905</v>
      </c>
    </row>
    <row r="79">
      <c r="A79" s="7" t="s">
        <v>177</v>
      </c>
      <c r="B79" s="7" t="s">
        <v>68</v>
      </c>
      <c r="C79" s="7">
        <v>0.289452980117563</v>
      </c>
    </row>
    <row r="80">
      <c r="A80" s="7" t="s">
        <v>178</v>
      </c>
      <c r="B80" s="7" t="s">
        <v>68</v>
      </c>
      <c r="C80" s="7">
        <v>0.267289569310955</v>
      </c>
    </row>
    <row r="81">
      <c r="A81" s="7" t="s">
        <v>179</v>
      </c>
      <c r="B81" s="7" t="s">
        <v>68</v>
      </c>
      <c r="C81" s="7">
        <v>0.321813202069703</v>
      </c>
    </row>
    <row r="82">
      <c r="A82" s="7" t="s">
        <v>180</v>
      </c>
      <c r="B82" s="7" t="s">
        <v>68</v>
      </c>
      <c r="C82" s="7">
        <v>0.256873382313824</v>
      </c>
    </row>
    <row r="83">
      <c r="A83" s="7" t="s">
        <v>181</v>
      </c>
      <c r="B83" s="7" t="s">
        <v>68</v>
      </c>
      <c r="C83" s="7">
        <v>0.288938661231155</v>
      </c>
    </row>
    <row r="84">
      <c r="A84" s="7" t="s">
        <v>182</v>
      </c>
      <c r="B84" s="7" t="s">
        <v>68</v>
      </c>
      <c r="C84" s="7">
        <v>0.245367655632764</v>
      </c>
    </row>
    <row r="85">
      <c r="A85" s="7" t="s">
        <v>183</v>
      </c>
      <c r="B85" s="7" t="s">
        <v>68</v>
      </c>
      <c r="C85" s="7">
        <v>0.304614647958481</v>
      </c>
    </row>
    <row r="86">
      <c r="A86" s="7" t="s">
        <v>184</v>
      </c>
      <c r="B86" s="7" t="s">
        <v>68</v>
      </c>
      <c r="C86" s="7">
        <v>0.217503977970605</v>
      </c>
    </row>
    <row r="87">
      <c r="A87" s="7" t="s">
        <v>185</v>
      </c>
      <c r="B87" s="7" t="s">
        <v>68</v>
      </c>
      <c r="C87" s="7">
        <v>0.32708042578216</v>
      </c>
    </row>
    <row r="88">
      <c r="A88" s="7" t="s">
        <v>186</v>
      </c>
      <c r="B88" s="7" t="s">
        <v>68</v>
      </c>
      <c r="C88" s="7">
        <v>0.279935338785395</v>
      </c>
    </row>
    <row r="89">
      <c r="A89" s="7" t="s">
        <v>187</v>
      </c>
      <c r="B89" s="7" t="s">
        <v>68</v>
      </c>
      <c r="C89" s="7">
        <v>0.286129356930116</v>
      </c>
    </row>
    <row r="90">
      <c r="A90" s="7" t="s">
        <v>188</v>
      </c>
      <c r="B90" s="7" t="s">
        <v>68</v>
      </c>
      <c r="C90" s="7">
        <v>0.319578444985835</v>
      </c>
    </row>
    <row r="91">
      <c r="A91" s="7" t="s">
        <v>189</v>
      </c>
      <c r="B91" s="7" t="s">
        <v>68</v>
      </c>
      <c r="C91" s="7">
        <v>0.276068224253389</v>
      </c>
    </row>
    <row r="92">
      <c r="A92" s="7" t="s">
        <v>190</v>
      </c>
      <c r="B92" s="7" t="s">
        <v>68</v>
      </c>
      <c r="C92" s="7">
        <v>0.333605146281453</v>
      </c>
    </row>
    <row r="93">
      <c r="A93" s="7" t="s">
        <v>191</v>
      </c>
      <c r="B93" s="7" t="s">
        <v>68</v>
      </c>
      <c r="C93" s="7">
        <v>0.346718828537844</v>
      </c>
    </row>
    <row r="94">
      <c r="A94" s="7" t="s">
        <v>192</v>
      </c>
      <c r="B94" s="7" t="s">
        <v>68</v>
      </c>
      <c r="C94" s="7">
        <v>0.351693551112462</v>
      </c>
    </row>
    <row r="95">
      <c r="A95" s="7" t="s">
        <v>193</v>
      </c>
      <c r="B95" s="7" t="s">
        <v>68</v>
      </c>
      <c r="C95" s="7">
        <v>0.335225441305954</v>
      </c>
    </row>
    <row r="96">
      <c r="A96" s="7" t="s">
        <v>194</v>
      </c>
      <c r="B96" s="7" t="s">
        <v>68</v>
      </c>
      <c r="C96" s="7">
        <v>0.355719655045194</v>
      </c>
    </row>
    <row r="97">
      <c r="A97" s="7" t="s">
        <v>195</v>
      </c>
      <c r="B97" s="7" t="s">
        <v>68</v>
      </c>
      <c r="C97" s="7">
        <v>0.335136725244928</v>
      </c>
    </row>
    <row r="98">
      <c r="A98" s="7" t="s">
        <v>99</v>
      </c>
      <c r="B98" s="7" t="s">
        <v>69</v>
      </c>
      <c r="C98" s="7">
        <v>0.618216042484733</v>
      </c>
    </row>
    <row r="99">
      <c r="A99" s="7" t="s">
        <v>100</v>
      </c>
      <c r="B99" s="7" t="s">
        <v>69</v>
      </c>
      <c r="C99" s="7">
        <v>0.606225827187698</v>
      </c>
    </row>
    <row r="100">
      <c r="A100" s="7" t="s">
        <v>101</v>
      </c>
      <c r="B100" s="7" t="s">
        <v>69</v>
      </c>
      <c r="C100" s="7">
        <v>0.593928228651202</v>
      </c>
    </row>
    <row r="101">
      <c r="A101" s="7" t="s">
        <v>102</v>
      </c>
      <c r="B101" s="7" t="s">
        <v>69</v>
      </c>
      <c r="C101" s="7">
        <v>0.608399101396975</v>
      </c>
    </row>
    <row r="102">
      <c r="A102" s="7" t="s">
        <v>103</v>
      </c>
      <c r="B102" s="7" t="s">
        <v>69</v>
      </c>
      <c r="C102" s="7">
        <v>0.609825794098951</v>
      </c>
    </row>
    <row r="103">
      <c r="A103" s="7" t="s">
        <v>104</v>
      </c>
      <c r="B103" s="7" t="s">
        <v>69</v>
      </c>
      <c r="C103" s="7">
        <v>0.620327525532822</v>
      </c>
    </row>
    <row r="104">
      <c r="A104" s="7" t="s">
        <v>105</v>
      </c>
      <c r="B104" s="7" t="s">
        <v>69</v>
      </c>
      <c r="C104" s="7">
        <v>0.571358654012934</v>
      </c>
    </row>
    <row r="105">
      <c r="A105" s="7" t="s">
        <v>106</v>
      </c>
      <c r="B105" s="7" t="s">
        <v>69</v>
      </c>
      <c r="C105" s="7">
        <v>0.556089368232305</v>
      </c>
    </row>
    <row r="106">
      <c r="A106" s="7" t="s">
        <v>107</v>
      </c>
      <c r="B106" s="7" t="s">
        <v>69</v>
      </c>
      <c r="C106" s="7">
        <v>0.575399237958114</v>
      </c>
    </row>
    <row r="107">
      <c r="A107" s="7" t="s">
        <v>108</v>
      </c>
      <c r="B107" s="7" t="s">
        <v>69</v>
      </c>
      <c r="C107" s="7">
        <v>0.61354665612827</v>
      </c>
    </row>
    <row r="108">
      <c r="A108" s="7" t="s">
        <v>110</v>
      </c>
      <c r="B108" s="7" t="s">
        <v>69</v>
      </c>
      <c r="C108" s="7">
        <v>0.604801060798369</v>
      </c>
    </row>
    <row r="109">
      <c r="A109" s="7" t="s">
        <v>111</v>
      </c>
      <c r="B109" s="7" t="s">
        <v>69</v>
      </c>
      <c r="C109" s="7">
        <v>0.593068381381541</v>
      </c>
    </row>
    <row r="110">
      <c r="A110" s="7" t="s">
        <v>112</v>
      </c>
      <c r="B110" s="7" t="s">
        <v>69</v>
      </c>
      <c r="C110" s="7">
        <v>0.613377070073474</v>
      </c>
    </row>
    <row r="111">
      <c r="A111" s="7" t="s">
        <v>113</v>
      </c>
      <c r="B111" s="7" t="s">
        <v>69</v>
      </c>
      <c r="C111" s="7">
        <v>0.600610954953905</v>
      </c>
    </row>
    <row r="112">
      <c r="A112" s="7" t="s">
        <v>114</v>
      </c>
      <c r="B112" s="7" t="s">
        <v>69</v>
      </c>
      <c r="C112" s="7">
        <v>0.616926537922996</v>
      </c>
    </row>
    <row r="113">
      <c r="A113" s="7" t="s">
        <v>115</v>
      </c>
      <c r="B113" s="7" t="s">
        <v>69</v>
      </c>
      <c r="C113" s="7">
        <v>0.565727300132339</v>
      </c>
    </row>
    <row r="114">
      <c r="A114" s="7" t="s">
        <v>116</v>
      </c>
      <c r="B114" s="7" t="s">
        <v>69</v>
      </c>
      <c r="C114" s="7">
        <v>0.546164199804987</v>
      </c>
    </row>
    <row r="115">
      <c r="A115" s="7" t="s">
        <v>117</v>
      </c>
      <c r="B115" s="7" t="s">
        <v>69</v>
      </c>
      <c r="C115" s="7">
        <v>0.572886646676726</v>
      </c>
    </row>
    <row r="116">
      <c r="A116" s="7" t="s">
        <v>118</v>
      </c>
      <c r="B116" s="7" t="s">
        <v>69</v>
      </c>
      <c r="C116" s="7">
        <v>0.583394320061881</v>
      </c>
    </row>
    <row r="117">
      <c r="A117" s="7" t="s">
        <v>119</v>
      </c>
      <c r="B117" s="7" t="s">
        <v>69</v>
      </c>
      <c r="C117" s="7">
        <v>0.567564024262873</v>
      </c>
    </row>
    <row r="118">
      <c r="A118" s="7" t="s">
        <v>120</v>
      </c>
      <c r="B118" s="7" t="s">
        <v>69</v>
      </c>
      <c r="C118" s="7">
        <v>0.586910136857187</v>
      </c>
    </row>
    <row r="119">
      <c r="A119" s="7" t="s">
        <v>121</v>
      </c>
      <c r="B119" s="7" t="s">
        <v>69</v>
      </c>
      <c r="C119" s="7">
        <v>0.613462791622532</v>
      </c>
    </row>
    <row r="120">
      <c r="A120" s="7" t="s">
        <v>122</v>
      </c>
      <c r="B120" s="7" t="s">
        <v>69</v>
      </c>
      <c r="C120" s="7">
        <v>0.593407423447775</v>
      </c>
    </row>
    <row r="121">
      <c r="A121" s="7" t="s">
        <v>123</v>
      </c>
      <c r="B121" s="7" t="s">
        <v>69</v>
      </c>
      <c r="C121" s="7">
        <v>0.614953029601582</v>
      </c>
    </row>
    <row r="122">
      <c r="A122" s="7" t="s">
        <v>124</v>
      </c>
      <c r="B122" s="7" t="s">
        <v>69</v>
      </c>
      <c r="C122" s="7">
        <v>0.512012998082786</v>
      </c>
    </row>
    <row r="123">
      <c r="A123" s="7" t="s">
        <v>125</v>
      </c>
      <c r="B123" s="7" t="s">
        <v>69</v>
      </c>
      <c r="C123" s="7">
        <v>0.427462251024684</v>
      </c>
    </row>
    <row r="124">
      <c r="A124" s="7" t="s">
        <v>126</v>
      </c>
      <c r="B124" s="7" t="s">
        <v>69</v>
      </c>
      <c r="C124" s="7">
        <v>0.406669665894335</v>
      </c>
    </row>
    <row r="125">
      <c r="A125" s="7" t="s">
        <v>127</v>
      </c>
      <c r="B125" s="7" t="s">
        <v>69</v>
      </c>
      <c r="C125" s="7">
        <v>0.455431772223906</v>
      </c>
    </row>
    <row r="126">
      <c r="A126" s="7" t="s">
        <v>128</v>
      </c>
      <c r="B126" s="7" t="s">
        <v>69</v>
      </c>
      <c r="C126" s="7">
        <v>0.477122368956368</v>
      </c>
    </row>
    <row r="127">
      <c r="A127" s="7" t="s">
        <v>129</v>
      </c>
      <c r="B127" s="7" t="s">
        <v>69</v>
      </c>
      <c r="C127" s="7">
        <v>0.536730815284441</v>
      </c>
    </row>
    <row r="128">
      <c r="A128" s="7" t="s">
        <v>130</v>
      </c>
      <c r="B128" s="7" t="s">
        <v>69</v>
      </c>
      <c r="C128" s="7">
        <v>0.483697863941618</v>
      </c>
    </row>
    <row r="129">
      <c r="A129" s="7" t="s">
        <v>131</v>
      </c>
      <c r="B129" s="7" t="s">
        <v>69</v>
      </c>
      <c r="C129" s="7">
        <v>0.458674843698748</v>
      </c>
    </row>
    <row r="130">
      <c r="A130" s="7" t="s">
        <v>132</v>
      </c>
      <c r="B130" s="7" t="s">
        <v>69</v>
      </c>
      <c r="C130" s="7">
        <v>0.501922622275995</v>
      </c>
    </row>
    <row r="131">
      <c r="A131" s="7" t="s">
        <v>133</v>
      </c>
      <c r="B131" s="7" t="s">
        <v>69</v>
      </c>
      <c r="C131" s="7">
        <v>0.524262991587101</v>
      </c>
    </row>
    <row r="132">
      <c r="A132" s="7" t="s">
        <v>134</v>
      </c>
      <c r="B132" s="7" t="s">
        <v>69</v>
      </c>
      <c r="C132" s="7">
        <v>0.437797137788191</v>
      </c>
    </row>
    <row r="133">
      <c r="A133" s="7" t="s">
        <v>135</v>
      </c>
      <c r="B133" s="7" t="s">
        <v>69</v>
      </c>
      <c r="C133" s="7">
        <v>0.425797961990857</v>
      </c>
    </row>
    <row r="134">
      <c r="A134" s="7" t="s">
        <v>136</v>
      </c>
      <c r="B134" s="7" t="s">
        <v>69</v>
      </c>
      <c r="C134" s="7">
        <v>0.461380199716629</v>
      </c>
    </row>
    <row r="135">
      <c r="A135" s="7" t="s">
        <v>137</v>
      </c>
      <c r="B135" s="7" t="s">
        <v>69</v>
      </c>
      <c r="C135" s="7">
        <v>0.473406233934218</v>
      </c>
    </row>
    <row r="136">
      <c r="A136" s="7" t="s">
        <v>138</v>
      </c>
      <c r="B136" s="7" t="s">
        <v>69</v>
      </c>
      <c r="C136" s="7">
        <v>0.553100031612457</v>
      </c>
    </row>
    <row r="137">
      <c r="A137" s="7" t="s">
        <v>139</v>
      </c>
      <c r="B137" s="7" t="s">
        <v>69</v>
      </c>
      <c r="C137" s="7">
        <v>0.490732657736496</v>
      </c>
    </row>
    <row r="138">
      <c r="A138" s="7" t="s">
        <v>140</v>
      </c>
      <c r="B138" s="7" t="s">
        <v>69</v>
      </c>
      <c r="C138" s="7">
        <v>0.462912409254871</v>
      </c>
    </row>
    <row r="139">
      <c r="A139" s="7" t="s">
        <v>141</v>
      </c>
      <c r="B139" s="7" t="s">
        <v>69</v>
      </c>
      <c r="C139" s="7">
        <v>0.517676976323592</v>
      </c>
    </row>
    <row r="140">
      <c r="A140" s="7" t="s">
        <v>142</v>
      </c>
      <c r="B140" s="7" t="s">
        <v>69</v>
      </c>
      <c r="C140" s="7">
        <v>0.498994997427713</v>
      </c>
    </row>
    <row r="141">
      <c r="A141" s="7" t="s">
        <v>143</v>
      </c>
      <c r="B141" s="7" t="s">
        <v>69</v>
      </c>
      <c r="C141" s="7">
        <v>0.470635859098293</v>
      </c>
    </row>
    <row r="142">
      <c r="A142" s="7" t="s">
        <v>144</v>
      </c>
      <c r="B142" s="7" t="s">
        <v>69</v>
      </c>
      <c r="C142" s="7">
        <v>0.51522089820367</v>
      </c>
    </row>
    <row r="143">
      <c r="A143" s="7" t="s">
        <v>145</v>
      </c>
      <c r="B143" s="7" t="s">
        <v>69</v>
      </c>
      <c r="C143" s="7">
        <v>0.534765902917699</v>
      </c>
    </row>
    <row r="144">
      <c r="A144" s="7" t="s">
        <v>146</v>
      </c>
      <c r="B144" s="7" t="s">
        <v>69</v>
      </c>
      <c r="C144" s="7">
        <v>0.505572999105003</v>
      </c>
    </row>
    <row r="145">
      <c r="A145" s="7" t="s">
        <v>147</v>
      </c>
      <c r="B145" s="7" t="s">
        <v>69</v>
      </c>
      <c r="C145" s="7">
        <v>0.549558592400209</v>
      </c>
    </row>
    <row r="146">
      <c r="A146" s="7" t="s">
        <v>148</v>
      </c>
      <c r="B146" s="7" t="s">
        <v>69</v>
      </c>
      <c r="C146" s="7">
        <v>0.569895182181278</v>
      </c>
    </row>
    <row r="147">
      <c r="A147" s="7" t="s">
        <v>149</v>
      </c>
      <c r="B147" s="7" t="s">
        <v>69</v>
      </c>
      <c r="C147" s="7">
        <v>0.477750371254548</v>
      </c>
    </row>
    <row r="148">
      <c r="A148" s="7" t="s">
        <v>150</v>
      </c>
      <c r="B148" s="7" t="s">
        <v>69</v>
      </c>
      <c r="C148" s="7">
        <v>0.483904295812941</v>
      </c>
    </row>
    <row r="149">
      <c r="A149" s="7" t="s">
        <v>151</v>
      </c>
      <c r="B149" s="7" t="s">
        <v>69</v>
      </c>
      <c r="C149" s="7">
        <v>0.475719536119595</v>
      </c>
    </row>
    <row r="150">
      <c r="A150" s="7" t="s">
        <v>152</v>
      </c>
      <c r="B150" s="7" t="s">
        <v>69</v>
      </c>
      <c r="C150" s="7">
        <v>0.559368804437415</v>
      </c>
    </row>
    <row r="151">
      <c r="A151" s="7" t="s">
        <v>153</v>
      </c>
      <c r="B151" s="7" t="s">
        <v>69</v>
      </c>
      <c r="C151" s="7">
        <v>0.57206098369349</v>
      </c>
    </row>
    <row r="152">
      <c r="A152" s="7" t="s">
        <v>154</v>
      </c>
      <c r="B152" s="7" t="s">
        <v>69</v>
      </c>
      <c r="C152" s="7">
        <v>0.531274741257453</v>
      </c>
    </row>
    <row r="153">
      <c r="A153" s="7" t="s">
        <v>155</v>
      </c>
      <c r="B153" s="7" t="s">
        <v>69</v>
      </c>
      <c r="C153" s="7">
        <v>0.52126123955447</v>
      </c>
    </row>
    <row r="154">
      <c r="A154" s="7" t="s">
        <v>156</v>
      </c>
      <c r="B154" s="7" t="s">
        <v>69</v>
      </c>
      <c r="C154" s="7">
        <v>0.533034058413912</v>
      </c>
    </row>
    <row r="155">
      <c r="A155" s="7" t="s">
        <v>157</v>
      </c>
      <c r="B155" s="7" t="s">
        <v>69</v>
      </c>
      <c r="C155" s="7">
        <v>0.578681917130575</v>
      </c>
    </row>
    <row r="156">
      <c r="A156" s="7" t="s">
        <v>158</v>
      </c>
      <c r="B156" s="7" t="s">
        <v>69</v>
      </c>
      <c r="C156" s="7">
        <v>0.380177808740426</v>
      </c>
    </row>
    <row r="157">
      <c r="A157" s="7" t="s">
        <v>159</v>
      </c>
      <c r="B157" s="7" t="s">
        <v>69</v>
      </c>
      <c r="C157" s="7">
        <v>0.392648747715705</v>
      </c>
    </row>
    <row r="158">
      <c r="A158" s="7" t="s">
        <v>160</v>
      </c>
      <c r="B158" s="7" t="s">
        <v>69</v>
      </c>
      <c r="C158" s="7">
        <v>0.385180794814941</v>
      </c>
    </row>
    <row r="159">
      <c r="A159" s="7" t="s">
        <v>161</v>
      </c>
      <c r="B159" s="7" t="s">
        <v>69</v>
      </c>
      <c r="C159" s="7">
        <v>0.569305363972466</v>
      </c>
    </row>
    <row r="160">
      <c r="A160" s="7" t="s">
        <v>162</v>
      </c>
      <c r="B160" s="7" t="s">
        <v>69</v>
      </c>
      <c r="C160" s="7">
        <v>0.578299727991019</v>
      </c>
    </row>
    <row r="161">
      <c r="A161" s="7" t="s">
        <v>163</v>
      </c>
      <c r="B161" s="7" t="s">
        <v>69</v>
      </c>
      <c r="C161" s="7">
        <v>0.523712547832867</v>
      </c>
    </row>
    <row r="162">
      <c r="A162" s="7" t="s">
        <v>164</v>
      </c>
      <c r="B162" s="7" t="s">
        <v>69</v>
      </c>
      <c r="C162" s="7">
        <v>0.516232610256394</v>
      </c>
    </row>
    <row r="163">
      <c r="A163" s="7" t="s">
        <v>165</v>
      </c>
      <c r="B163" s="7" t="s">
        <v>69</v>
      </c>
      <c r="C163" s="7">
        <v>0.52420000773874</v>
      </c>
    </row>
    <row r="164">
      <c r="A164" s="7" t="s">
        <v>166</v>
      </c>
      <c r="B164" s="7" t="s">
        <v>69</v>
      </c>
      <c r="C164" s="7">
        <v>0.564694414756619</v>
      </c>
    </row>
    <row r="165">
      <c r="A165" s="7" t="s">
        <v>167</v>
      </c>
      <c r="B165" s="7" t="s">
        <v>69</v>
      </c>
      <c r="C165" s="7">
        <v>0.558082339274077</v>
      </c>
    </row>
    <row r="166">
      <c r="A166" s="7" t="s">
        <v>168</v>
      </c>
      <c r="B166" s="7" t="s">
        <v>69</v>
      </c>
      <c r="C166" s="7">
        <v>0.567494699039484</v>
      </c>
    </row>
    <row r="167">
      <c r="A167" s="7" t="s">
        <v>169</v>
      </c>
      <c r="B167" s="7" t="s">
        <v>69</v>
      </c>
      <c r="C167" s="7">
        <v>0.593223331315557</v>
      </c>
    </row>
    <row r="168">
      <c r="A168" s="7" t="s">
        <v>170</v>
      </c>
      <c r="B168" s="7" t="s">
        <v>69</v>
      </c>
      <c r="C168" s="7">
        <v>0.585483853546534</v>
      </c>
    </row>
    <row r="169">
      <c r="A169" s="7" t="s">
        <v>171</v>
      </c>
      <c r="B169" s="7" t="s">
        <v>69</v>
      </c>
      <c r="C169" s="7">
        <v>0.593678659817672</v>
      </c>
    </row>
    <row r="170">
      <c r="A170" s="7" t="s">
        <v>172</v>
      </c>
      <c r="B170" s="7" t="s">
        <v>69</v>
      </c>
      <c r="C170" s="7">
        <v>0.300772443809359</v>
      </c>
    </row>
    <row r="171">
      <c r="A171" s="7" t="s">
        <v>173</v>
      </c>
      <c r="B171" s="7" t="s">
        <v>69</v>
      </c>
      <c r="C171" s="7">
        <v>0.271705614091627</v>
      </c>
    </row>
    <row r="172">
      <c r="A172" s="7" t="s">
        <v>174</v>
      </c>
      <c r="B172" s="7" t="s">
        <v>69</v>
      </c>
      <c r="C172" s="7">
        <v>0.323864119495523</v>
      </c>
    </row>
    <row r="173">
      <c r="A173" s="7" t="s">
        <v>175</v>
      </c>
      <c r="B173" s="7" t="s">
        <v>69</v>
      </c>
      <c r="C173" s="7">
        <v>0.262286754789654</v>
      </c>
    </row>
    <row r="174">
      <c r="A174" s="7" t="s">
        <v>176</v>
      </c>
      <c r="B174" s="7" t="s">
        <v>69</v>
      </c>
      <c r="C174" s="7">
        <v>0.337895196907243</v>
      </c>
    </row>
    <row r="175">
      <c r="A175" s="7" t="s">
        <v>177</v>
      </c>
      <c r="B175" s="7" t="s">
        <v>69</v>
      </c>
      <c r="C175" s="7">
        <v>0.297157219809452</v>
      </c>
    </row>
    <row r="176">
      <c r="A176" s="7" t="s">
        <v>178</v>
      </c>
      <c r="B176" s="7" t="s">
        <v>69</v>
      </c>
      <c r="C176" s="7">
        <v>0.297865824391553</v>
      </c>
    </row>
    <row r="177">
      <c r="A177" s="7" t="s">
        <v>179</v>
      </c>
      <c r="B177" s="7" t="s">
        <v>69</v>
      </c>
      <c r="C177" s="7">
        <v>0.332658030355304</v>
      </c>
    </row>
    <row r="178">
      <c r="A178" s="7" t="s">
        <v>180</v>
      </c>
      <c r="B178" s="7" t="s">
        <v>69</v>
      </c>
      <c r="C178" s="7">
        <v>0.287239204804064</v>
      </c>
    </row>
    <row r="179">
      <c r="A179" s="7" t="s">
        <v>181</v>
      </c>
      <c r="B179" s="7" t="s">
        <v>69</v>
      </c>
      <c r="C179" s="7">
        <v>0.329512617172151</v>
      </c>
    </row>
    <row r="180">
      <c r="A180" s="7" t="s">
        <v>182</v>
      </c>
      <c r="B180" s="7" t="s">
        <v>69</v>
      </c>
      <c r="C180" s="7">
        <v>0.282654794342775</v>
      </c>
    </row>
    <row r="181">
      <c r="A181" s="7" t="s">
        <v>183</v>
      </c>
      <c r="B181" s="7" t="s">
        <v>69</v>
      </c>
      <c r="C181" s="7">
        <v>0.322799422799422</v>
      </c>
    </row>
    <row r="182">
      <c r="A182" s="7" t="s">
        <v>184</v>
      </c>
      <c r="B182" s="7" t="s">
        <v>69</v>
      </c>
      <c r="C182" s="7">
        <v>0.276049449100619</v>
      </c>
    </row>
    <row r="183">
      <c r="A183" s="7" t="s">
        <v>185</v>
      </c>
      <c r="B183" s="7" t="s">
        <v>69</v>
      </c>
      <c r="C183" s="7">
        <v>0.34934492666203</v>
      </c>
    </row>
    <row r="184">
      <c r="A184" s="7" t="s">
        <v>186</v>
      </c>
      <c r="B184" s="7" t="s">
        <v>69</v>
      </c>
      <c r="C184" s="7">
        <v>0.338554835651074</v>
      </c>
    </row>
    <row r="185">
      <c r="A185" s="7" t="s">
        <v>187</v>
      </c>
      <c r="B185" s="7" t="s">
        <v>69</v>
      </c>
      <c r="C185" s="7">
        <v>0.29837198245895</v>
      </c>
    </row>
    <row r="186">
      <c r="A186" s="7" t="s">
        <v>188</v>
      </c>
      <c r="B186" s="7" t="s">
        <v>69</v>
      </c>
      <c r="C186" s="7">
        <v>0.335193350072418</v>
      </c>
    </row>
    <row r="187">
      <c r="A187" s="7" t="s">
        <v>189</v>
      </c>
      <c r="B187" s="7" t="s">
        <v>69</v>
      </c>
      <c r="C187" s="7">
        <v>0.292476913292134</v>
      </c>
    </row>
    <row r="188">
      <c r="A188" s="7" t="s">
        <v>190</v>
      </c>
      <c r="B188" s="7" t="s">
        <v>69</v>
      </c>
      <c r="C188" s="7">
        <v>0.367508834746624</v>
      </c>
    </row>
    <row r="189">
      <c r="A189" s="7" t="s">
        <v>191</v>
      </c>
      <c r="B189" s="7" t="s">
        <v>69</v>
      </c>
      <c r="C189" s="7">
        <v>0.381074015796232</v>
      </c>
    </row>
    <row r="190">
      <c r="A190" s="7" t="s">
        <v>192</v>
      </c>
      <c r="B190" s="7" t="s">
        <v>69</v>
      </c>
      <c r="C190" s="7">
        <v>0.377300609507907</v>
      </c>
    </row>
    <row r="191">
      <c r="A191" s="7" t="s">
        <v>193</v>
      </c>
      <c r="B191" s="7" t="s">
        <v>69</v>
      </c>
      <c r="C191" s="7">
        <v>0.352567599779278</v>
      </c>
    </row>
    <row r="192">
      <c r="A192" s="7" t="s">
        <v>194</v>
      </c>
      <c r="B192" s="7" t="s">
        <v>69</v>
      </c>
      <c r="C192" s="7">
        <v>0.368290508649231</v>
      </c>
    </row>
    <row r="193">
      <c r="A193" s="7" t="s">
        <v>195</v>
      </c>
      <c r="B193" s="7" t="s">
        <v>69</v>
      </c>
      <c r="C193" s="7">
        <v>0.358964749724122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5"/>
  </cols>
  <sheetData>
    <row r="1">
      <c r="A1" s="26" t="s">
        <v>96</v>
      </c>
      <c r="B1" s="26" t="s">
        <v>198</v>
      </c>
      <c r="C1" s="26" t="s">
        <v>199</v>
      </c>
      <c r="D1" s="26" t="s">
        <v>200</v>
      </c>
      <c r="E1" s="26" t="s">
        <v>201</v>
      </c>
      <c r="F1" s="26" t="s">
        <v>202</v>
      </c>
      <c r="G1" s="26" t="s">
        <v>203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>
      <c r="A2" s="26" t="s">
        <v>204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>
      <c r="A3" s="26" t="s">
        <v>205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</row>
    <row r="4">
      <c r="A4" s="26" t="s">
        <v>206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</row>
    <row r="5">
      <c r="A5" s="26" t="s">
        <v>207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>
      <c r="A6" s="26" t="s">
        <v>208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>
      <c r="A7" s="26" t="s">
        <v>209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>
      <c r="A8" s="26" t="s">
        <v>210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>
      <c r="A9" s="26" t="s">
        <v>211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>
      <c r="A10" s="26" t="s">
        <v>212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>
      <c r="A11" s="26" t="s">
        <v>213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>
      <c r="A12" s="26" t="s">
        <v>214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>
      <c r="A13" s="26" t="s">
        <v>215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>
      <c r="A14" s="26" t="s">
        <v>216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>
      <c r="A15" s="26" t="s">
        <v>217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>
      <c r="A16" s="26" t="s">
        <v>218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>
      <c r="A17" s="26" t="s">
        <v>219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>
      <c r="A18" s="26" t="s">
        <v>220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>
      <c r="A19" s="26" t="s">
        <v>221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>
      <c r="A20" s="26" t="s">
        <v>222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>
      <c r="A21" s="26" t="s">
        <v>223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>
      <c r="A22" s="26" t="s">
        <v>224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>
      <c r="A23" s="26" t="s">
        <v>225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>
      <c r="A24" s="26" t="s">
        <v>226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>
      <c r="A25" s="26" t="s">
        <v>227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>
      <c r="A26" s="26" t="s">
        <v>228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>
      <c r="A27" s="26" t="s">
        <v>229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>
      <c r="A28" s="26" t="s">
        <v>230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>
      <c r="A29" s="26" t="s">
        <v>231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>
      <c r="A30" s="26" t="s">
        <v>232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>
      <c r="A31" s="26" t="s">
        <v>233</v>
      </c>
      <c r="B31" s="65">
        <v>0.509893371248634</v>
      </c>
      <c r="C31" s="65">
        <v>0.462959642696484</v>
      </c>
      <c r="D31" s="65">
        <v>0.557142857142857</v>
      </c>
      <c r="E31" s="65">
        <v>0.311016641253483</v>
      </c>
      <c r="F31" s="65">
        <v>0.267444587576166</v>
      </c>
      <c r="G31" s="65">
        <v>0.353389213126055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>
      <c r="A32" s="26" t="s">
        <v>234</v>
      </c>
      <c r="B32" s="65">
        <v>0.509893371248634</v>
      </c>
      <c r="C32" s="65">
        <v>0.462959642696484</v>
      </c>
      <c r="D32" s="65">
        <v>0.557142857142857</v>
      </c>
      <c r="E32" s="65">
        <v>0.311016641253483</v>
      </c>
      <c r="F32" s="65">
        <v>0.267444587576166</v>
      </c>
      <c r="G32" s="65">
        <v>0.353389213126055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>
      <c r="A33" s="26" t="s">
        <v>235</v>
      </c>
      <c r="B33" s="65">
        <v>0.537594490305016</v>
      </c>
      <c r="C33" s="65">
        <v>0.492170811644495</v>
      </c>
      <c r="D33" s="65">
        <v>0.584277360066833</v>
      </c>
      <c r="E33" s="65">
        <v>0.32476797950138</v>
      </c>
      <c r="F33" s="65">
        <v>0.284384445963393</v>
      </c>
      <c r="G33" s="65">
        <v>0.367426601176601</v>
      </c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>
      <c r="A34" s="26" t="s">
        <v>236</v>
      </c>
      <c r="B34" s="65">
        <v>0.537594490305016</v>
      </c>
      <c r="C34" s="65">
        <v>0.492170811644495</v>
      </c>
      <c r="D34" s="65">
        <v>0.584277360066833</v>
      </c>
      <c r="E34" s="65">
        <v>0.32476797950138</v>
      </c>
      <c r="F34" s="65">
        <v>0.284384445963393</v>
      </c>
      <c r="G34" s="65">
        <v>0.367426601176601</v>
      </c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>
      <c r="A35" s="26" t="s">
        <v>237</v>
      </c>
      <c r="B35" s="65">
        <v>0.326925539326287</v>
      </c>
      <c r="C35" s="65">
        <v>0.287574615049677</v>
      </c>
      <c r="D35" s="65">
        <v>0.368488896805604</v>
      </c>
      <c r="E35" s="65">
        <v>0.14483173714213</v>
      </c>
      <c r="F35" s="65">
        <v>0.116337195984951</v>
      </c>
      <c r="G35" s="65">
        <v>0.17345647655443</v>
      </c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>
      <c r="A36" s="26" t="s">
        <v>238</v>
      </c>
      <c r="B36" s="65">
        <v>0.339221032915546</v>
      </c>
      <c r="C36" s="65">
        <v>0.300570250959901</v>
      </c>
      <c r="D36" s="65">
        <v>0.378345419819858</v>
      </c>
      <c r="E36" s="65">
        <v>0.157162210454289</v>
      </c>
      <c r="F36" s="65">
        <v>0.130485486389476</v>
      </c>
      <c r="G36" s="65">
        <v>0.185628780681773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>
      <c r="A37" s="26" t="s">
        <v>239</v>
      </c>
      <c r="B37" s="65">
        <v>0.326925539326287</v>
      </c>
      <c r="C37" s="65">
        <v>0.287574615049677</v>
      </c>
      <c r="D37" s="65">
        <v>0.368488896805604</v>
      </c>
      <c r="E37" s="65">
        <v>0.14483173714213</v>
      </c>
      <c r="F37" s="65">
        <v>0.116337195984951</v>
      </c>
      <c r="G37" s="65">
        <v>0.17345647655443</v>
      </c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>
      <c r="A38" s="26" t="s">
        <v>240</v>
      </c>
      <c r="B38" s="65">
        <v>0.339221032915546</v>
      </c>
      <c r="C38" s="65">
        <v>0.300570250959901</v>
      </c>
      <c r="D38" s="65">
        <v>0.378345419819858</v>
      </c>
      <c r="E38" s="65">
        <v>0.157162210454289</v>
      </c>
      <c r="F38" s="65">
        <v>0.130485486389476</v>
      </c>
      <c r="G38" s="65">
        <v>0.185628780681773</v>
      </c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>
      <c r="A39" s="26" t="s">
        <v>241</v>
      </c>
      <c r="B39" s="65">
        <v>0.219685271129535</v>
      </c>
      <c r="C39" s="65">
        <v>0.183114071783024</v>
      </c>
      <c r="D39" s="65">
        <v>0.25495155959308</v>
      </c>
      <c r="E39" s="65">
        <v>0.036636749629194</v>
      </c>
      <c r="F39" s="65">
        <v>0.024733130991382</v>
      </c>
      <c r="G39" s="65">
        <v>0.050543244162321</v>
      </c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>
      <c r="A40" s="26" t="s">
        <v>242</v>
      </c>
      <c r="B40" s="65">
        <v>0.426541369524473</v>
      </c>
      <c r="C40" s="65">
        <v>0.392046798029556</v>
      </c>
      <c r="D40" s="65">
        <v>0.461384145228972</v>
      </c>
      <c r="E40" s="65">
        <v>0.217207114711597</v>
      </c>
      <c r="F40" s="65">
        <v>0.189017606276226</v>
      </c>
      <c r="G40" s="65">
        <v>0.245251040785523</v>
      </c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>
      <c r="A41" s="26" t="s">
        <v>243</v>
      </c>
      <c r="B41" s="65">
        <v>0.192483218390804</v>
      </c>
      <c r="C41" s="65">
        <v>0.164120233534026</v>
      </c>
      <c r="D41" s="65">
        <v>0.221855318372559</v>
      </c>
      <c r="E41" s="65">
        <v>0.064407011494252</v>
      </c>
      <c r="F41" s="65">
        <v>0.049384099616858</v>
      </c>
      <c r="G41" s="65">
        <v>0.080169266557197</v>
      </c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>
      <c r="A42" s="26" t="s">
        <v>244</v>
      </c>
      <c r="B42" s="65">
        <v>0.390531131512166</v>
      </c>
      <c r="C42" s="65">
        <v>0.354141032658274</v>
      </c>
      <c r="D42" s="65">
        <v>0.426524974706009</v>
      </c>
      <c r="E42" s="65">
        <v>0.194712409251029</v>
      </c>
      <c r="F42" s="65">
        <v>0.167618140480209</v>
      </c>
      <c r="G42" s="65">
        <v>0.22305435401125</v>
      </c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>
      <c r="A43" s="26" t="s">
        <v>245</v>
      </c>
      <c r="B43" s="65">
        <v>0.390531131512166</v>
      </c>
      <c r="C43" s="65">
        <v>0.354141032658274</v>
      </c>
      <c r="D43" s="65">
        <v>0.426524974706009</v>
      </c>
      <c r="E43" s="65">
        <v>0.194712409251029</v>
      </c>
      <c r="F43" s="65">
        <v>0.167618140480209</v>
      </c>
      <c r="G43" s="65">
        <v>0.22305435401125</v>
      </c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>
      <c r="A44" s="26" t="s">
        <v>246</v>
      </c>
      <c r="B44" s="65">
        <v>0.496896100917431</v>
      </c>
      <c r="C44" s="65">
        <v>0.464100862822193</v>
      </c>
      <c r="D44" s="65">
        <v>0.532203882699869</v>
      </c>
      <c r="E44" s="65">
        <v>0.277309414757006</v>
      </c>
      <c r="F44" s="65">
        <v>0.249508365933251</v>
      </c>
      <c r="G44" s="65">
        <v>0.307045835153633</v>
      </c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>
      <c r="A45" s="26" t="s">
        <v>247</v>
      </c>
      <c r="B45" s="65">
        <v>0.426541369524473</v>
      </c>
      <c r="C45" s="65">
        <v>0.392046798029556</v>
      </c>
      <c r="D45" s="65">
        <v>0.461384145228972</v>
      </c>
      <c r="E45" s="65">
        <v>0.217207114711597</v>
      </c>
      <c r="F45" s="65">
        <v>0.189017606276226</v>
      </c>
      <c r="G45" s="65">
        <v>0.245251040785523</v>
      </c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>
      <c r="A46" s="26" t="s">
        <v>249</v>
      </c>
      <c r="B46" s="65">
        <v>0.364574671717171</v>
      </c>
      <c r="C46" s="65">
        <v>0.328720373376623</v>
      </c>
      <c r="D46" s="65">
        <v>0.400587527056277</v>
      </c>
      <c r="E46" s="65">
        <v>0.163753559407763</v>
      </c>
      <c r="F46" s="65">
        <v>0.140977224480065</v>
      </c>
      <c r="G46" s="65">
        <v>0.188236607142857</v>
      </c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>
      <c r="A47" s="26" t="s">
        <v>250</v>
      </c>
      <c r="B47" s="65">
        <v>0.516223427260812</v>
      </c>
      <c r="C47" s="65">
        <v>0.478451743847386</v>
      </c>
      <c r="D47" s="65">
        <v>0.55002625782729</v>
      </c>
      <c r="E47" s="65">
        <v>0.303400904829115</v>
      </c>
      <c r="F47" s="65">
        <v>0.271652863891969</v>
      </c>
      <c r="G47" s="65">
        <v>0.335681187759742</v>
      </c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>
      <c r="A48" s="26" t="s">
        <v>251</v>
      </c>
      <c r="B48" s="65">
        <v>0.516223427260812</v>
      </c>
      <c r="C48" s="65">
        <v>0.478451743847386</v>
      </c>
      <c r="D48" s="65">
        <v>0.55002625782729</v>
      </c>
      <c r="E48" s="65">
        <v>0.303400904829115</v>
      </c>
      <c r="F48" s="65">
        <v>0.271652863891969</v>
      </c>
      <c r="G48" s="65">
        <v>0.335681187759742</v>
      </c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>
      <c r="A49" s="26" t="s">
        <v>252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>
      <c r="A50" s="26" t="s">
        <v>253</v>
      </c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>
      <c r="A51" s="26" t="s">
        <v>254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>
      <c r="A52" s="26" t="s">
        <v>255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>
      <c r="A53" s="26" t="s">
        <v>256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>
      <c r="A54" s="26" t="s">
        <v>257</v>
      </c>
      <c r="B54" s="65">
        <v>0.496896100917431</v>
      </c>
      <c r="C54" s="65">
        <v>0.464100862822193</v>
      </c>
      <c r="D54" s="65">
        <v>0.532203882699869</v>
      </c>
      <c r="E54" s="65">
        <v>0.277309414757006</v>
      </c>
      <c r="F54" s="65">
        <v>0.249508365933251</v>
      </c>
      <c r="G54" s="65">
        <v>0.307045835153633</v>
      </c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>
      <c r="A55" s="26" t="s">
        <v>258</v>
      </c>
      <c r="B55" s="65">
        <v>0.407136363636363</v>
      </c>
      <c r="C55" s="65">
        <v>0.365852272727272</v>
      </c>
      <c r="D55" s="65">
        <v>0.452272727272727</v>
      </c>
      <c r="E55" s="65">
        <v>0.027588636363636</v>
      </c>
      <c r="F55" s="65">
        <v>0.013636363636363</v>
      </c>
      <c r="G55" s="65">
        <v>0.043181818181818</v>
      </c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>
      <c r="A56" s="26" t="s">
        <v>259</v>
      </c>
      <c r="B56" s="65">
        <v>0.275764016955267</v>
      </c>
      <c r="C56" s="65">
        <v>0.239355519480519</v>
      </c>
      <c r="D56" s="65">
        <v>0.310453823953823</v>
      </c>
      <c r="E56" s="65">
        <v>0.045634218811491</v>
      </c>
      <c r="F56" s="65">
        <v>0.031109004001049</v>
      </c>
      <c r="G56" s="65">
        <v>0.061652958152958</v>
      </c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>
      <c r="A57" s="26" t="s">
        <v>260</v>
      </c>
      <c r="B57" s="65">
        <v>0.367761302964712</v>
      </c>
      <c r="C57" s="65">
        <v>0.330895066738816</v>
      </c>
      <c r="D57" s="65">
        <v>0.403561028302505</v>
      </c>
      <c r="E57" s="65">
        <v>0.159837032525555</v>
      </c>
      <c r="F57" s="65">
        <v>0.13470849731077</v>
      </c>
      <c r="G57" s="65">
        <v>0.184000562884085</v>
      </c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>
      <c r="A58" s="26" t="s">
        <v>261</v>
      </c>
      <c r="B58" s="65">
        <v>0.364574671717171</v>
      </c>
      <c r="C58" s="65">
        <v>0.328720373376623</v>
      </c>
      <c r="D58" s="65">
        <v>0.400587527056277</v>
      </c>
      <c r="E58" s="65">
        <v>0.163753559407763</v>
      </c>
      <c r="F58" s="65">
        <v>0.140977224480065</v>
      </c>
      <c r="G58" s="65">
        <v>0.188236607142857</v>
      </c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>
      <c r="A59" s="26" t="s">
        <v>262</v>
      </c>
      <c r="B59" s="65">
        <v>0.367761302964712</v>
      </c>
      <c r="C59" s="65">
        <v>0.330895066738816</v>
      </c>
      <c r="D59" s="65">
        <v>0.403561028302505</v>
      </c>
      <c r="E59" s="65">
        <v>0.159837032525555</v>
      </c>
      <c r="F59" s="65">
        <v>0.13470849731077</v>
      </c>
      <c r="G59" s="65">
        <v>0.184000562884085</v>
      </c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>
      <c r="A60" s="26" t="s">
        <v>263</v>
      </c>
      <c r="B60" s="65">
        <v>0.108252400231347</v>
      </c>
      <c r="C60" s="65">
        <v>0.078401291690765</v>
      </c>
      <c r="D60" s="65">
        <v>0.139558029689608</v>
      </c>
      <c r="E60" s="65">
        <v>0.049204646230962</v>
      </c>
      <c r="F60" s="65">
        <v>0.030499325236167</v>
      </c>
      <c r="G60" s="65">
        <v>0.071142278773857</v>
      </c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>
      <c r="A61" s="26" t="s">
        <v>264</v>
      </c>
      <c r="B61" s="65">
        <v>0.053884184821026</v>
      </c>
      <c r="C61" s="65">
        <v>0.031442307692307</v>
      </c>
      <c r="D61" s="65">
        <v>0.080182989525094</v>
      </c>
      <c r="E61" s="65">
        <v>0.026475139772508</v>
      </c>
      <c r="F61" s="65">
        <v>0.011127096587622</v>
      </c>
      <c r="G61" s="65">
        <v>0.045024580682475</v>
      </c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>
      <c r="A62" s="26" t="s">
        <v>265</v>
      </c>
      <c r="B62" s="65">
        <v>0.037621149026412</v>
      </c>
      <c r="C62" s="65">
        <v>0.017543859649122</v>
      </c>
      <c r="D62" s="65">
        <v>0.061702332754964</v>
      </c>
      <c r="E62" s="65">
        <v>0.018537574705995</v>
      </c>
      <c r="F62" s="65">
        <v>0.004048582995951</v>
      </c>
      <c r="G62" s="65">
        <v>0.034429824561403</v>
      </c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>
      <c r="A63" s="26" t="s">
        <v>266</v>
      </c>
      <c r="B63" s="65">
        <v>0.171796952817824</v>
      </c>
      <c r="C63" s="65">
        <v>0.142849497597204</v>
      </c>
      <c r="D63" s="65">
        <v>0.203048001310615</v>
      </c>
      <c r="E63" s="65">
        <v>0.072979789209261</v>
      </c>
      <c r="F63" s="65">
        <v>0.057440885757972</v>
      </c>
      <c r="G63" s="65">
        <v>0.090762523663899</v>
      </c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>
      <c r="A64" s="26" t="s">
        <v>267</v>
      </c>
      <c r="B64" s="65">
        <v>0.047214796606901</v>
      </c>
      <c r="C64" s="65">
        <v>0.025536919221129</v>
      </c>
      <c r="D64" s="65">
        <v>0.071968382494698</v>
      </c>
      <c r="E64" s="65">
        <v>0.021408588779641</v>
      </c>
      <c r="F64" s="65">
        <v>0.007634470792365</v>
      </c>
      <c r="G64" s="65">
        <v>0.039147628687102</v>
      </c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>
      <c r="A65" s="26" t="s">
        <v>268</v>
      </c>
      <c r="B65" s="65">
        <v>0.095935818281335</v>
      </c>
      <c r="C65" s="65">
        <v>0.072325670498084</v>
      </c>
      <c r="D65" s="65">
        <v>0.122019978106184</v>
      </c>
      <c r="E65" s="65">
        <v>0.014611734753114</v>
      </c>
      <c r="F65" s="65">
        <v>0.006180076628352</v>
      </c>
      <c r="G65" s="65">
        <v>0.024814002089864</v>
      </c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>
      <c r="A66" s="26" t="s">
        <v>269</v>
      </c>
      <c r="B66" s="65">
        <v>0.378806652236652</v>
      </c>
      <c r="C66" s="65">
        <v>0.336816017316017</v>
      </c>
      <c r="D66" s="65">
        <v>0.422153679653679</v>
      </c>
      <c r="E66" s="65">
        <v>0.028507224517906</v>
      </c>
      <c r="F66" s="65">
        <v>0.015166219828151</v>
      </c>
      <c r="G66" s="65">
        <v>0.043613636363636</v>
      </c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>
      <c r="A67" s="26" t="s">
        <v>270</v>
      </c>
      <c r="B67" s="65">
        <v>0.107663177173703</v>
      </c>
      <c r="C67" s="65">
        <v>0.079157509157509</v>
      </c>
      <c r="D67" s="65">
        <v>0.140566319645267</v>
      </c>
      <c r="E67" s="65">
        <v>0.049053364179679</v>
      </c>
      <c r="F67" s="65">
        <v>0.029494891073838</v>
      </c>
      <c r="G67" s="65">
        <v>0.070985637169847</v>
      </c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>
      <c r="A68" s="26" t="s">
        <v>271</v>
      </c>
      <c r="B68" s="65">
        <v>0.240978915805723</v>
      </c>
      <c r="C68" s="65">
        <v>0.202406780667379</v>
      </c>
      <c r="D68" s="65">
        <v>0.280390986818667</v>
      </c>
      <c r="E68" s="65">
        <v>0.017049358206216</v>
      </c>
      <c r="F68" s="65">
        <v>0.007860111625697</v>
      </c>
      <c r="G68" s="65">
        <v>0.027106152367997</v>
      </c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>
      <c r="A69" s="26" t="s">
        <v>272</v>
      </c>
      <c r="B69" s="65">
        <v>0.256987085856786</v>
      </c>
      <c r="C69" s="65">
        <v>0.216465532597078</v>
      </c>
      <c r="D69" s="65">
        <v>0.299371808573803</v>
      </c>
      <c r="E69" s="65">
        <v>0.011112454973676</v>
      </c>
      <c r="F69" s="65">
        <v>0.003325020781379</v>
      </c>
      <c r="G69" s="65">
        <v>0.020004601591259</v>
      </c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>
      <c r="A70" s="26" t="s">
        <v>273</v>
      </c>
      <c r="B70" s="65">
        <v>0.115675819134993</v>
      </c>
      <c r="C70" s="65">
        <v>0.088762833114897</v>
      </c>
      <c r="D70" s="65">
        <v>0.141798956968108</v>
      </c>
      <c r="E70" s="65">
        <v>0.027646032407959</v>
      </c>
      <c r="F70" s="65">
        <v>0.0163874781564</v>
      </c>
      <c r="G70" s="65">
        <v>0.0411998962429</v>
      </c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>
      <c r="A71" s="26" t="s">
        <v>275</v>
      </c>
      <c r="B71" s="65">
        <v>0.251127071210861</v>
      </c>
      <c r="C71" s="65">
        <v>0.211028975181094</v>
      </c>
      <c r="D71" s="65">
        <v>0.293833273957962</v>
      </c>
      <c r="E71" s="65">
        <v>0.016705943474646</v>
      </c>
      <c r="F71" s="65">
        <v>0.008145929818311</v>
      </c>
      <c r="G71" s="65">
        <v>0.027474617028856</v>
      </c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>
      <c r="A72" s="26" t="s">
        <v>279</v>
      </c>
      <c r="B72" s="65">
        <v>0.071481740558292</v>
      </c>
      <c r="C72" s="65">
        <v>0.049345922276956</v>
      </c>
      <c r="D72" s="65">
        <v>0.094728243021346</v>
      </c>
      <c r="E72" s="65">
        <v>0.003855747126436</v>
      </c>
      <c r="F72" s="65">
        <v>0.0</v>
      </c>
      <c r="G72" s="65">
        <v>0.010155309250136</v>
      </c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>
      <c r="A73" s="26" t="s">
        <v>280</v>
      </c>
      <c r="B73" s="65">
        <v>0.220717511596189</v>
      </c>
      <c r="C73" s="65">
        <v>0.187187006329774</v>
      </c>
      <c r="D73" s="65">
        <v>0.254802477932153</v>
      </c>
      <c r="E73" s="65">
        <v>0.036805822850563</v>
      </c>
      <c r="F73" s="65">
        <v>0.025009562768657</v>
      </c>
      <c r="G73" s="65">
        <v>0.049434746467165</v>
      </c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>
      <c r="A74" s="26" t="s">
        <v>282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>
      <c r="A75" s="26" t="s">
        <v>285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>
      <c r="A76" s="26" t="s">
        <v>287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>
      <c r="A77" s="26" t="s">
        <v>288</v>
      </c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>
      <c r="A78" s="26" t="s">
        <v>291</v>
      </c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>
      <c r="A79" s="26" t="s">
        <v>294</v>
      </c>
      <c r="B79" s="65">
        <v>0.367964292929292</v>
      </c>
      <c r="C79" s="65">
        <v>0.325143939393939</v>
      </c>
      <c r="D79" s="65">
        <v>0.411320075757575</v>
      </c>
      <c r="E79" s="65">
        <v>0.025252263292263</v>
      </c>
      <c r="F79" s="65">
        <v>0.011818181818181</v>
      </c>
      <c r="G79" s="65">
        <v>0.039855925324675</v>
      </c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>
      <c r="A80" s="26" t="s">
        <v>298</v>
      </c>
      <c r="B80" s="65">
        <v>0.088897629969418</v>
      </c>
      <c r="C80" s="65">
        <v>0.063063837920489</v>
      </c>
      <c r="D80" s="65">
        <v>0.115443425076452</v>
      </c>
      <c r="E80" s="65">
        <v>0.016578216470074</v>
      </c>
      <c r="F80" s="65">
        <v>0.006880733944954</v>
      </c>
      <c r="G80" s="65">
        <v>0.027951616426387</v>
      </c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>
      <c r="A81" s="26" t="s">
        <v>301</v>
      </c>
      <c r="B81" s="65">
        <v>0.087045132275132</v>
      </c>
      <c r="C81" s="65">
        <v>0.06215435139573</v>
      </c>
      <c r="D81" s="65">
        <v>0.112382411968618</v>
      </c>
      <c r="E81" s="65">
        <v>0.008705593206282</v>
      </c>
      <c r="F81" s="65">
        <v>0.002298850574712</v>
      </c>
      <c r="G81" s="65">
        <v>0.016576719576719</v>
      </c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>
      <c r="A82" s="26" t="s">
        <v>305</v>
      </c>
      <c r="B82" s="65">
        <v>0.109362576452599</v>
      </c>
      <c r="C82" s="65">
        <v>0.082270915246832</v>
      </c>
      <c r="D82" s="65">
        <v>0.136856023372651</v>
      </c>
      <c r="E82" s="65">
        <v>0.027408455293432</v>
      </c>
      <c r="F82" s="65">
        <v>0.014897062035823</v>
      </c>
      <c r="G82" s="65">
        <v>0.040765936726372</v>
      </c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>
      <c r="A83" s="26" t="s">
        <v>308</v>
      </c>
      <c r="B83" s="65">
        <v>0.356130086580086</v>
      </c>
      <c r="C83" s="65">
        <v>0.314087121212121</v>
      </c>
      <c r="D83" s="65">
        <v>0.398724025974025</v>
      </c>
      <c r="E83" s="65">
        <v>0.031999594155844</v>
      </c>
      <c r="F83" s="65">
        <v>0.018765151515151</v>
      </c>
      <c r="G83" s="65">
        <v>0.046555194805194</v>
      </c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>
      <c r="A84" s="26" t="s">
        <v>311</v>
      </c>
      <c r="B84" s="65">
        <v>0.172814012669287</v>
      </c>
      <c r="C84" s="65">
        <v>0.143395587592835</v>
      </c>
      <c r="D84" s="65">
        <v>0.203801332459589</v>
      </c>
      <c r="E84" s="65">
        <v>0.073331081622251</v>
      </c>
      <c r="F84" s="65">
        <v>0.056866672127566</v>
      </c>
      <c r="G84" s="65">
        <v>0.090444016673947</v>
      </c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>
      <c r="A85" s="26" t="s">
        <v>315</v>
      </c>
      <c r="B85" s="65">
        <v>0.275249105339105</v>
      </c>
      <c r="C85" s="65">
        <v>0.236666351010101</v>
      </c>
      <c r="D85" s="65">
        <v>0.312816693722943</v>
      </c>
      <c r="E85" s="65">
        <v>0.045533758198871</v>
      </c>
      <c r="F85" s="65">
        <v>0.032080762987012</v>
      </c>
      <c r="G85" s="65">
        <v>0.061104342942411</v>
      </c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>
      <c r="A86" s="26" t="s">
        <v>318</v>
      </c>
      <c r="B86" s="65">
        <v>0.095946557197591</v>
      </c>
      <c r="C86" s="65">
        <v>0.071409961685823</v>
      </c>
      <c r="D86" s="65">
        <v>0.121005747126436</v>
      </c>
      <c r="E86" s="65">
        <v>0.014639968486175</v>
      </c>
      <c r="F86" s="65">
        <v>0.006435823754789</v>
      </c>
      <c r="G86" s="65">
        <v>0.024365726227795</v>
      </c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>
      <c r="A87" s="26" t="s">
        <v>321</v>
      </c>
      <c r="B87" s="65">
        <v>0.191756836343732</v>
      </c>
      <c r="C87" s="65">
        <v>0.164700602079912</v>
      </c>
      <c r="D87" s="65">
        <v>0.220301039956212</v>
      </c>
      <c r="E87" s="65">
        <v>0.063959485495347</v>
      </c>
      <c r="F87" s="65">
        <v>0.048716201423097</v>
      </c>
      <c r="G87" s="65">
        <v>0.080172003284072</v>
      </c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>
      <c r="A88" s="26" t="s">
        <v>325</v>
      </c>
      <c r="B88" s="65">
        <v>0.379413751803751</v>
      </c>
      <c r="C88" s="65">
        <v>0.336532196969696</v>
      </c>
      <c r="D88" s="65">
        <v>0.421992063492063</v>
      </c>
      <c r="E88" s="65">
        <v>0.028373460743801</v>
      </c>
      <c r="F88" s="65">
        <v>0.014826663551095</v>
      </c>
      <c r="G88" s="65">
        <v>0.042958070969434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>
      <c r="A89" s="26" t="s">
        <v>329</v>
      </c>
      <c r="B89" s="65">
        <v>0.053231630357946</v>
      </c>
      <c r="C89" s="65">
        <v>0.029504530557162</v>
      </c>
      <c r="D89" s="65">
        <v>0.079490553306342</v>
      </c>
      <c r="E89" s="65">
        <v>0.026355581260844</v>
      </c>
      <c r="F89" s="65">
        <v>0.010323886639676</v>
      </c>
      <c r="G89" s="65">
        <v>0.043363456718719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>
      <c r="A90" s="26" t="s">
        <v>334</v>
      </c>
      <c r="B90" s="65">
        <v>0.240596437477734</v>
      </c>
      <c r="C90" s="65">
        <v>0.201420852630328</v>
      </c>
      <c r="D90" s="65">
        <v>0.281546431540197</v>
      </c>
      <c r="E90" s="65">
        <v>0.0167784510585</v>
      </c>
      <c r="F90" s="65">
        <v>0.007548795759518</v>
      </c>
      <c r="G90" s="65">
        <v>0.02826386414915</v>
      </c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>
      <c r="A91" s="26" t="s">
        <v>339</v>
      </c>
      <c r="B91" s="65">
        <v>0.061765240023134</v>
      </c>
      <c r="C91" s="65">
        <v>0.037858106805475</v>
      </c>
      <c r="D91" s="65">
        <v>0.089718045112781</v>
      </c>
      <c r="E91" s="65">
        <v>0.029348708309234</v>
      </c>
      <c r="F91" s="65">
        <v>0.013713610950453</v>
      </c>
      <c r="G91" s="65">
        <v>0.047943898207056</v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>
      <c r="A92" s="26" t="s">
        <v>344</v>
      </c>
      <c r="B92" s="65">
        <v>0.043328475033738</v>
      </c>
      <c r="C92" s="65">
        <v>0.020936475804896</v>
      </c>
      <c r="D92" s="65">
        <v>0.067436861384229</v>
      </c>
      <c r="E92" s="65">
        <v>0.02139393997815</v>
      </c>
      <c r="F92" s="65">
        <v>0.006292172739541</v>
      </c>
      <c r="G92" s="65">
        <v>0.039143049932523</v>
      </c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>
      <c r="A93" s="26" t="s">
        <v>348</v>
      </c>
      <c r="B93" s="65">
        <v>0.239586777104856</v>
      </c>
      <c r="C93" s="65">
        <v>0.200560404544195</v>
      </c>
      <c r="D93" s="65">
        <v>0.281772948580928</v>
      </c>
      <c r="E93" s="65">
        <v>0.016085697102841</v>
      </c>
      <c r="F93" s="65">
        <v>0.007543467719589</v>
      </c>
      <c r="G93" s="65">
        <v>0.026206878636741</v>
      </c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>
      <c r="A94" s="26" t="s">
        <v>354</v>
      </c>
      <c r="B94" s="65">
        <v>0.116124006116207</v>
      </c>
      <c r="C94" s="65">
        <v>0.088486648099606</v>
      </c>
      <c r="D94" s="65">
        <v>0.146791038663171</v>
      </c>
      <c r="E94" s="65">
        <v>0.027843283589499</v>
      </c>
      <c r="F94" s="65">
        <v>0.015956749672346</v>
      </c>
      <c r="G94" s="65">
        <v>0.041178760077842</v>
      </c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>
      <c r="A95" s="26" t="s">
        <v>359</v>
      </c>
      <c r="B95" s="65">
        <v>0.300093409806567</v>
      </c>
      <c r="C95" s="65">
        <v>0.261563684853158</v>
      </c>
      <c r="D95" s="65">
        <v>0.337204389178073</v>
      </c>
      <c r="E95" s="65">
        <v>0.093055729246012</v>
      </c>
      <c r="F95" s="65">
        <v>0.06858251397725</v>
      </c>
      <c r="G95" s="65">
        <v>0.119228761005076</v>
      </c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>
      <c r="A96" s="26" t="s">
        <v>364</v>
      </c>
      <c r="B96" s="65">
        <v>0.094236341742548</v>
      </c>
      <c r="C96" s="65">
        <v>0.06965435139573</v>
      </c>
      <c r="D96" s="65">
        <v>0.121580758322137</v>
      </c>
      <c r="E96" s="65">
        <v>0.01240282079351</v>
      </c>
      <c r="F96" s="65">
        <v>0.005068281335522</v>
      </c>
      <c r="G96" s="65">
        <v>0.021631089217296</v>
      </c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>
      <c r="A97" s="26" t="s">
        <v>369</v>
      </c>
      <c r="B97" s="65">
        <v>0.274904053030303</v>
      </c>
      <c r="C97" s="65">
        <v>0.236987869769119</v>
      </c>
      <c r="D97" s="65">
        <v>0.312976641414141</v>
      </c>
      <c r="E97" s="65">
        <v>0.037600956808343</v>
      </c>
      <c r="F97" s="65">
        <v>0.023575491112422</v>
      </c>
      <c r="G97" s="65">
        <v>0.054084604158467</v>
      </c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>
      <c r="A98" s="26" t="s">
        <v>374</v>
      </c>
      <c r="B98" s="65">
        <v>0.123981050677151</v>
      </c>
      <c r="C98" s="65">
        <v>0.095071264744429</v>
      </c>
      <c r="D98" s="65">
        <v>0.153214831804281</v>
      </c>
      <c r="E98" s="65">
        <v>0.031656296417649</v>
      </c>
      <c r="F98" s="65">
        <v>0.01942742463958</v>
      </c>
      <c r="G98" s="65">
        <v>0.045963848842289</v>
      </c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>
      <c r="A99" s="26" t="s">
        <v>378</v>
      </c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>
      <c r="A100" s="26" t="s">
        <v>382</v>
      </c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>
      <c r="A101" s="26" t="s">
        <v>385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>
      <c r="A102" s="26" t="s">
        <v>390</v>
      </c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>
      <c r="A103" s="26" t="s">
        <v>394</v>
      </c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>
      <c r="A104" s="26" t="s">
        <v>398</v>
      </c>
      <c r="B104" s="65">
        <v>0.262077151211361</v>
      </c>
      <c r="C104" s="65">
        <v>0.225859359938307</v>
      </c>
      <c r="D104" s="65">
        <v>0.30001221001221</v>
      </c>
      <c r="E104" s="65">
        <v>0.060385047992942</v>
      </c>
      <c r="F104" s="65">
        <v>0.039759538706907</v>
      </c>
      <c r="G104" s="65">
        <v>0.082832007174112</v>
      </c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>
      <c r="A105" s="26" t="s">
        <v>403</v>
      </c>
      <c r="B105" s="65">
        <v>0.281565625602467</v>
      </c>
      <c r="C105" s="65">
        <v>0.246268234689287</v>
      </c>
      <c r="D105" s="65">
        <v>0.316607303515198</v>
      </c>
      <c r="E105" s="65">
        <v>0.036163580571475</v>
      </c>
      <c r="F105" s="65">
        <v>0.021013350684403</v>
      </c>
      <c r="G105" s="65">
        <v>0.053086321573163</v>
      </c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>
      <c r="A106" s="26" t="s">
        <v>407</v>
      </c>
      <c r="B106" s="65">
        <v>0.246251288445552</v>
      </c>
      <c r="C106" s="65">
        <v>0.202580453627835</v>
      </c>
      <c r="D106" s="65">
        <v>0.288204488778054</v>
      </c>
      <c r="E106" s="65">
        <v>0.008863452479911</v>
      </c>
      <c r="F106" s="65">
        <v>0.001828761429758</v>
      </c>
      <c r="G106" s="65">
        <v>0.01823566084788</v>
      </c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>
      <c r="A107" s="26" t="s">
        <v>412</v>
      </c>
      <c r="B107" s="65">
        <v>0.377491396103896</v>
      </c>
      <c r="C107" s="65">
        <v>0.33533198051948</v>
      </c>
      <c r="D107" s="65">
        <v>0.422773268398268</v>
      </c>
      <c r="E107" s="65">
        <v>0.026746646825396</v>
      </c>
      <c r="F107" s="65">
        <v>0.013886183261183</v>
      </c>
      <c r="G107" s="65">
        <v>0.04091856060606</v>
      </c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>
      <c r="A108" s="26" t="s">
        <v>417</v>
      </c>
      <c r="B108" s="65">
        <v>0.07611776683087</v>
      </c>
      <c r="C108" s="65">
        <v>0.051613847837985</v>
      </c>
      <c r="D108" s="65">
        <v>0.100225643130815</v>
      </c>
      <c r="E108" s="65">
        <v>0.007294873364183</v>
      </c>
      <c r="F108" s="65">
        <v>0.001685823754789</v>
      </c>
      <c r="G108" s="65">
        <v>0.0147789595462</v>
      </c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>
      <c r="A109" s="26" t="s">
        <v>421</v>
      </c>
      <c r="B109" s="65">
        <v>0.237772069825436</v>
      </c>
      <c r="C109" s="65">
        <v>0.203972212326327</v>
      </c>
      <c r="D109" s="65">
        <v>0.273110873609626</v>
      </c>
      <c r="E109" s="65">
        <v>0.053053862838056</v>
      </c>
      <c r="F109" s="65">
        <v>0.038464732828822</v>
      </c>
      <c r="G109" s="65">
        <v>0.068720050954538</v>
      </c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>
      <c r="A110" s="26" t="s">
        <v>425</v>
      </c>
      <c r="B110" s="65">
        <v>0.097423263433813</v>
      </c>
      <c r="C110" s="65">
        <v>0.073771024464831</v>
      </c>
      <c r="D110" s="65">
        <v>0.122829565312363</v>
      </c>
      <c r="E110" s="65">
        <v>0.018797313237221</v>
      </c>
      <c r="F110" s="65">
        <v>0.007878030799475</v>
      </c>
      <c r="G110" s="65">
        <v>0.030723842289209</v>
      </c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>
      <c r="A111" s="26" t="s">
        <v>429</v>
      </c>
      <c r="B111" s="65">
        <v>0.200424429006847</v>
      </c>
      <c r="C111" s="65">
        <v>0.169506442227763</v>
      </c>
      <c r="D111" s="65">
        <v>0.232059484225943</v>
      </c>
      <c r="E111" s="65">
        <v>0.045585307564422</v>
      </c>
      <c r="F111" s="65">
        <v>0.032060743703511</v>
      </c>
      <c r="G111" s="65">
        <v>0.05959437625273</v>
      </c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>
      <c r="A112" s="26" t="s">
        <v>432</v>
      </c>
      <c r="B112" s="65">
        <v>0.256261797780763</v>
      </c>
      <c r="C112" s="65">
        <v>0.230628398102536</v>
      </c>
      <c r="D112" s="65">
        <v>0.282928206531654</v>
      </c>
      <c r="E112" s="65">
        <v>0.067485590718349</v>
      </c>
      <c r="F112" s="65">
        <v>0.052632855650097</v>
      </c>
      <c r="G112" s="65">
        <v>0.083314101607205</v>
      </c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>
      <c r="A113" s="26" t="s">
        <v>436</v>
      </c>
      <c r="B113" s="65">
        <v>0.288124072871572</v>
      </c>
      <c r="C113" s="65">
        <v>0.255399034992785</v>
      </c>
      <c r="D113" s="65">
        <v>0.321797664141414</v>
      </c>
      <c r="E113" s="65">
        <v>0.051091031102735</v>
      </c>
      <c r="F113" s="65">
        <v>0.037754644660894</v>
      </c>
      <c r="G113" s="65">
        <v>0.064309253246753</v>
      </c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>
      <c r="A114" s="26" t="s">
        <v>440</v>
      </c>
      <c r="B114" s="65">
        <v>0.155893767565213</v>
      </c>
      <c r="C114" s="65">
        <v>0.128632684162609</v>
      </c>
      <c r="D114" s="65">
        <v>0.185245764556861</v>
      </c>
      <c r="E114" s="65">
        <v>0.044204583238872</v>
      </c>
      <c r="F114" s="65">
        <v>0.029981249527695</v>
      </c>
      <c r="G114" s="65">
        <v>0.059814514939203</v>
      </c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>
      <c r="A115" s="26" t="s">
        <v>444</v>
      </c>
      <c r="B115" s="65">
        <v>0.232959812078087</v>
      </c>
      <c r="C115" s="65">
        <v>0.20811279875935</v>
      </c>
      <c r="D115" s="65">
        <v>0.25909446268929</v>
      </c>
      <c r="E115" s="65">
        <v>0.056490205337446</v>
      </c>
      <c r="F115" s="65">
        <v>0.041648765984972</v>
      </c>
      <c r="G115" s="65">
        <v>0.0731808520343</v>
      </c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>
      <c r="A116" s="26" t="s">
        <v>447</v>
      </c>
      <c r="B116" s="65">
        <v>0.288229709116062</v>
      </c>
      <c r="C116" s="65">
        <v>0.262268457841852</v>
      </c>
      <c r="D116" s="65">
        <v>0.314373225207514</v>
      </c>
      <c r="E116" s="65">
        <v>0.091311731667924</v>
      </c>
      <c r="F116" s="65">
        <v>0.073593234937845</v>
      </c>
      <c r="G116" s="65">
        <v>0.109883914505474</v>
      </c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>
      <c r="A117" s="26" t="s">
        <v>451</v>
      </c>
      <c r="B117" s="65">
        <v>0.232595681818181</v>
      </c>
      <c r="C117" s="65">
        <v>0.200693272005772</v>
      </c>
      <c r="D117" s="65">
        <v>0.265180961399711</v>
      </c>
      <c r="E117" s="65">
        <v>0.043449117208549</v>
      </c>
      <c r="F117" s="65">
        <v>0.030914301292142</v>
      </c>
      <c r="G117" s="65">
        <v>0.057983611716566</v>
      </c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>
      <c r="A118" s="26" t="s">
        <v>455</v>
      </c>
      <c r="B118" s="65">
        <v>0.26038870867919</v>
      </c>
      <c r="C118" s="65">
        <v>0.232552288117081</v>
      </c>
      <c r="D118" s="65">
        <v>0.28904871122761</v>
      </c>
      <c r="E118" s="65">
        <v>0.073211535241007</v>
      </c>
      <c r="F118" s="65">
        <v>0.05679868392311</v>
      </c>
      <c r="G118" s="65">
        <v>0.089759174311926</v>
      </c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>
      <c r="A119" s="26" t="s">
        <v>460</v>
      </c>
      <c r="B119" s="65">
        <v>0.111135064935064</v>
      </c>
      <c r="C119" s="65">
        <v>0.090403724747474</v>
      </c>
      <c r="D119" s="65">
        <v>0.134488906926406</v>
      </c>
      <c r="E119" s="65">
        <v>0.017830676482608</v>
      </c>
      <c r="F119" s="65">
        <v>0.009761273448773</v>
      </c>
      <c r="G119" s="65">
        <v>0.026563815918929</v>
      </c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>
      <c r="A120" s="26" t="s">
        <v>464</v>
      </c>
      <c r="B120" s="65">
        <v>0.18729463783981</v>
      </c>
      <c r="C120" s="65">
        <v>0.162898786717752</v>
      </c>
      <c r="D120" s="65">
        <v>0.210311165845648</v>
      </c>
      <c r="E120" s="65">
        <v>0.038643250236353</v>
      </c>
      <c r="F120" s="65">
        <v>0.027292290723325</v>
      </c>
      <c r="G120" s="65">
        <v>0.051332230349471</v>
      </c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>
      <c r="A121" s="26" t="s">
        <v>467</v>
      </c>
      <c r="B121" s="65">
        <v>0.273765442452284</v>
      </c>
      <c r="C121" s="65">
        <v>0.23885989010989</v>
      </c>
      <c r="D121" s="65">
        <v>0.308758595205963</v>
      </c>
      <c r="E121" s="65">
        <v>0.039897929555824</v>
      </c>
      <c r="F121" s="65">
        <v>0.023582353319195</v>
      </c>
      <c r="G121" s="65">
        <v>0.057593743975322</v>
      </c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>
      <c r="A122" s="26" t="s">
        <v>472</v>
      </c>
      <c r="B122" s="65">
        <v>0.300086787481524</v>
      </c>
      <c r="C122" s="65">
        <v>0.262331630357946</v>
      </c>
      <c r="D122" s="65">
        <v>0.337887346571557</v>
      </c>
      <c r="E122" s="65">
        <v>0.093026101855858</v>
      </c>
      <c r="F122" s="65">
        <v>0.067734582668793</v>
      </c>
      <c r="G122" s="65">
        <v>0.120346546728125</v>
      </c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>
      <c r="A123" s="26" t="s">
        <v>474</v>
      </c>
      <c r="B123" s="65">
        <v>0.260835643596169</v>
      </c>
      <c r="C123" s="65">
        <v>0.226203650151018</v>
      </c>
      <c r="D123" s="65">
        <v>0.296877530364372</v>
      </c>
      <c r="E123" s="65">
        <v>0.06056911772438</v>
      </c>
      <c r="F123" s="65">
        <v>0.040612830152303</v>
      </c>
      <c r="G123" s="65">
        <v>0.082073825297509</v>
      </c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>
      <c r="A124" s="26" t="s">
        <v>478</v>
      </c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>
      <c r="A125" s="26" t="s">
        <v>483</v>
      </c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>
      <c r="A126" s="26" t="s">
        <v>487</v>
      </c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>
      <c r="A127" s="26" t="s">
        <v>490</v>
      </c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>
      <c r="A128" s="26" t="s">
        <v>494</v>
      </c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>
      <c r="A129" s="26" t="s">
        <v>497</v>
      </c>
      <c r="B129" s="65">
        <v>0.196489116426387</v>
      </c>
      <c r="C129" s="65">
        <v>0.171091360856269</v>
      </c>
      <c r="D129" s="65">
        <v>0.222763351900393</v>
      </c>
      <c r="E129" s="65">
        <v>0.034890376073976</v>
      </c>
      <c r="F129" s="65">
        <v>0.024812281564001</v>
      </c>
      <c r="G129" s="65">
        <v>0.04696373962429</v>
      </c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>
      <c r="A130" s="26" t="s">
        <v>501</v>
      </c>
      <c r="B130" s="65">
        <v>0.150984958239322</v>
      </c>
      <c r="C130" s="65">
        <v>0.123339518267822</v>
      </c>
      <c r="D130" s="65">
        <v>0.180319736373352</v>
      </c>
      <c r="E130" s="65">
        <v>0.044810311432817</v>
      </c>
      <c r="F130" s="65">
        <v>0.030315481138423</v>
      </c>
      <c r="G130" s="65">
        <v>0.059860179997337</v>
      </c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>
      <c r="A131" s="26" t="s">
        <v>505</v>
      </c>
      <c r="B131" s="65">
        <v>0.135773603896103</v>
      </c>
      <c r="C131" s="65">
        <v>0.111447916666666</v>
      </c>
      <c r="D131" s="65">
        <v>0.160148042929292</v>
      </c>
      <c r="E131" s="65">
        <v>0.020944297520661</v>
      </c>
      <c r="F131" s="65">
        <v>0.013285853666535</v>
      </c>
      <c r="G131" s="65">
        <v>0.030037456545979</v>
      </c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>
      <c r="A132" s="26" t="s">
        <v>510</v>
      </c>
      <c r="B132" s="65">
        <v>0.172451143951833</v>
      </c>
      <c r="C132" s="65">
        <v>0.151057516876482</v>
      </c>
      <c r="D132" s="65">
        <v>0.1953103904397</v>
      </c>
      <c r="E132" s="65">
        <v>0.037056713605679</v>
      </c>
      <c r="F132" s="65">
        <v>0.026363528553183</v>
      </c>
      <c r="G132" s="65">
        <v>0.048318625499659</v>
      </c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>
      <c r="A133" s="26" t="s">
        <v>516</v>
      </c>
      <c r="B133" s="65">
        <v>0.194033999563128</v>
      </c>
      <c r="C133" s="65">
        <v>0.1669249672346</v>
      </c>
      <c r="D133" s="65">
        <v>0.220251474442988</v>
      </c>
      <c r="E133" s="65">
        <v>0.03711115115771</v>
      </c>
      <c r="F133" s="65">
        <v>0.024209807776321</v>
      </c>
      <c r="G133" s="65">
        <v>0.050753331148973</v>
      </c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>
      <c r="A134" s="26" t="s">
        <v>520</v>
      </c>
      <c r="B134" s="65">
        <v>0.286909321380373</v>
      </c>
      <c r="C134" s="65">
        <v>0.250328545723282</v>
      </c>
      <c r="D134" s="65">
        <v>0.324162168241115</v>
      </c>
      <c r="E134" s="65">
        <v>0.040739516331621</v>
      </c>
      <c r="F134" s="65">
        <v>0.024320175438596</v>
      </c>
      <c r="G134" s="65">
        <v>0.060533070730439</v>
      </c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>
      <c r="A135" s="26" t="s">
        <v>524</v>
      </c>
      <c r="B135" s="65">
        <v>0.257059750543198</v>
      </c>
      <c r="C135" s="65">
        <v>0.229613851984541</v>
      </c>
      <c r="D135" s="65">
        <v>0.285878858370237</v>
      </c>
      <c r="E135" s="65">
        <v>0.067489251795458</v>
      </c>
      <c r="F135" s="65">
        <v>0.052694216383871</v>
      </c>
      <c r="G135" s="65">
        <v>0.08281527093596</v>
      </c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>
      <c r="A136" s="26" t="s">
        <v>528</v>
      </c>
      <c r="B136" s="65">
        <v>0.287880627705627</v>
      </c>
      <c r="C136" s="65">
        <v>0.253460317460317</v>
      </c>
      <c r="D136" s="65">
        <v>0.321167658730158</v>
      </c>
      <c r="E136" s="65">
        <v>0.051452709247822</v>
      </c>
      <c r="F136" s="65">
        <v>0.039060384691066</v>
      </c>
      <c r="G136" s="65">
        <v>0.066345570149547</v>
      </c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>
      <c r="A137" s="26" t="s">
        <v>531</v>
      </c>
      <c r="B137" s="65">
        <v>0.237242419024588</v>
      </c>
      <c r="C137" s="65">
        <v>0.206106019223226</v>
      </c>
      <c r="D137" s="65">
        <v>0.270267688462825</v>
      </c>
      <c r="E137" s="65">
        <v>0.053878523517539</v>
      </c>
      <c r="F137" s="65">
        <v>0.038857916121008</v>
      </c>
      <c r="G137" s="65">
        <v>0.068735684687991</v>
      </c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>
      <c r="A138" s="26" t="s">
        <v>535</v>
      </c>
      <c r="B138" s="65">
        <v>0.273295328063749</v>
      </c>
      <c r="C138" s="65">
        <v>0.236349688323372</v>
      </c>
      <c r="D138" s="65">
        <v>0.308923751686909</v>
      </c>
      <c r="E138" s="65">
        <v>0.051847278160436</v>
      </c>
      <c r="F138" s="65">
        <v>0.034343149540517</v>
      </c>
      <c r="G138" s="65">
        <v>0.070591382301908</v>
      </c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>
      <c r="A139" s="26" t="s">
        <v>539</v>
      </c>
      <c r="B139" s="65">
        <v>0.200266856667854</v>
      </c>
      <c r="C139" s="65">
        <v>0.169140838380239</v>
      </c>
      <c r="D139" s="65">
        <v>0.233511607885049</v>
      </c>
      <c r="E139" s="65">
        <v>0.045781036316136</v>
      </c>
      <c r="F139" s="65">
        <v>0.03167831458511</v>
      </c>
      <c r="G139" s="65">
        <v>0.060230488893207</v>
      </c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>
      <c r="A140" s="26" t="s">
        <v>542</v>
      </c>
      <c r="B140" s="65">
        <v>0.288260423037716</v>
      </c>
      <c r="C140" s="65">
        <v>0.261696019003931</v>
      </c>
      <c r="D140" s="65">
        <v>0.314674484855104</v>
      </c>
      <c r="E140" s="65">
        <v>0.091344839284059</v>
      </c>
      <c r="F140" s="65">
        <v>0.073581990448389</v>
      </c>
      <c r="G140" s="65">
        <v>0.11048654550088</v>
      </c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>
      <c r="A141" s="26" t="s">
        <v>547</v>
      </c>
      <c r="B141" s="65">
        <v>0.232178492975734</v>
      </c>
      <c r="C141" s="65">
        <v>0.206086804000597</v>
      </c>
      <c r="D141" s="65">
        <v>0.258947960723822</v>
      </c>
      <c r="E141" s="65">
        <v>0.056047683899752</v>
      </c>
      <c r="F141" s="65">
        <v>0.041862326051981</v>
      </c>
      <c r="G141" s="65">
        <v>0.071314723590585</v>
      </c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>
      <c r="A142" s="26" t="s">
        <v>551</v>
      </c>
      <c r="B142" s="65">
        <v>0.260256900757244</v>
      </c>
      <c r="C142" s="65">
        <v>0.233168277632153</v>
      </c>
      <c r="D142" s="65">
        <v>0.289930919615552</v>
      </c>
      <c r="E142" s="65">
        <v>0.073562609217999</v>
      </c>
      <c r="F142" s="65">
        <v>0.056486047400611</v>
      </c>
      <c r="G142" s="65">
        <v>0.091096412188728</v>
      </c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>
      <c r="A143" s="26" t="s">
        <v>555</v>
      </c>
      <c r="B143" s="65">
        <v>0.153303469500851</v>
      </c>
      <c r="C143" s="65">
        <v>0.126133970628983</v>
      </c>
      <c r="D143" s="65">
        <v>0.181849839686498</v>
      </c>
      <c r="E143" s="65">
        <v>0.04068843133868</v>
      </c>
      <c r="F143" s="65">
        <v>0.027875103906899</v>
      </c>
      <c r="G143" s="65">
        <v>0.055034446711504</v>
      </c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>
      <c r="A144" s="26" t="s">
        <v>559</v>
      </c>
      <c r="B144" s="65">
        <v>0.121542047258297</v>
      </c>
      <c r="C144" s="65">
        <v>0.099326118326118</v>
      </c>
      <c r="D144" s="65">
        <v>0.144367875180375</v>
      </c>
      <c r="E144" s="65">
        <v>0.016754357864357</v>
      </c>
      <c r="F144" s="65">
        <v>0.008420819395251</v>
      </c>
      <c r="G144" s="65">
        <v>0.025368731962481</v>
      </c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>
      <c r="A145" s="26" t="s">
        <v>563</v>
      </c>
      <c r="B145" s="65">
        <v>0.232157647907647</v>
      </c>
      <c r="C145" s="65">
        <v>0.202136859668109</v>
      </c>
      <c r="D145" s="65">
        <v>0.265465367965367</v>
      </c>
      <c r="E145" s="65">
        <v>0.043594170539056</v>
      </c>
      <c r="F145" s="65">
        <v>0.031301406926406</v>
      </c>
      <c r="G145" s="65">
        <v>0.058073638167388</v>
      </c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>
      <c r="A146" s="26" t="s">
        <v>567</v>
      </c>
      <c r="B146" s="65">
        <v>0.16087251316154</v>
      </c>
      <c r="C146" s="65">
        <v>0.131500168230218</v>
      </c>
      <c r="D146" s="65">
        <v>0.191350888651387</v>
      </c>
      <c r="E146" s="65">
        <v>0.045342650948386</v>
      </c>
      <c r="F146" s="65">
        <v>0.030617512855667</v>
      </c>
      <c r="G146" s="65">
        <v>0.060964215543392</v>
      </c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>
      <c r="A147" s="26" t="s">
        <v>571</v>
      </c>
      <c r="B147" s="65">
        <v>0.188737139208173</v>
      </c>
      <c r="C147" s="65">
        <v>0.163671273490239</v>
      </c>
      <c r="D147" s="65">
        <v>0.212972085385878</v>
      </c>
      <c r="E147" s="65">
        <v>0.041393114395183</v>
      </c>
      <c r="F147" s="65">
        <v>0.029828498449188</v>
      </c>
      <c r="G147" s="65">
        <v>0.053729093065299</v>
      </c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>
      <c r="A148" s="26" t="s">
        <v>574</v>
      </c>
      <c r="B148" s="65">
        <v>0.195312789427697</v>
      </c>
      <c r="C148" s="65">
        <v>0.169326124945391</v>
      </c>
      <c r="D148" s="65">
        <v>0.221477992573176</v>
      </c>
      <c r="E148" s="65">
        <v>0.034733099673007</v>
      </c>
      <c r="F148" s="65">
        <v>0.023799148099606</v>
      </c>
      <c r="G148" s="65">
        <v>0.047174211810106</v>
      </c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>
      <c r="A149" s="26" t="s">
        <v>577</v>
      </c>
      <c r="B149" s="65">
        <v>0.189546704980842</v>
      </c>
      <c r="C149" s="65">
        <v>0.164650474365991</v>
      </c>
      <c r="D149" s="65">
        <v>0.214610563765736</v>
      </c>
      <c r="E149" s="65">
        <v>0.042411282612661</v>
      </c>
      <c r="F149" s="65">
        <v>0.03063382594417</v>
      </c>
      <c r="G149" s="65">
        <v>0.054669038496624</v>
      </c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>
      <c r="A150" s="26" t="s">
        <v>578</v>
      </c>
      <c r="B150" s="65">
        <v>0.14130222041847</v>
      </c>
      <c r="C150" s="65">
        <v>0.115577606421356</v>
      </c>
      <c r="D150" s="65">
        <v>0.167051722582972</v>
      </c>
      <c r="E150" s="65">
        <v>0.022719937562437</v>
      </c>
      <c r="F150" s="65">
        <v>0.01396823757051</v>
      </c>
      <c r="G150" s="65">
        <v>0.032542830906467</v>
      </c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>
      <c r="A151" s="26" t="s">
        <v>581</v>
      </c>
      <c r="B151" s="65">
        <v>0.233164773822668</v>
      </c>
      <c r="C151" s="65">
        <v>0.193210028275817</v>
      </c>
      <c r="D151" s="65">
        <v>0.272375037243458</v>
      </c>
      <c r="E151" s="65">
        <v>0.039998548819601</v>
      </c>
      <c r="F151" s="65">
        <v>0.025452508018297</v>
      </c>
      <c r="G151" s="65">
        <v>0.055054156369945</v>
      </c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>
      <c r="A152" s="26" t="s">
        <v>585</v>
      </c>
      <c r="B152" s="65">
        <v>0.229453235069024</v>
      </c>
      <c r="C152" s="65">
        <v>0.192383201593727</v>
      </c>
      <c r="D152" s="65">
        <v>0.26680643917486</v>
      </c>
      <c r="E152" s="65">
        <v>0.023526677393681</v>
      </c>
      <c r="F152" s="65">
        <v>0.011408810487757</v>
      </c>
      <c r="G152" s="65">
        <v>0.038000505454958</v>
      </c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>
      <c r="A153" s="26" t="s">
        <v>589</v>
      </c>
      <c r="B153" s="65">
        <v>0.201584321756225</v>
      </c>
      <c r="C153" s="65">
        <v>0.175058158584534</v>
      </c>
      <c r="D153" s="65">
        <v>0.228299748798602</v>
      </c>
      <c r="E153" s="65">
        <v>0.050297193097422</v>
      </c>
      <c r="F153" s="65">
        <v>0.037144449905344</v>
      </c>
      <c r="G153" s="65">
        <v>0.064132126474442</v>
      </c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>
      <c r="A154" s="26" t="s">
        <v>593</v>
      </c>
      <c r="B154" s="65">
        <v>0.083799673435458</v>
      </c>
      <c r="C154" s="65">
        <v>0.065425474013379</v>
      </c>
      <c r="D154" s="65">
        <v>0.105174167755215</v>
      </c>
      <c r="E154" s="65">
        <v>0.012477839090806</v>
      </c>
      <c r="F154" s="65">
        <v>0.006479224917504</v>
      </c>
      <c r="G154" s="65">
        <v>0.01921226702087</v>
      </c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>
      <c r="A155" s="26" t="s">
        <v>598</v>
      </c>
      <c r="B155" s="65">
        <v>0.264778645331276</v>
      </c>
      <c r="C155" s="65">
        <v>0.223363697705802</v>
      </c>
      <c r="D155" s="65">
        <v>0.306164047940363</v>
      </c>
      <c r="E155" s="65">
        <v>0.056234737192631</v>
      </c>
      <c r="F155" s="65">
        <v>0.03678684619474</v>
      </c>
      <c r="G155" s="65">
        <v>0.077905508234455</v>
      </c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>
      <c r="A156" s="26" t="s">
        <v>603</v>
      </c>
      <c r="B156" s="65">
        <v>0.132229501915708</v>
      </c>
      <c r="C156" s="65">
        <v>0.112704251049078</v>
      </c>
      <c r="D156" s="65">
        <v>0.15226555373107</v>
      </c>
      <c r="E156" s="65">
        <v>0.020509867705729</v>
      </c>
      <c r="F156" s="65">
        <v>0.012792858801479</v>
      </c>
      <c r="G156" s="65">
        <v>0.028348124098124</v>
      </c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>
      <c r="A157" s="26" t="s">
        <v>608</v>
      </c>
      <c r="B157" s="65">
        <v>0.080227916666666</v>
      </c>
      <c r="C157" s="65">
        <v>0.061829365079365</v>
      </c>
      <c r="D157" s="65">
        <v>0.098570707070707</v>
      </c>
      <c r="E157" s="65">
        <v>0.012903684245047</v>
      </c>
      <c r="F157" s="65">
        <v>0.006652470320083</v>
      </c>
      <c r="G157" s="65">
        <v>0.020260330578512</v>
      </c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>
      <c r="A158" s="26" t="s">
        <v>613</v>
      </c>
      <c r="B158" s="65">
        <v>0.118115791869532</v>
      </c>
      <c r="C158" s="65">
        <v>0.093822437952737</v>
      </c>
      <c r="D158" s="65">
        <v>0.144128517990737</v>
      </c>
      <c r="E158" s="65">
        <v>0.012615857957503</v>
      </c>
      <c r="F158" s="65">
        <v>0.00599063758353</v>
      </c>
      <c r="G158" s="65">
        <v>0.019817825565955</v>
      </c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>
      <c r="A159" s="26" t="s">
        <v>617</v>
      </c>
      <c r="B159" s="65">
        <v>0.256708971145813</v>
      </c>
      <c r="C159" s="65">
        <v>0.213568054752265</v>
      </c>
      <c r="D159" s="65">
        <v>0.297913212518475</v>
      </c>
      <c r="E159" s="65">
        <v>0.044635044959538</v>
      </c>
      <c r="F159" s="65">
        <v>0.026760892616155</v>
      </c>
      <c r="G159" s="65">
        <v>0.064383060708971</v>
      </c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>
      <c r="A160" s="26" t="s">
        <v>622</v>
      </c>
      <c r="B160" s="65">
        <v>0.160174386558904</v>
      </c>
      <c r="C160" s="65">
        <v>0.137242518567059</v>
      </c>
      <c r="D160" s="65">
        <v>0.185919661060142</v>
      </c>
      <c r="E160" s="65">
        <v>0.029714041794087</v>
      </c>
      <c r="F160" s="65">
        <v>0.020612212392602</v>
      </c>
      <c r="G160" s="65">
        <v>0.039227919761176</v>
      </c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>
      <c r="A161" s="26" t="s">
        <v>628</v>
      </c>
      <c r="B161" s="65">
        <v>0.13923914580949</v>
      </c>
      <c r="C161" s="65">
        <v>0.11837146506112</v>
      </c>
      <c r="D161" s="65">
        <v>0.159684911512497</v>
      </c>
      <c r="E161" s="65">
        <v>0.019887946217256</v>
      </c>
      <c r="F161" s="65">
        <v>0.012325790748204</v>
      </c>
      <c r="G161" s="65">
        <v>0.028485229967988</v>
      </c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>
      <c r="A162" s="26" t="s">
        <v>637</v>
      </c>
      <c r="B162" s="65">
        <v>0.116891746031746</v>
      </c>
      <c r="C162" s="65">
        <v>0.091541125541125</v>
      </c>
      <c r="D162" s="65">
        <v>0.14070459054834</v>
      </c>
      <c r="E162" s="65">
        <v>0.01289197958607</v>
      </c>
      <c r="F162" s="65">
        <v>0.006680961399711</v>
      </c>
      <c r="G162" s="65">
        <v>0.020369274349387</v>
      </c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>
      <c r="A163" s="26" t="s">
        <v>639</v>
      </c>
      <c r="B163" s="65">
        <v>0.14326613695937</v>
      </c>
      <c r="C163" s="65">
        <v>0.118631498470948</v>
      </c>
      <c r="D163" s="65">
        <v>0.167693861948449</v>
      </c>
      <c r="E163" s="65">
        <v>0.019072249526722</v>
      </c>
      <c r="F163" s="65">
        <v>0.011053750976342</v>
      </c>
      <c r="G163" s="65">
        <v>0.027780280690257</v>
      </c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>
      <c r="A164" s="26" t="s">
        <v>644</v>
      </c>
      <c r="B164" s="65">
        <v>0.228446018893387</v>
      </c>
      <c r="C164" s="65">
        <v>0.189920715249662</v>
      </c>
      <c r="D164" s="65">
        <v>0.269224262579525</v>
      </c>
      <c r="E164" s="65">
        <v>0.030942465137201</v>
      </c>
      <c r="F164" s="65">
        <v>0.016003952188162</v>
      </c>
      <c r="G164" s="65">
        <v>0.047455658376711</v>
      </c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>
      <c r="A165" s="26" t="s">
        <v>648</v>
      </c>
      <c r="B165" s="65">
        <v>0.081972244687131</v>
      </c>
      <c r="C165" s="65">
        <v>0.06287261002886</v>
      </c>
      <c r="D165" s="65">
        <v>0.101836366915912</v>
      </c>
      <c r="E165" s="65">
        <v>0.011279135309135</v>
      </c>
      <c r="F165" s="65">
        <v>0.005676681588613</v>
      </c>
      <c r="G165" s="65">
        <v>0.017265606552538</v>
      </c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>
      <c r="A166" s="26" t="s">
        <v>652</v>
      </c>
      <c r="B166" s="65">
        <v>0.088075940919706</v>
      </c>
      <c r="C166" s="65">
        <v>0.067068934805842</v>
      </c>
      <c r="D166" s="65">
        <v>0.110034289276807</v>
      </c>
      <c r="E166" s="65">
        <v>0.017008967355725</v>
      </c>
      <c r="F166" s="65">
        <v>0.009148796963634</v>
      </c>
      <c r="G166" s="65">
        <v>0.026906040758908</v>
      </c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>
      <c r="A167" s="26" t="s">
        <v>656</v>
      </c>
      <c r="B167" s="65">
        <v>0.12648851122058</v>
      </c>
      <c r="C167" s="65">
        <v>0.104726555373107</v>
      </c>
      <c r="D167" s="65">
        <v>0.148143951833607</v>
      </c>
      <c r="E167" s="65">
        <v>0.025136786916786</v>
      </c>
      <c r="F167" s="65">
        <v>0.016686968204209</v>
      </c>
      <c r="G167" s="65">
        <v>0.034820470717022</v>
      </c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>
      <c r="A168" s="26" t="s">
        <v>660</v>
      </c>
      <c r="B168" s="65">
        <v>0.083267220836796</v>
      </c>
      <c r="C168" s="65">
        <v>0.06296723469105</v>
      </c>
      <c r="D168" s="65">
        <v>0.104590854213672</v>
      </c>
      <c r="E168" s="65">
        <v>0.010732709130714</v>
      </c>
      <c r="F168" s="65">
        <v>0.00395425127657</v>
      </c>
      <c r="G168" s="65">
        <v>0.01875108854847</v>
      </c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>
      <c r="A169" s="26" t="s">
        <v>663</v>
      </c>
      <c r="B169" s="65">
        <v>0.125881647841303</v>
      </c>
      <c r="C169" s="65">
        <v>0.104762908228425</v>
      </c>
      <c r="D169" s="65">
        <v>0.148142906901527</v>
      </c>
      <c r="E169" s="65">
        <v>0.020346951452123</v>
      </c>
      <c r="F169" s="65">
        <v>0.012245301952198</v>
      </c>
      <c r="G169" s="65">
        <v>0.02924209666451</v>
      </c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>
      <c r="A170" s="26" t="s">
        <v>666</v>
      </c>
      <c r="B170" s="65">
        <v>0.143677366389981</v>
      </c>
      <c r="C170" s="65">
        <v>0.119221685233726</v>
      </c>
      <c r="D170" s="65">
        <v>0.168366781345565</v>
      </c>
      <c r="E170" s="65">
        <v>0.021950233825807</v>
      </c>
      <c r="F170" s="65">
        <v>0.013135148172418</v>
      </c>
      <c r="G170" s="65">
        <v>0.031222583799992</v>
      </c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>
      <c r="A171" s="26" t="s">
        <v>669</v>
      </c>
      <c r="B171" s="65">
        <v>0.072444825036075</v>
      </c>
      <c r="C171" s="65">
        <v>0.054304563492063</v>
      </c>
      <c r="D171" s="65">
        <v>0.0900533008658</v>
      </c>
      <c r="E171" s="65">
        <v>0.011384538289992</v>
      </c>
      <c r="F171" s="65">
        <v>0.005246347402597</v>
      </c>
      <c r="G171" s="65">
        <v>0.01831486947396</v>
      </c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>
      <c r="A172" s="26" t="s">
        <v>672</v>
      </c>
      <c r="B172" s="65">
        <v>0.078559729464218</v>
      </c>
      <c r="C172" s="65">
        <v>0.05800003958358</v>
      </c>
      <c r="D172" s="65">
        <v>0.100186785021573</v>
      </c>
      <c r="E172" s="65">
        <v>0.016348510874974</v>
      </c>
      <c r="F172" s="65">
        <v>0.008154991309604</v>
      </c>
      <c r="G172" s="65">
        <v>0.025845208407552</v>
      </c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>
      <c r="A173" s="26" t="s">
        <v>674</v>
      </c>
      <c r="B173" s="65">
        <v>0.146923296199213</v>
      </c>
      <c r="C173" s="65">
        <v>0.122476518130187</v>
      </c>
      <c r="D173" s="65">
        <v>0.172969637396242</v>
      </c>
      <c r="E173" s="65">
        <v>0.020185217343818</v>
      </c>
      <c r="F173" s="65">
        <v>0.011886604412407</v>
      </c>
      <c r="G173" s="65">
        <v>0.029554390563564</v>
      </c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>
      <c r="A174" s="26" t="s">
        <v>678</v>
      </c>
      <c r="B174" s="65">
        <v>0.118944948333913</v>
      </c>
      <c r="C174" s="65">
        <v>0.097928936325488</v>
      </c>
      <c r="D174" s="65">
        <v>0.141015371282612</v>
      </c>
      <c r="E174" s="65">
        <v>0.022295345152931</v>
      </c>
      <c r="F174" s="65">
        <v>0.012606985288019</v>
      </c>
      <c r="G174" s="65">
        <v>0.032769459786701</v>
      </c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>
      <c r="A175" s="26" t="s">
        <v>680</v>
      </c>
      <c r="B175" s="65">
        <v>0.067117339466089</v>
      </c>
      <c r="C175" s="65">
        <v>0.05116608044733</v>
      </c>
      <c r="D175" s="65">
        <v>0.084934027777777</v>
      </c>
      <c r="E175" s="65">
        <v>0.012460445753741</v>
      </c>
      <c r="F175" s="65">
        <v>0.005416621572871</v>
      </c>
      <c r="G175" s="65">
        <v>0.02101885456715</v>
      </c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>
      <c r="A176" s="26" t="s">
        <v>683</v>
      </c>
      <c r="B176" s="65">
        <v>0.232173196394249</v>
      </c>
      <c r="C176" s="65">
        <v>0.195995035666088</v>
      </c>
      <c r="D176" s="65">
        <v>0.268084590847748</v>
      </c>
      <c r="E176" s="65">
        <v>0.039748113874429</v>
      </c>
      <c r="F176" s="65">
        <v>0.025229434308381</v>
      </c>
      <c r="G176" s="65">
        <v>0.055393108353634</v>
      </c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>
      <c r="A177" s="26" t="s">
        <v>686</v>
      </c>
      <c r="B177" s="65">
        <v>0.230424664224664</v>
      </c>
      <c r="C177" s="65">
        <v>0.193599434191539</v>
      </c>
      <c r="D177" s="65">
        <v>0.271080586080586</v>
      </c>
      <c r="E177" s="65">
        <v>0.023545608350264</v>
      </c>
      <c r="F177" s="65">
        <v>0.011537015615962</v>
      </c>
      <c r="G177" s="65">
        <v>0.037135627530364</v>
      </c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>
      <c r="A178" s="26" t="s">
        <v>688</v>
      </c>
      <c r="B178" s="65">
        <v>0.125772848405417</v>
      </c>
      <c r="C178" s="65">
        <v>0.102041420926168</v>
      </c>
      <c r="D178" s="65">
        <v>0.149443124726954</v>
      </c>
      <c r="E178" s="65">
        <v>0.021168348623853</v>
      </c>
      <c r="F178" s="65">
        <v>0.012276103101791</v>
      </c>
      <c r="G178" s="65">
        <v>0.032248389034512</v>
      </c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>
      <c r="A179" s="26" t="s">
        <v>692</v>
      </c>
      <c r="B179" s="65">
        <v>0.255543317209106</v>
      </c>
      <c r="C179" s="65">
        <v>0.218530219780219</v>
      </c>
      <c r="D179" s="65">
        <v>0.294849945376261</v>
      </c>
      <c r="E179" s="65">
        <v>0.040019142778049</v>
      </c>
      <c r="F179" s="65">
        <v>0.023892262708052</v>
      </c>
      <c r="G179" s="65">
        <v>0.059110998650472</v>
      </c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>
      <c r="A180" s="26" t="s">
        <v>694</v>
      </c>
      <c r="B180" s="65">
        <v>0.132430149607735</v>
      </c>
      <c r="C180" s="65">
        <v>0.111083150884875</v>
      </c>
      <c r="D180" s="65">
        <v>0.154271209633278</v>
      </c>
      <c r="E180" s="65">
        <v>0.020606697708421</v>
      </c>
      <c r="F180" s="65">
        <v>0.013281294057156</v>
      </c>
      <c r="G180" s="65">
        <v>0.028010163208439</v>
      </c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>
      <c r="A181" s="26" t="s">
        <v>696</v>
      </c>
      <c r="B181" s="65">
        <v>0.083691010568816</v>
      </c>
      <c r="C181" s="65">
        <v>0.062688467323754</v>
      </c>
      <c r="D181" s="65">
        <v>0.106470183667814</v>
      </c>
      <c r="E181" s="65">
        <v>0.01238161309458</v>
      </c>
      <c r="F181" s="65">
        <v>0.00648646241539</v>
      </c>
      <c r="G181" s="65">
        <v>0.019649328227881</v>
      </c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>
      <c r="A182" s="26" t="s">
        <v>699</v>
      </c>
      <c r="B182" s="65">
        <v>0.080862914862914</v>
      </c>
      <c r="C182" s="65">
        <v>0.062993326118326</v>
      </c>
      <c r="D182" s="65">
        <v>0.101396284271284</v>
      </c>
      <c r="E182" s="65">
        <v>0.012904276695526</v>
      </c>
      <c r="F182" s="65">
        <v>0.006549066148497</v>
      </c>
      <c r="G182" s="65">
        <v>0.020191160796274</v>
      </c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>
      <c r="A183" s="26" t="s">
        <v>702</v>
      </c>
      <c r="B183" s="65">
        <v>0.116912586580086</v>
      </c>
      <c r="C183" s="65">
        <v>0.09331286075036</v>
      </c>
      <c r="D183" s="65">
        <v>0.141939844877344</v>
      </c>
      <c r="E183" s="65">
        <v>0.012897411464797</v>
      </c>
      <c r="F183" s="65">
        <v>0.006970147907647</v>
      </c>
      <c r="G183" s="65">
        <v>0.020235283025055</v>
      </c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>
      <c r="A184" s="26" t="s">
        <v>705</v>
      </c>
      <c r="B184" s="65">
        <v>0.282041790373369</v>
      </c>
      <c r="C184" s="65">
        <v>0.236999469828417</v>
      </c>
      <c r="D184" s="65">
        <v>0.331395154553049</v>
      </c>
      <c r="E184" s="65">
        <v>0.020204459867617</v>
      </c>
      <c r="F184" s="65">
        <v>0.008558656256024</v>
      </c>
      <c r="G184" s="65">
        <v>0.033603399524452</v>
      </c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>
      <c r="A185" s="26" t="s">
        <v>708</v>
      </c>
      <c r="B185" s="65">
        <v>0.117709864228318</v>
      </c>
      <c r="C185" s="65">
        <v>0.091796203934607</v>
      </c>
      <c r="D185" s="65">
        <v>0.142595198511657</v>
      </c>
      <c r="E185" s="65">
        <v>0.012625926179666</v>
      </c>
      <c r="F185" s="65">
        <v>0.005660658958663</v>
      </c>
      <c r="G185" s="65">
        <v>0.020021908681509</v>
      </c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>
      <c r="A186" s="26" t="s">
        <v>711</v>
      </c>
      <c r="B186" s="65">
        <v>0.160212361657201</v>
      </c>
      <c r="C186" s="65">
        <v>0.137816732197466</v>
      </c>
      <c r="D186" s="65">
        <v>0.184649728775302</v>
      </c>
      <c r="E186" s="65">
        <v>0.029606593126547</v>
      </c>
      <c r="F186" s="65">
        <v>0.02030621996505</v>
      </c>
      <c r="G186" s="65">
        <v>0.039487767584097</v>
      </c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>
      <c r="A187" s="26" t="s">
        <v>715</v>
      </c>
      <c r="B187" s="65">
        <v>0.126037287820736</v>
      </c>
      <c r="C187" s="65">
        <v>0.104008666301769</v>
      </c>
      <c r="D187" s="65">
        <v>0.149699988389643</v>
      </c>
      <c r="E187" s="65">
        <v>0.020710101584239</v>
      </c>
      <c r="F187" s="65">
        <v>0.012243601864291</v>
      </c>
      <c r="G187" s="65">
        <v>0.029876460066115</v>
      </c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>
      <c r="A188" s="26" t="s">
        <v>718</v>
      </c>
      <c r="B188" s="65">
        <v>0.139244856114511</v>
      </c>
      <c r="C188" s="65">
        <v>0.118542290723325</v>
      </c>
      <c r="D188" s="65">
        <v>0.160771118409049</v>
      </c>
      <c r="E188" s="65">
        <v>0.019893908798736</v>
      </c>
      <c r="F188" s="65">
        <v>0.012741474681129</v>
      </c>
      <c r="G188" s="65">
        <v>0.028338719709409</v>
      </c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>
      <c r="A189" s="26" t="s">
        <v>721</v>
      </c>
      <c r="B189" s="65">
        <v>0.096516340102125</v>
      </c>
      <c r="C189" s="65">
        <v>0.075155266595416</v>
      </c>
      <c r="D189" s="65">
        <v>0.119824199422079</v>
      </c>
      <c r="E189" s="65">
        <v>0.012185887582251</v>
      </c>
      <c r="F189" s="65">
        <v>0.005905622137411</v>
      </c>
      <c r="G189" s="65">
        <v>0.019877672530907</v>
      </c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>
      <c r="A190" s="26" t="s">
        <v>723</v>
      </c>
      <c r="B190" s="65">
        <v>0.14354492682394</v>
      </c>
      <c r="C190" s="65">
        <v>0.120998252512013</v>
      </c>
      <c r="D190" s="65">
        <v>0.165717016164263</v>
      </c>
      <c r="E190" s="65">
        <v>0.018771030918622</v>
      </c>
      <c r="F190" s="65">
        <v>0.010729166666666</v>
      </c>
      <c r="G190" s="65">
        <v>0.029724543104703</v>
      </c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>
      <c r="A191" s="26" t="s">
        <v>726</v>
      </c>
      <c r="B191" s="65">
        <v>0.088243524531024</v>
      </c>
      <c r="C191" s="65">
        <v>0.068340187590187</v>
      </c>
      <c r="D191" s="65">
        <v>0.109237914862914</v>
      </c>
      <c r="E191" s="65">
        <v>0.010596478130455</v>
      </c>
      <c r="F191" s="65">
        <v>0.005132645447986</v>
      </c>
      <c r="G191" s="65">
        <v>0.016745613603568</v>
      </c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>
      <c r="A192" s="26" t="s">
        <v>730</v>
      </c>
      <c r="B192" s="65">
        <v>0.171234207313154</v>
      </c>
      <c r="C192" s="65">
        <v>0.13647291305186</v>
      </c>
      <c r="D192" s="65">
        <v>0.206527376132639</v>
      </c>
      <c r="E192" s="65">
        <v>0.035726314913157</v>
      </c>
      <c r="F192" s="65">
        <v>0.02079313230629</v>
      </c>
      <c r="G192" s="65">
        <v>0.053492560071507</v>
      </c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>
      <c r="A193" s="26" t="s">
        <v>734</v>
      </c>
      <c r="B193" s="65">
        <v>0.078546412337662</v>
      </c>
      <c r="C193" s="65">
        <v>0.060336489898989</v>
      </c>
      <c r="D193" s="65">
        <v>0.097953057359307</v>
      </c>
      <c r="E193" s="65">
        <v>0.01180280253837</v>
      </c>
      <c r="F193" s="65">
        <v>0.005701794733044</v>
      </c>
      <c r="G193" s="65">
        <v>0.017881112258953</v>
      </c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>
      <c r="A194" s="26" t="s">
        <v>739</v>
      </c>
      <c r="B194" s="65">
        <v>0.144097548055919</v>
      </c>
      <c r="C194" s="65">
        <v>0.120360692442114</v>
      </c>
      <c r="D194" s="65">
        <v>0.168864132809086</v>
      </c>
      <c r="E194" s="65">
        <v>0.019892644167758</v>
      </c>
      <c r="F194" s="65">
        <v>0.012243201179554</v>
      </c>
      <c r="G194" s="65">
        <v>0.028760921799912</v>
      </c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>
      <c r="A195" s="26" t="s">
        <v>743</v>
      </c>
      <c r="B195" s="65">
        <v>0.08549964968531</v>
      </c>
      <c r="C195" s="65">
        <v>0.063128042987768</v>
      </c>
      <c r="D195" s="65">
        <v>0.107333600522503</v>
      </c>
      <c r="E195" s="65">
        <v>0.012738985467289</v>
      </c>
      <c r="F195" s="65">
        <v>0.005093236460131</v>
      </c>
      <c r="G195" s="65">
        <v>0.021173790361757</v>
      </c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>
      <c r="A196" s="26" t="s">
        <v>749</v>
      </c>
      <c r="B196" s="65">
        <v>0.129596377734653</v>
      </c>
      <c r="C196" s="65">
        <v>0.107815142392728</v>
      </c>
      <c r="D196" s="65">
        <v>0.150546806322668</v>
      </c>
      <c r="E196" s="65">
        <v>0.02144864052933</v>
      </c>
      <c r="F196" s="65">
        <v>0.01303986498814</v>
      </c>
      <c r="G196" s="65">
        <v>0.031529606408916</v>
      </c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>
      <c r="A197" s="26" t="s">
        <v>754</v>
      </c>
      <c r="B197" s="65">
        <v>0.159846985583224</v>
      </c>
      <c r="C197" s="65">
        <v>0.133637778505897</v>
      </c>
      <c r="D197" s="65">
        <v>0.188699486675404</v>
      </c>
      <c r="E197" s="65">
        <v>0.018803928207368</v>
      </c>
      <c r="F197" s="65">
        <v>0.009982525120139</v>
      </c>
      <c r="G197" s="65">
        <v>0.028457295762341</v>
      </c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>
      <c r="A198" s="26" t="s">
        <v>759</v>
      </c>
      <c r="B198" s="65">
        <v>0.07651444009025</v>
      </c>
      <c r="C198" s="65">
        <v>0.057011043819023</v>
      </c>
      <c r="D198" s="65">
        <v>0.096974973281083</v>
      </c>
      <c r="E198" s="65">
        <v>0.022721592400395</v>
      </c>
      <c r="F198" s="65">
        <v>0.012535899608842</v>
      </c>
      <c r="G198" s="65">
        <v>0.034201207838988</v>
      </c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>
      <c r="A199" s="26" t="s">
        <v>764</v>
      </c>
      <c r="B199" s="65">
        <v>0.09428336352026</v>
      </c>
      <c r="C199" s="65">
        <v>0.075694353220215</v>
      </c>
      <c r="D199" s="65">
        <v>0.113219166210545</v>
      </c>
      <c r="E199" s="65">
        <v>0.025874183543149</v>
      </c>
      <c r="F199" s="65">
        <v>0.016600072979383</v>
      </c>
      <c r="G199" s="65">
        <v>0.036777686553548</v>
      </c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>
      <c r="A200" s="26" t="s">
        <v>774</v>
      </c>
      <c r="B200" s="65">
        <v>0.05977134018759</v>
      </c>
      <c r="C200" s="65">
        <v>0.043855925324675</v>
      </c>
      <c r="D200" s="65">
        <v>0.077402822871572</v>
      </c>
      <c r="E200" s="65">
        <v>0.011700231422617</v>
      </c>
      <c r="F200" s="65">
        <v>0.006097943722943</v>
      </c>
      <c r="G200" s="65">
        <v>0.018306891971664</v>
      </c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>
      <c r="A201" s="26" t="s">
        <v>781</v>
      </c>
      <c r="B201" s="65">
        <v>0.112084862385321</v>
      </c>
      <c r="C201" s="65">
        <v>0.090714012669287</v>
      </c>
      <c r="D201" s="65">
        <v>0.133872324159021</v>
      </c>
      <c r="E201" s="65">
        <v>0.020881272753749</v>
      </c>
      <c r="F201" s="65">
        <v>0.011434305373525</v>
      </c>
      <c r="G201" s="65">
        <v>0.030566932430464</v>
      </c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>
      <c r="A202" s="26" t="s">
        <v>795</v>
      </c>
      <c r="B202" s="65">
        <v>0.387901176016965</v>
      </c>
      <c r="C202" s="65">
        <v>0.342306487372276</v>
      </c>
      <c r="D202" s="65">
        <v>0.434032035216245</v>
      </c>
      <c r="E202" s="65">
        <v>0.233524755451476</v>
      </c>
      <c r="F202" s="65">
        <v>0.198109638899112</v>
      </c>
      <c r="G202" s="65">
        <v>0.272956743548848</v>
      </c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>
      <c r="A203" s="26" t="s">
        <v>801</v>
      </c>
      <c r="B203" s="65">
        <v>0.513904591607223</v>
      </c>
      <c r="C203" s="65">
        <v>0.464062217022743</v>
      </c>
      <c r="D203" s="65">
        <v>0.557972093695777</v>
      </c>
      <c r="E203" s="65">
        <v>0.306532556377495</v>
      </c>
      <c r="F203" s="65">
        <v>0.264206732875761</v>
      </c>
      <c r="G203" s="65">
        <v>0.347022744462015</v>
      </c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>
      <c r="A204" s="26" t="s">
        <v>807</v>
      </c>
      <c r="B204" s="65">
        <v>0.469959739091318</v>
      </c>
      <c r="C204" s="65">
        <v>0.429555057515583</v>
      </c>
      <c r="D204" s="65">
        <v>0.513846153846153</v>
      </c>
      <c r="E204" s="65">
        <v>0.297145451624399</v>
      </c>
      <c r="F204" s="65">
        <v>0.25890331160068</v>
      </c>
      <c r="G204" s="65">
        <v>0.33793440477651</v>
      </c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>
      <c r="A205" s="26" t="s">
        <v>813</v>
      </c>
      <c r="B205" s="65">
        <v>0.447556318827371</v>
      </c>
      <c r="C205" s="65">
        <v>0.401474380882275</v>
      </c>
      <c r="D205" s="65">
        <v>0.493090016708437</v>
      </c>
      <c r="E205" s="65">
        <v>0.260569443848998</v>
      </c>
      <c r="F205" s="65">
        <v>0.222179786587681</v>
      </c>
      <c r="G205" s="65">
        <v>0.301701609231973</v>
      </c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>
      <c r="A206" s="26" t="s">
        <v>819</v>
      </c>
      <c r="B206" s="65">
        <v>0.413172598162071</v>
      </c>
      <c r="C206" s="65">
        <v>0.365910931174089</v>
      </c>
      <c r="D206" s="65">
        <v>0.456862107191054</v>
      </c>
      <c r="E206" s="65">
        <v>0.238469869626549</v>
      </c>
      <c r="F206" s="65">
        <v>0.203329405637097</v>
      </c>
      <c r="G206" s="65">
        <v>0.276172813353987</v>
      </c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>
      <c r="A207" s="26" t="s">
        <v>825</v>
      </c>
      <c r="B207" s="65">
        <v>0.386306993560609</v>
      </c>
      <c r="C207" s="65">
        <v>0.346164117124216</v>
      </c>
      <c r="D207" s="65">
        <v>0.42696300824418</v>
      </c>
      <c r="E207" s="65">
        <v>0.149613703586521</v>
      </c>
      <c r="F207" s="65">
        <v>0.120651563731364</v>
      </c>
      <c r="G207" s="65">
        <v>0.178421942078425</v>
      </c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>
      <c r="A208" s="26" t="s">
        <v>830</v>
      </c>
      <c r="B208" s="65">
        <v>0.367875691723073</v>
      </c>
      <c r="C208" s="65">
        <v>0.326763596959981</v>
      </c>
      <c r="D208" s="65">
        <v>0.410064422277639</v>
      </c>
      <c r="E208" s="65">
        <v>0.122645556203286</v>
      </c>
      <c r="F208" s="65">
        <v>0.095965146657166</v>
      </c>
      <c r="G208" s="65">
        <v>0.151203538772117</v>
      </c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>
      <c r="A209" s="26" t="s">
        <v>836</v>
      </c>
      <c r="B209" s="65">
        <v>0.336944484028025</v>
      </c>
      <c r="C209" s="65">
        <v>0.297914786446581</v>
      </c>
      <c r="D209" s="65">
        <v>0.381017199065827</v>
      </c>
      <c r="E209" s="65">
        <v>0.14934890677347</v>
      </c>
      <c r="F209" s="65">
        <v>0.120662944010824</v>
      </c>
      <c r="G209" s="65">
        <v>0.179475371365957</v>
      </c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>
      <c r="A210" s="26" t="s">
        <v>843</v>
      </c>
      <c r="B210" s="65">
        <v>0.365204142421723</v>
      </c>
      <c r="C210" s="65">
        <v>0.320711613822586</v>
      </c>
      <c r="D210" s="65">
        <v>0.410070359814748</v>
      </c>
      <c r="E210" s="65">
        <v>0.119854189742094</v>
      </c>
      <c r="F210" s="65">
        <v>0.09347451627065</v>
      </c>
      <c r="G210" s="65">
        <v>0.146251731781656</v>
      </c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>
      <c r="A211" s="26" t="s">
        <v>850</v>
      </c>
      <c r="B211" s="65">
        <v>0.324973425563076</v>
      </c>
      <c r="C211" s="65">
        <v>0.287554031587697</v>
      </c>
      <c r="D211" s="65">
        <v>0.365785288762221</v>
      </c>
      <c r="E211" s="65">
        <v>0.110658763154274</v>
      </c>
      <c r="F211" s="65">
        <v>0.087352670881349</v>
      </c>
      <c r="G211" s="65">
        <v>0.134949052402294</v>
      </c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>
      <c r="A212" s="26" t="s">
        <v>857</v>
      </c>
      <c r="B212" s="65">
        <v>0.45391255461014</v>
      </c>
      <c r="C212" s="65">
        <v>0.418502512812857</v>
      </c>
      <c r="D212" s="65">
        <v>0.489547038529797</v>
      </c>
      <c r="E212" s="65">
        <v>0.215333889833027</v>
      </c>
      <c r="F212" s="65">
        <v>0.189786401638328</v>
      </c>
      <c r="G212" s="65">
        <v>0.24424610000472</v>
      </c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>
      <c r="A213" s="26" t="s">
        <v>863</v>
      </c>
      <c r="B213" s="65">
        <v>0.469456695526695</v>
      </c>
      <c r="C213" s="65">
        <v>0.434429848567779</v>
      </c>
      <c r="D213" s="65">
        <v>0.504631636562671</v>
      </c>
      <c r="E213" s="65">
        <v>0.217923638717703</v>
      </c>
      <c r="F213" s="65">
        <v>0.188504772685807</v>
      </c>
      <c r="G213" s="65">
        <v>0.248714299589299</v>
      </c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>
      <c r="A214" s="26" t="s">
        <v>869</v>
      </c>
      <c r="B214" s="65">
        <v>0.434328234673074</v>
      </c>
      <c r="C214" s="65">
        <v>0.40133123088685</v>
      </c>
      <c r="D214" s="65">
        <v>0.468813027886995</v>
      </c>
      <c r="E214" s="65">
        <v>0.276648538630075</v>
      </c>
      <c r="F214" s="65">
        <v>0.247157816699101</v>
      </c>
      <c r="G214" s="65">
        <v>0.307249137839734</v>
      </c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>
      <c r="A215" s="26" t="s">
        <v>875</v>
      </c>
      <c r="B215" s="65">
        <v>0.516696390608114</v>
      </c>
      <c r="C215" s="65">
        <v>0.483493177001797</v>
      </c>
      <c r="D215" s="65">
        <v>0.553387209852727</v>
      </c>
      <c r="E215" s="65">
        <v>0.274278033615989</v>
      </c>
      <c r="F215" s="65">
        <v>0.243631955397168</v>
      </c>
      <c r="G215" s="65">
        <v>0.307039745216469</v>
      </c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>
      <c r="A216" s="26" t="s">
        <v>878</v>
      </c>
      <c r="B216" s="65">
        <v>0.540480488630143</v>
      </c>
      <c r="C216" s="65">
        <v>0.505429139506725</v>
      </c>
      <c r="D216" s="65">
        <v>0.573992303992304</v>
      </c>
      <c r="E216" s="65">
        <v>0.279235417692813</v>
      </c>
      <c r="F216" s="65">
        <v>0.247577857017285</v>
      </c>
      <c r="G216" s="65">
        <v>0.309827745941629</v>
      </c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>
      <c r="A217" s="26" t="s">
        <v>886</v>
      </c>
      <c r="B217" s="65">
        <v>0.4867321050891</v>
      </c>
      <c r="C217" s="65">
        <v>0.453409483928405</v>
      </c>
      <c r="D217" s="65">
        <v>0.520646285098693</v>
      </c>
      <c r="E217" s="65">
        <v>0.30929730475946</v>
      </c>
      <c r="F217" s="65">
        <v>0.276865181677395</v>
      </c>
      <c r="G217" s="65">
        <v>0.340751122921421</v>
      </c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>
      <c r="A218" s="26" t="s">
        <v>893</v>
      </c>
      <c r="B218" s="65">
        <v>0.454842615647443</v>
      </c>
      <c r="C218" s="65">
        <v>0.419211192383606</v>
      </c>
      <c r="D218" s="65">
        <v>0.491178136040205</v>
      </c>
      <c r="E218" s="65">
        <v>0.219466255546346</v>
      </c>
      <c r="F218" s="65">
        <v>0.190811181212296</v>
      </c>
      <c r="G218" s="65">
        <v>0.248103146271503</v>
      </c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>
      <c r="A219" s="26" t="s">
        <v>901</v>
      </c>
      <c r="B219" s="65">
        <v>0.471063526178205</v>
      </c>
      <c r="C219" s="65">
        <v>0.438763850828071</v>
      </c>
      <c r="D219" s="65">
        <v>0.503856768550002</v>
      </c>
      <c r="E219" s="65">
        <v>0.2984091423803</v>
      </c>
      <c r="F219" s="65">
        <v>0.268739537412129</v>
      </c>
      <c r="G219" s="65">
        <v>0.32817486794551</v>
      </c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>
      <c r="A220" s="26" t="s">
        <v>908</v>
      </c>
      <c r="B220" s="65">
        <v>0.417159114193886</v>
      </c>
      <c r="C220" s="65">
        <v>0.383261011084874</v>
      </c>
      <c r="D220" s="65">
        <v>0.454109577922077</v>
      </c>
      <c r="E220" s="65">
        <v>0.173625985616062</v>
      </c>
      <c r="F220" s="65">
        <v>0.147926812047132</v>
      </c>
      <c r="G220" s="65">
        <v>0.201097967354986</v>
      </c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>
      <c r="A221" s="26" t="s">
        <v>915</v>
      </c>
      <c r="B221" s="65">
        <v>0.4289297096338</v>
      </c>
      <c r="C221" s="65">
        <v>0.389972435392889</v>
      </c>
      <c r="D221" s="65">
        <v>0.467628488619965</v>
      </c>
      <c r="E221" s="65">
        <v>0.156696747548351</v>
      </c>
      <c r="F221" s="65">
        <v>0.133059900957628</v>
      </c>
      <c r="G221" s="65">
        <v>0.182769063619832</v>
      </c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>
      <c r="A222" s="26" t="s">
        <v>924</v>
      </c>
      <c r="B222" s="65">
        <v>0.38707120326643</v>
      </c>
      <c r="C222" s="65">
        <v>0.348626688967598</v>
      </c>
      <c r="D222" s="65">
        <v>0.422483536665354</v>
      </c>
      <c r="E222" s="65">
        <v>0.139795214305896</v>
      </c>
      <c r="F222" s="65">
        <v>0.118218234732439</v>
      </c>
      <c r="G222" s="65">
        <v>0.163317359723609</v>
      </c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>
      <c r="A223" s="26" t="s">
        <v>928</v>
      </c>
      <c r="B223" s="65">
        <v>0.519022450256165</v>
      </c>
      <c r="C223" s="65">
        <v>0.486058822994029</v>
      </c>
      <c r="D223" s="65">
        <v>0.552736241841746</v>
      </c>
      <c r="E223" s="65">
        <v>0.336027864579355</v>
      </c>
      <c r="F223" s="65">
        <v>0.3054468639159</v>
      </c>
      <c r="G223" s="65">
        <v>0.366118061347419</v>
      </c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>
      <c r="A224" s="26" t="s">
        <v>933</v>
      </c>
      <c r="B224" s="65">
        <v>0.465615072642004</v>
      </c>
      <c r="C224" s="65">
        <v>0.429052124327692</v>
      </c>
      <c r="D224" s="65">
        <v>0.502631887052341</v>
      </c>
      <c r="E224" s="65">
        <v>0.168453273457825</v>
      </c>
      <c r="F224" s="65">
        <v>0.141988367043681</v>
      </c>
      <c r="G224" s="65">
        <v>0.196197997069404</v>
      </c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>
      <c r="A225" s="26" t="s">
        <v>939</v>
      </c>
      <c r="B225" s="65">
        <v>0.459415462416371</v>
      </c>
      <c r="C225" s="65">
        <v>0.420807027253049</v>
      </c>
      <c r="D225" s="65">
        <v>0.496453753948072</v>
      </c>
      <c r="E225" s="65">
        <v>0.188649315515886</v>
      </c>
      <c r="F225" s="65">
        <v>0.163005358435756</v>
      </c>
      <c r="G225" s="65">
        <v>0.216043297231214</v>
      </c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>
      <c r="A226" s="26" t="s">
        <v>945</v>
      </c>
      <c r="B226" s="65">
        <v>0.469629994858942</v>
      </c>
      <c r="C226" s="65">
        <v>0.428572794164899</v>
      </c>
      <c r="D226" s="65">
        <v>0.514179679969153</v>
      </c>
      <c r="E226" s="65">
        <v>0.29768447503913</v>
      </c>
      <c r="F226" s="65">
        <v>0.260010552313183</v>
      </c>
      <c r="G226" s="65">
        <v>0.3377498159735</v>
      </c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>
      <c r="A227" s="26" t="s">
        <v>950</v>
      </c>
      <c r="B227" s="65">
        <v>0.335866395519138</v>
      </c>
      <c r="C227" s="65">
        <v>0.296450936151684</v>
      </c>
      <c r="D227" s="65">
        <v>0.376071577009856</v>
      </c>
      <c r="E227" s="65">
        <v>0.149040722688228</v>
      </c>
      <c r="F227" s="65">
        <v>0.120715099876571</v>
      </c>
      <c r="G227" s="65">
        <v>0.177595400927695</v>
      </c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>
      <c r="A228" s="26" t="s">
        <v>958</v>
      </c>
      <c r="B228" s="65">
        <v>0.514035206022048</v>
      </c>
      <c r="C228" s="65">
        <v>0.467752715121136</v>
      </c>
      <c r="D228" s="65">
        <v>0.557733954641849</v>
      </c>
      <c r="E228" s="65">
        <v>0.307645133386631</v>
      </c>
      <c r="F228" s="65">
        <v>0.265839281051831</v>
      </c>
      <c r="G228" s="65">
        <v>0.350585713768912</v>
      </c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>
      <c r="A229" s="26" t="s">
        <v>971</v>
      </c>
      <c r="B229" s="65">
        <v>0.516525470480987</v>
      </c>
      <c r="C229" s="65">
        <v>0.482571509588751</v>
      </c>
      <c r="D229" s="65">
        <v>0.553679786369441</v>
      </c>
      <c r="E229" s="65">
        <v>0.273744796420617</v>
      </c>
      <c r="F229" s="65">
        <v>0.243599462929077</v>
      </c>
      <c r="G229" s="65">
        <v>0.305132822824759</v>
      </c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>
      <c r="A230" s="26" t="s">
        <v>977</v>
      </c>
      <c r="B230" s="65">
        <v>0.443146947744113</v>
      </c>
      <c r="C230" s="65">
        <v>0.396864758048968</v>
      </c>
      <c r="D230" s="65">
        <v>0.487625072296124</v>
      </c>
      <c r="E230" s="65">
        <v>0.278619253553464</v>
      </c>
      <c r="F230" s="65">
        <v>0.237692387459593</v>
      </c>
      <c r="G230" s="65">
        <v>0.316823373994426</v>
      </c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>
      <c r="A231" s="26" t="s">
        <v>986</v>
      </c>
      <c r="B231" s="65">
        <v>0.456056891655744</v>
      </c>
      <c r="C231" s="65">
        <v>0.421531645915246</v>
      </c>
      <c r="D231" s="65">
        <v>0.487590514416775</v>
      </c>
      <c r="E231" s="65">
        <v>0.279991747230852</v>
      </c>
      <c r="F231" s="65">
        <v>0.248786070580795</v>
      </c>
      <c r="G231" s="65">
        <v>0.309133110773018</v>
      </c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>
      <c r="A232" s="26" t="s">
        <v>993</v>
      </c>
      <c r="B232" s="65">
        <v>0.475694995063416</v>
      </c>
      <c r="C232" s="65">
        <v>0.431346329109487</v>
      </c>
      <c r="D232" s="65">
        <v>0.522912825478614</v>
      </c>
      <c r="E232" s="65">
        <v>0.255848749114133</v>
      </c>
      <c r="F232" s="65">
        <v>0.216383324278061</v>
      </c>
      <c r="G232" s="65">
        <v>0.29753754286649</v>
      </c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>
      <c r="A233" s="26" t="s">
        <v>1000</v>
      </c>
      <c r="B233" s="65">
        <v>0.417867135150203</v>
      </c>
      <c r="C233" s="65">
        <v>0.382606355765446</v>
      </c>
      <c r="D233" s="65">
        <v>0.456160287944378</v>
      </c>
      <c r="E233" s="65">
        <v>0.173926536625881</v>
      </c>
      <c r="F233" s="65">
        <v>0.148886014395957</v>
      </c>
      <c r="G233" s="65">
        <v>0.201486687554869</v>
      </c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>
      <c r="A234" s="26" t="s">
        <v>1005</v>
      </c>
      <c r="B234" s="65">
        <v>0.430385701433069</v>
      </c>
      <c r="C234" s="65">
        <v>0.384061837285521</v>
      </c>
      <c r="D234" s="65">
        <v>0.477307933294775</v>
      </c>
      <c r="E234" s="65">
        <v>0.246254129631052</v>
      </c>
      <c r="F234" s="65">
        <v>0.205175672280935</v>
      </c>
      <c r="G234" s="65">
        <v>0.288897045936519</v>
      </c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>
      <c r="A235" s="26" t="s">
        <v>1012</v>
      </c>
      <c r="B235" s="65">
        <v>0.388002348538134</v>
      </c>
      <c r="C235" s="65">
        <v>0.346568980686811</v>
      </c>
      <c r="D235" s="65">
        <v>0.427183776669437</v>
      </c>
      <c r="E235" s="65">
        <v>0.15066597081223</v>
      </c>
      <c r="F235" s="65">
        <v>0.121218490570111</v>
      </c>
      <c r="G235" s="65">
        <v>0.182152532629465</v>
      </c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>
      <c r="A236" s="26" t="s">
        <v>1020</v>
      </c>
      <c r="B236" s="65">
        <v>0.486460004546931</v>
      </c>
      <c r="C236" s="65">
        <v>0.451047355104121</v>
      </c>
      <c r="D236" s="65">
        <v>0.52163661930577</v>
      </c>
      <c r="E236" s="65">
        <v>0.3094855967618</v>
      </c>
      <c r="F236" s="65">
        <v>0.280138338661847</v>
      </c>
      <c r="G236" s="65">
        <v>0.339747735222219</v>
      </c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>
      <c r="A237" s="26" t="s">
        <v>1026</v>
      </c>
      <c r="B237" s="65">
        <v>0.381697582522769</v>
      </c>
      <c r="C237" s="65">
        <v>0.340960630530455</v>
      </c>
      <c r="D237" s="65">
        <v>0.424283312282065</v>
      </c>
      <c r="E237" s="65">
        <v>0.13874117466767</v>
      </c>
      <c r="F237" s="65">
        <v>0.110356845980287</v>
      </c>
      <c r="G237" s="65">
        <v>0.168960739489106</v>
      </c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>
      <c r="A238" s="26" t="s">
        <v>1032</v>
      </c>
      <c r="B238" s="65">
        <v>0.540687942644839</v>
      </c>
      <c r="C238" s="65">
        <v>0.504589300227231</v>
      </c>
      <c r="D238" s="65">
        <v>0.577287526330629</v>
      </c>
      <c r="E238" s="65">
        <v>0.278625618583876</v>
      </c>
      <c r="F238" s="65">
        <v>0.246375982817679</v>
      </c>
      <c r="G238" s="65">
        <v>0.312539354508501</v>
      </c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>
      <c r="A239" s="26" t="s">
        <v>1039</v>
      </c>
      <c r="B239" s="65">
        <v>0.384572494269377</v>
      </c>
      <c r="C239" s="65">
        <v>0.3437039840874</v>
      </c>
      <c r="D239" s="65">
        <v>0.427856994418715</v>
      </c>
      <c r="E239" s="65">
        <v>0.13875954349059</v>
      </c>
      <c r="F239" s="65">
        <v>0.113403640554513</v>
      </c>
      <c r="G239" s="65">
        <v>0.167390548285186</v>
      </c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>
      <c r="A240" s="26" t="s">
        <v>1045</v>
      </c>
      <c r="B240" s="65">
        <v>0.385235734077504</v>
      </c>
      <c r="C240" s="65">
        <v>0.341190624628903</v>
      </c>
      <c r="D240" s="65">
        <v>0.426285179907374</v>
      </c>
      <c r="E240" s="65">
        <v>0.128958243197644</v>
      </c>
      <c r="F240" s="65">
        <v>0.103034238897705</v>
      </c>
      <c r="G240" s="65">
        <v>0.156671727067612</v>
      </c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>
      <c r="A241" s="26" t="s">
        <v>1049</v>
      </c>
      <c r="B241" s="65">
        <v>0.45911844539299</v>
      </c>
      <c r="C241" s="65">
        <v>0.423696391676505</v>
      </c>
      <c r="D241" s="65">
        <v>0.498714994916699</v>
      </c>
      <c r="E241" s="65">
        <v>0.188411179983118</v>
      </c>
      <c r="F241" s="65">
        <v>0.162579578880715</v>
      </c>
      <c r="G241" s="65">
        <v>0.216046235154106</v>
      </c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>
      <c r="A242" s="26" t="s">
        <v>1055</v>
      </c>
      <c r="B242" s="65">
        <v>0.518376957980857</v>
      </c>
      <c r="C242" s="65">
        <v>0.48641044703258</v>
      </c>
      <c r="D242" s="65">
        <v>0.552936164561738</v>
      </c>
      <c r="E242" s="65">
        <v>0.336023093993162</v>
      </c>
      <c r="F242" s="65">
        <v>0.304799866290691</v>
      </c>
      <c r="G242" s="65">
        <v>0.36924497616298</v>
      </c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>
      <c r="A243" s="26" t="s">
        <v>1062</v>
      </c>
      <c r="B243" s="65">
        <v>0.473760901461246</v>
      </c>
      <c r="C243" s="65">
        <v>0.437305858254134</v>
      </c>
      <c r="D243" s="65">
        <v>0.510065747789885</v>
      </c>
      <c r="E243" s="65">
        <v>0.22965790355914</v>
      </c>
      <c r="F243" s="65">
        <v>0.200732790179544</v>
      </c>
      <c r="G243" s="65">
        <v>0.25906522215295</v>
      </c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>
      <c r="A244" s="26" t="s">
        <v>1071</v>
      </c>
      <c r="B244" s="65">
        <v>0.468310326561817</v>
      </c>
      <c r="C244" s="65">
        <v>0.434357525120139</v>
      </c>
      <c r="D244" s="65">
        <v>0.50380624726955</v>
      </c>
      <c r="E244" s="65">
        <v>0.309321722072524</v>
      </c>
      <c r="F244" s="65">
        <v>0.278804036177889</v>
      </c>
      <c r="G244" s="65">
        <v>0.340337193705886</v>
      </c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>
      <c r="A245" s="26" t="s">
        <v>1078</v>
      </c>
      <c r="B245" s="65">
        <v>0.404980750032795</v>
      </c>
      <c r="C245" s="65">
        <v>0.37145429948839</v>
      </c>
      <c r="D245" s="65">
        <v>0.441468532729896</v>
      </c>
      <c r="E245" s="65">
        <v>0.149818287016014</v>
      </c>
      <c r="F245" s="65">
        <v>0.12684032744402</v>
      </c>
      <c r="G245" s="65">
        <v>0.172687719319821</v>
      </c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>
      <c r="A246" s="26" t="s">
        <v>1084</v>
      </c>
      <c r="B246" s="65">
        <v>0.457559107329452</v>
      </c>
      <c r="C246" s="65">
        <v>0.421762460400391</v>
      </c>
      <c r="D246" s="65">
        <v>0.49332244033106</v>
      </c>
      <c r="E246" s="65">
        <v>0.210539624455589</v>
      </c>
      <c r="F246" s="65">
        <v>0.181679670265877</v>
      </c>
      <c r="G246" s="65">
        <v>0.24115167357434</v>
      </c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>
      <c r="A247" s="26" t="s">
        <v>1090</v>
      </c>
      <c r="B247" s="65">
        <v>0.466509174503657</v>
      </c>
      <c r="C247" s="65">
        <v>0.430501078104526</v>
      </c>
      <c r="D247" s="65">
        <v>0.502020508865336</v>
      </c>
      <c r="E247" s="65">
        <v>0.2111342927089</v>
      </c>
      <c r="F247" s="65">
        <v>0.183093334901144</v>
      </c>
      <c r="G247" s="65">
        <v>0.240025733206767</v>
      </c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>
      <c r="A248" s="26" t="s">
        <v>1095</v>
      </c>
      <c r="B248" s="65">
        <v>0.488251088373909</v>
      </c>
      <c r="C248" s="65">
        <v>0.453617846221057</v>
      </c>
      <c r="D248" s="65">
        <v>0.522223786025391</v>
      </c>
      <c r="E248" s="65">
        <v>0.329664060620826</v>
      </c>
      <c r="F248" s="65">
        <v>0.295847259901158</v>
      </c>
      <c r="G248" s="65">
        <v>0.361697927454808</v>
      </c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>
      <c r="A249" s="26" t="s">
        <v>1101</v>
      </c>
      <c r="B249" s="65">
        <v>0.436270777417027</v>
      </c>
      <c r="C249" s="65">
        <v>0.401079094516594</v>
      </c>
      <c r="D249" s="65">
        <v>0.470095291387905</v>
      </c>
      <c r="E249" s="65">
        <v>0.161372183523547</v>
      </c>
      <c r="F249" s="65">
        <v>0.138797262396694</v>
      </c>
      <c r="G249" s="65">
        <v>0.187029227086045</v>
      </c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>
      <c r="A250" s="26" t="s">
        <v>1107</v>
      </c>
      <c r="B250" s="65">
        <v>0.425776226223271</v>
      </c>
      <c r="C250" s="65">
        <v>0.388409176997245</v>
      </c>
      <c r="D250" s="65">
        <v>0.461647788764266</v>
      </c>
      <c r="E250" s="65">
        <v>0.155838358167382</v>
      </c>
      <c r="F250" s="65">
        <v>0.132404734943087</v>
      </c>
      <c r="G250" s="65">
        <v>0.181928986732963</v>
      </c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>
      <c r="A251" s="26" t="s">
        <v>1113</v>
      </c>
      <c r="B251" s="65">
        <v>0.386955052414971</v>
      </c>
      <c r="C251" s="65">
        <v>0.35691293355767</v>
      </c>
      <c r="D251" s="65">
        <v>0.418313386456099</v>
      </c>
      <c r="E251" s="65">
        <v>0.200965215367989</v>
      </c>
      <c r="F251" s="65">
        <v>0.17783171656665</v>
      </c>
      <c r="G251" s="65">
        <v>0.225628638663789</v>
      </c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>
      <c r="A252" s="26" t="s">
        <v>1119</v>
      </c>
      <c r="B252" s="65">
        <v>0.552711192778852</v>
      </c>
      <c r="C252" s="65">
        <v>0.511301418439716</v>
      </c>
      <c r="D252" s="65">
        <v>0.595739361702127</v>
      </c>
      <c r="E252" s="65">
        <v>0.259378646247369</v>
      </c>
      <c r="F252" s="65">
        <v>0.223875176242197</v>
      </c>
      <c r="G252" s="65">
        <v>0.299524081710251</v>
      </c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>
      <c r="A253" s="26" t="s">
        <v>1126</v>
      </c>
      <c r="B253" s="65">
        <v>0.380499795054248</v>
      </c>
      <c r="C253" s="65">
        <v>0.342889449731554</v>
      </c>
      <c r="D253" s="65">
        <v>0.419478197241355</v>
      </c>
      <c r="E253" s="65">
        <v>0.213456746633278</v>
      </c>
      <c r="F253" s="65">
        <v>0.183443347055038</v>
      </c>
      <c r="G253" s="65">
        <v>0.24452423705775</v>
      </c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>
      <c r="A254" s="26" t="s">
        <v>1132</v>
      </c>
      <c r="B254" s="65">
        <v>0.504156827117836</v>
      </c>
      <c r="C254" s="65">
        <v>0.466333551769331</v>
      </c>
      <c r="D254" s="65">
        <v>0.537964536419238</v>
      </c>
      <c r="E254" s="65">
        <v>0.300907254931013</v>
      </c>
      <c r="F254" s="65">
        <v>0.269051036247137</v>
      </c>
      <c r="G254" s="65">
        <v>0.331583156997856</v>
      </c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>
      <c r="A255" s="26" t="s">
        <v>1145</v>
      </c>
      <c r="B255" s="65">
        <v>0.311919015232481</v>
      </c>
      <c r="C255" s="65">
        <v>0.280352082456197</v>
      </c>
      <c r="D255" s="65">
        <v>0.343889271230293</v>
      </c>
      <c r="E255" s="65">
        <v>0.172089793102577</v>
      </c>
      <c r="F255" s="65">
        <v>0.148573534219379</v>
      </c>
      <c r="G255" s="65">
        <v>0.196313952843401</v>
      </c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>
      <c r="A256" s="26" t="s">
        <v>1151</v>
      </c>
      <c r="B256" s="65">
        <v>0.201656347341367</v>
      </c>
      <c r="C256" s="65">
        <v>0.17000727511355</v>
      </c>
      <c r="D256" s="65">
        <v>0.237011002380435</v>
      </c>
      <c r="E256" s="65">
        <v>0.098389118476481</v>
      </c>
      <c r="F256" s="65">
        <v>0.079370969558122</v>
      </c>
      <c r="G256" s="65">
        <v>0.121345301915675</v>
      </c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>
      <c r="A257" s="26" t="s">
        <v>1158</v>
      </c>
      <c r="B257" s="65">
        <v>0.355225125922057</v>
      </c>
      <c r="C257" s="65">
        <v>0.323407139577594</v>
      </c>
      <c r="D257" s="65">
        <v>0.386427981109799</v>
      </c>
      <c r="E257" s="65">
        <v>0.168523057276971</v>
      </c>
      <c r="F257" s="65">
        <v>0.148436297865947</v>
      </c>
      <c r="G257" s="65">
        <v>0.190251837313168</v>
      </c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>
      <c r="A258" s="26" t="s">
        <v>1165</v>
      </c>
      <c r="B258" s="65">
        <v>0.325866954365079</v>
      </c>
      <c r="C258" s="65">
        <v>0.280352099867724</v>
      </c>
      <c r="D258" s="65">
        <v>0.371225033068783</v>
      </c>
      <c r="E258" s="65">
        <v>0.107963486502604</v>
      </c>
      <c r="F258" s="65">
        <v>0.086235788142957</v>
      </c>
      <c r="G258" s="65">
        <v>0.131265537464985</v>
      </c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>
      <c r="A259" s="26" t="s">
        <v>1173</v>
      </c>
      <c r="B259" s="65">
        <v>0.580530089131813</v>
      </c>
      <c r="C259" s="65">
        <v>0.548250553405725</v>
      </c>
      <c r="D259" s="65">
        <v>0.612490343628274</v>
      </c>
      <c r="E259" s="65">
        <v>0.25617758167398</v>
      </c>
      <c r="F259" s="65">
        <v>0.231222186947859</v>
      </c>
      <c r="G259" s="65">
        <v>0.281191476797166</v>
      </c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>
      <c r="A260" s="26" t="s">
        <v>1178</v>
      </c>
      <c r="B260" s="65">
        <v>0.214114112495691</v>
      </c>
      <c r="C260" s="65">
        <v>0.179164702256807</v>
      </c>
      <c r="D260" s="65">
        <v>0.248274291497975</v>
      </c>
      <c r="E260" s="65">
        <v>0.106058068538986</v>
      </c>
      <c r="F260" s="65">
        <v>0.083462826815559</v>
      </c>
      <c r="G260" s="65">
        <v>0.13054871944295</v>
      </c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>
      <c r="A261" s="26" t="s">
        <v>1183</v>
      </c>
      <c r="B261" s="65">
        <v>0.468776986520105</v>
      </c>
      <c r="C261" s="65">
        <v>0.443747100249393</v>
      </c>
      <c r="D261" s="65">
        <v>0.496330802861766</v>
      </c>
      <c r="E261" s="65">
        <v>0.258446000231043</v>
      </c>
      <c r="F261" s="65">
        <v>0.23873684788284</v>
      </c>
      <c r="G261" s="65">
        <v>0.280077387650965</v>
      </c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>
      <c r="A262" s="26" t="s">
        <v>1189</v>
      </c>
      <c r="B262" s="65">
        <v>0.377172725014884</v>
      </c>
      <c r="C262" s="65">
        <v>0.344832335278357</v>
      </c>
      <c r="D262" s="65">
        <v>0.410040473730814</v>
      </c>
      <c r="E262" s="65">
        <v>0.179069004303047</v>
      </c>
      <c r="F262" s="65">
        <v>0.156958997498661</v>
      </c>
      <c r="G262" s="65">
        <v>0.202897566694345</v>
      </c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>
      <c r="A263" s="26" t="s">
        <v>1195</v>
      </c>
      <c r="B263" s="65">
        <v>0.190261348592927</v>
      </c>
      <c r="C263" s="65">
        <v>0.155109846294056</v>
      </c>
      <c r="D263" s="65">
        <v>0.221822198269566</v>
      </c>
      <c r="E263" s="65">
        <v>0.088050555691827</v>
      </c>
      <c r="F263" s="65">
        <v>0.066541598864473</v>
      </c>
      <c r="G263" s="65">
        <v>0.111294324771045</v>
      </c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>
      <c r="A264" s="26" t="s">
        <v>1201</v>
      </c>
      <c r="B264" s="65">
        <v>0.328451785579341</v>
      </c>
      <c r="C264" s="65">
        <v>0.292411989506752</v>
      </c>
      <c r="D264" s="65">
        <v>0.364165281241341</v>
      </c>
      <c r="E264" s="65">
        <v>0.173323511817771</v>
      </c>
      <c r="F264" s="65">
        <v>0.147566183681207</v>
      </c>
      <c r="G264" s="65">
        <v>0.199657642138166</v>
      </c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>
      <c r="A265" s="26" t="s">
        <v>1205</v>
      </c>
      <c r="B265" s="65">
        <v>0.261993567488205</v>
      </c>
      <c r="C265" s="65">
        <v>0.225940168518098</v>
      </c>
      <c r="D265" s="65">
        <v>0.297186709452919</v>
      </c>
      <c r="E265" s="65">
        <v>0.101775172017199</v>
      </c>
      <c r="F265" s="65">
        <v>0.081693203928241</v>
      </c>
      <c r="G265" s="65">
        <v>0.122360311359137</v>
      </c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>
      <c r="A266" s="26" t="s">
        <v>1210</v>
      </c>
      <c r="B266" s="65">
        <v>0.279310196730396</v>
      </c>
      <c r="C266" s="65">
        <v>0.243838023987649</v>
      </c>
      <c r="D266" s="65">
        <v>0.318514576653604</v>
      </c>
      <c r="E266" s="65">
        <v>0.116158358014881</v>
      </c>
      <c r="F266" s="65">
        <v>0.095719316121599</v>
      </c>
      <c r="G266" s="65">
        <v>0.138863211462962</v>
      </c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>
      <c r="A267" s="26" t="s">
        <v>1215</v>
      </c>
      <c r="B267" s="65">
        <v>0.475705294247037</v>
      </c>
      <c r="C267" s="65">
        <v>0.443933659994439</v>
      </c>
      <c r="D267" s="65">
        <v>0.507120616386671</v>
      </c>
      <c r="E267" s="65">
        <v>0.280072657853232</v>
      </c>
      <c r="F267" s="65">
        <v>0.256646511866813</v>
      </c>
      <c r="G267" s="65">
        <v>0.303915080248273</v>
      </c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>
      <c r="A268" s="26" t="s">
        <v>1220</v>
      </c>
      <c r="B268" s="65">
        <v>0.370312233003267</v>
      </c>
      <c r="C268" s="65">
        <v>0.339402891808064</v>
      </c>
      <c r="D268" s="65">
        <v>0.40213120532086</v>
      </c>
      <c r="E268" s="65">
        <v>0.148893984333914</v>
      </c>
      <c r="F268" s="65">
        <v>0.128578255403145</v>
      </c>
      <c r="G268" s="65">
        <v>0.170018127274826</v>
      </c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>
      <c r="A269" s="26" t="s">
        <v>1226</v>
      </c>
      <c r="B269" s="65">
        <v>0.299290827304009</v>
      </c>
      <c r="C269" s="65">
        <v>0.268097468188377</v>
      </c>
      <c r="D269" s="65">
        <v>0.332040863177226</v>
      </c>
      <c r="E269" s="65">
        <v>0.126344155497679</v>
      </c>
      <c r="F269" s="65">
        <v>0.106460189454723</v>
      </c>
      <c r="G269" s="65">
        <v>0.147749355785214</v>
      </c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>
      <c r="A270" s="26" t="s">
        <v>1232</v>
      </c>
      <c r="B270" s="65">
        <v>0.268014681550092</v>
      </c>
      <c r="C270" s="65">
        <v>0.234879072160867</v>
      </c>
      <c r="D270" s="65">
        <v>0.302683717294066</v>
      </c>
      <c r="E270" s="65">
        <v>0.099930177754191</v>
      </c>
      <c r="F270" s="65">
        <v>0.080703353508014</v>
      </c>
      <c r="G270" s="65">
        <v>0.120494685801233</v>
      </c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>
      <c r="A271" s="26" t="s">
        <v>1237</v>
      </c>
      <c r="B271" s="65">
        <v>0.317229516762544</v>
      </c>
      <c r="C271" s="65">
        <v>0.2823374927188</v>
      </c>
      <c r="D271" s="65">
        <v>0.351396420539195</v>
      </c>
      <c r="E271" s="65">
        <v>0.157796127515518</v>
      </c>
      <c r="F271" s="65">
        <v>0.138984103044929</v>
      </c>
      <c r="G271" s="65">
        <v>0.179135106728465</v>
      </c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>
      <c r="A272" s="26" t="s">
        <v>1243</v>
      </c>
      <c r="B272" s="65">
        <v>0.374948145494352</v>
      </c>
      <c r="C272" s="65">
        <v>0.342307272229686</v>
      </c>
      <c r="D272" s="65">
        <v>0.409920605894743</v>
      </c>
      <c r="E272" s="65">
        <v>0.165247948423574</v>
      </c>
      <c r="F272" s="65">
        <v>0.141989040759119</v>
      </c>
      <c r="G272" s="65">
        <v>0.189935828619265</v>
      </c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>
      <c r="A273" s="26" t="s">
        <v>1249</v>
      </c>
      <c r="B273" s="65">
        <v>0.314486291574587</v>
      </c>
      <c r="C273" s="65">
        <v>0.282870056080283</v>
      </c>
      <c r="D273" s="65">
        <v>0.348478623649078</v>
      </c>
      <c r="E273" s="65">
        <v>0.125691723768179</v>
      </c>
      <c r="F273" s="65">
        <v>0.106926848732239</v>
      </c>
      <c r="G273" s="65">
        <v>0.145150557312796</v>
      </c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>
      <c r="A274" s="26" t="s">
        <v>1256</v>
      </c>
      <c r="B274" s="65">
        <v>0.324427118001773</v>
      </c>
      <c r="C274" s="65">
        <v>0.290610636178296</v>
      </c>
      <c r="D274" s="65">
        <v>0.358332398361068</v>
      </c>
      <c r="E274" s="65">
        <v>0.175469838666271</v>
      </c>
      <c r="F274" s="65">
        <v>0.153096584842934</v>
      </c>
      <c r="G274" s="65">
        <v>0.197213014835016</v>
      </c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>
      <c r="A275" s="26" t="s">
        <v>1262</v>
      </c>
      <c r="B275" s="65">
        <v>0.341353238075056</v>
      </c>
      <c r="C275" s="65">
        <v>0.302461112750885</v>
      </c>
      <c r="D275" s="65">
        <v>0.382894041879837</v>
      </c>
      <c r="E275" s="65">
        <v>0.05743635618195</v>
      </c>
      <c r="F275" s="65">
        <v>0.04116462113064</v>
      </c>
      <c r="G275" s="65">
        <v>0.074090483389042</v>
      </c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>
      <c r="A276" s="26" t="s">
        <v>1269</v>
      </c>
      <c r="B276" s="65">
        <v>0.386661612184486</v>
      </c>
      <c r="C276" s="65">
        <v>0.355534294203322</v>
      </c>
      <c r="D276" s="65">
        <v>0.4173998370051</v>
      </c>
      <c r="E276" s="65">
        <v>0.200154216124963</v>
      </c>
      <c r="F276" s="65">
        <v>0.174664046986045</v>
      </c>
      <c r="G276" s="65">
        <v>0.224719015282047</v>
      </c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>
      <c r="A277" s="26" t="s">
        <v>1277</v>
      </c>
      <c r="B277" s="65">
        <v>0.55351493230174</v>
      </c>
      <c r="C277" s="65">
        <v>0.512292967670627</v>
      </c>
      <c r="D277" s="65">
        <v>0.597661969236437</v>
      </c>
      <c r="E277" s="65">
        <v>0.260099854093896</v>
      </c>
      <c r="F277" s="65">
        <v>0.224262401310273</v>
      </c>
      <c r="G277" s="65">
        <v>0.297691698962975</v>
      </c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>
      <c r="A278" s="26" t="s">
        <v>1285</v>
      </c>
      <c r="B278" s="65">
        <v>0.381269392078906</v>
      </c>
      <c r="C278" s="65">
        <v>0.349576519971256</v>
      </c>
      <c r="D278" s="65">
        <v>0.41546757336231</v>
      </c>
      <c r="E278" s="65">
        <v>0.213641884382488</v>
      </c>
      <c r="F278" s="65">
        <v>0.187179312217024</v>
      </c>
      <c r="G278" s="65">
        <v>0.240527896966444</v>
      </c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>
      <c r="A279" s="26" t="s">
        <v>1295</v>
      </c>
      <c r="B279" s="65">
        <v>0.27410952711916</v>
      </c>
      <c r="C279" s="65">
        <v>0.243285786270304</v>
      </c>
      <c r="D279" s="65">
        <v>0.305775013404027</v>
      </c>
      <c r="E279" s="65">
        <v>0.137793024939054</v>
      </c>
      <c r="F279" s="65">
        <v>0.117194379344946</v>
      </c>
      <c r="G279" s="65">
        <v>0.15922467760873</v>
      </c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>
      <c r="A280" s="26" t="s">
        <v>1301</v>
      </c>
      <c r="B280" s="65">
        <v>0.340182593718338</v>
      </c>
      <c r="C280" s="65">
        <v>0.292507852077001</v>
      </c>
      <c r="D280" s="65">
        <v>0.391713272543059</v>
      </c>
      <c r="E280" s="65">
        <v>0.13487517206198</v>
      </c>
      <c r="F280" s="65">
        <v>0.105704454528922</v>
      </c>
      <c r="G280" s="65">
        <v>0.168456493270323</v>
      </c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>
      <c r="A281" s="26" t="s">
        <v>1306</v>
      </c>
      <c r="B281" s="65">
        <v>0.311842288758622</v>
      </c>
      <c r="C281" s="65">
        <v>0.280584532535904</v>
      </c>
      <c r="D281" s="65">
        <v>0.345778582044168</v>
      </c>
      <c r="E281" s="65">
        <v>0.172232149983327</v>
      </c>
      <c r="F281" s="65">
        <v>0.148730899949612</v>
      </c>
      <c r="G281" s="65">
        <v>0.197663522055131</v>
      </c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>
      <c r="A282" s="26" t="s">
        <v>1313</v>
      </c>
      <c r="B282" s="65">
        <v>0.183951176893282</v>
      </c>
      <c r="C282" s="65">
        <v>0.149453821032768</v>
      </c>
      <c r="D282" s="65">
        <v>0.219249179183389</v>
      </c>
      <c r="E282" s="65">
        <v>0.076478375942546</v>
      </c>
      <c r="F282" s="65">
        <v>0.056256449915356</v>
      </c>
      <c r="G282" s="65">
        <v>0.099555525165342</v>
      </c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>
      <c r="A283" s="26" t="s">
        <v>1321</v>
      </c>
      <c r="B283" s="65">
        <v>0.581204554066622</v>
      </c>
      <c r="C283" s="65">
        <v>0.550057546859271</v>
      </c>
      <c r="D283" s="65">
        <v>0.613293936906005</v>
      </c>
      <c r="E283" s="65">
        <v>0.256087172374063</v>
      </c>
      <c r="F283" s="65">
        <v>0.230274535774126</v>
      </c>
      <c r="G283" s="65">
        <v>0.282392395157875</v>
      </c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>
      <c r="A284" s="26" t="s">
        <v>1329</v>
      </c>
      <c r="B284" s="65">
        <v>0.327671095529574</v>
      </c>
      <c r="C284" s="65">
        <v>0.294600178845814</v>
      </c>
      <c r="D284" s="65">
        <v>0.363260162184725</v>
      </c>
      <c r="E284" s="65">
        <v>0.173137530927484</v>
      </c>
      <c r="F284" s="65">
        <v>0.148368986923481</v>
      </c>
      <c r="G284" s="65">
        <v>0.200942222707459</v>
      </c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>
      <c r="A285" s="26" t="s">
        <v>1337</v>
      </c>
      <c r="B285" s="65">
        <v>0.3559862915872</v>
      </c>
      <c r="C285" s="65">
        <v>0.324531516147993</v>
      </c>
      <c r="D285" s="65">
        <v>0.385249708940049</v>
      </c>
      <c r="E285" s="65">
        <v>0.168982953915339</v>
      </c>
      <c r="F285" s="65">
        <v>0.149069917049949</v>
      </c>
      <c r="G285" s="65">
        <v>0.190725338871613</v>
      </c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>
      <c r="A286" s="26" t="s">
        <v>1343</v>
      </c>
      <c r="B286" s="65">
        <v>0.4686701878906</v>
      </c>
      <c r="C286" s="65">
        <v>0.441577720508339</v>
      </c>
      <c r="D286" s="65">
        <v>0.496890599207113</v>
      </c>
      <c r="E286" s="65">
        <v>0.258509021793793</v>
      </c>
      <c r="F286" s="65">
        <v>0.238051741049427</v>
      </c>
      <c r="G286" s="65">
        <v>0.280750886350015</v>
      </c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>
      <c r="A287" s="26" t="s">
        <v>1353</v>
      </c>
      <c r="B287" s="65">
        <v>0.263223865900181</v>
      </c>
      <c r="C287" s="65">
        <v>0.228170469880996</v>
      </c>
      <c r="D287" s="65">
        <v>0.296277896080527</v>
      </c>
      <c r="E287" s="65">
        <v>0.12963188756561</v>
      </c>
      <c r="F287" s="65">
        <v>0.106997949227349</v>
      </c>
      <c r="G287" s="65">
        <v>0.153925748020378</v>
      </c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>
      <c r="A288" s="26" t="s">
        <v>1355</v>
      </c>
      <c r="B288" s="65">
        <v>0.377397080154693</v>
      </c>
      <c r="C288" s="65">
        <v>0.343752297891502</v>
      </c>
      <c r="D288" s="65">
        <v>0.410831353621126</v>
      </c>
      <c r="E288" s="65">
        <v>0.178924165501515</v>
      </c>
      <c r="F288" s="65">
        <v>0.157030282283681</v>
      </c>
      <c r="G288" s="65">
        <v>0.2012966463226</v>
      </c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>
      <c r="A289" s="26" t="s">
        <v>1359</v>
      </c>
      <c r="B289" s="65">
        <v>0.475612060263895</v>
      </c>
      <c r="C289" s="65">
        <v>0.444404306829765</v>
      </c>
      <c r="D289" s="65">
        <v>0.507271713696599</v>
      </c>
      <c r="E289" s="65">
        <v>0.281150931000155</v>
      </c>
      <c r="F289" s="65">
        <v>0.256919797836496</v>
      </c>
      <c r="G289" s="65">
        <v>0.304471882063001</v>
      </c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>
      <c r="A290" s="26" t="s">
        <v>1364</v>
      </c>
      <c r="B290" s="65">
        <v>0.031951417004048</v>
      </c>
      <c r="C290" s="65">
        <v>0.012145748987854</v>
      </c>
      <c r="D290" s="65">
        <v>0.052732793522267</v>
      </c>
      <c r="E290" s="65">
        <v>0.016105263157894</v>
      </c>
      <c r="F290" s="65">
        <v>0.004048582995951</v>
      </c>
      <c r="G290" s="65">
        <v>0.032388663967611</v>
      </c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>
      <c r="A291" s="26" t="s">
        <v>1370</v>
      </c>
      <c r="B291" s="65">
        <v>0.333764066968385</v>
      </c>
      <c r="C291" s="65">
        <v>0.294286255411255</v>
      </c>
      <c r="D291" s="65">
        <v>0.374077286665354</v>
      </c>
      <c r="E291" s="65">
        <v>0.102889307673945</v>
      </c>
      <c r="F291" s="65">
        <v>0.08382075350641</v>
      </c>
      <c r="G291" s="65">
        <v>0.123242264820838</v>
      </c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>
      <c r="A292" s="26" t="s">
        <v>1377</v>
      </c>
      <c r="B292" s="65">
        <v>0.259190001367432</v>
      </c>
      <c r="C292" s="65">
        <v>0.221996150496773</v>
      </c>
      <c r="D292" s="65">
        <v>0.297807564422277</v>
      </c>
      <c r="E292" s="65">
        <v>0.08491397733896</v>
      </c>
      <c r="F292" s="65">
        <v>0.065489958226865</v>
      </c>
      <c r="G292" s="65">
        <v>0.105658400385398</v>
      </c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>
      <c r="A293" s="26" t="s">
        <v>1384</v>
      </c>
      <c r="B293" s="65">
        <v>0.260644046989308</v>
      </c>
      <c r="C293" s="65">
        <v>0.227656355143886</v>
      </c>
      <c r="D293" s="65">
        <v>0.29557905380848</v>
      </c>
      <c r="E293" s="65">
        <v>0.111773594545004</v>
      </c>
      <c r="F293" s="65">
        <v>0.092464328131294</v>
      </c>
      <c r="G293" s="65">
        <v>0.131918649340728</v>
      </c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>
      <c r="A294" s="26" t="s">
        <v>1392</v>
      </c>
      <c r="B294" s="65">
        <v>0.263080027668559</v>
      </c>
      <c r="C294" s="65">
        <v>0.227157556065239</v>
      </c>
      <c r="D294" s="65">
        <v>0.295153132736274</v>
      </c>
      <c r="E294" s="65">
        <v>0.125085109933389</v>
      </c>
      <c r="F294" s="65">
        <v>0.105421182729095</v>
      </c>
      <c r="G294" s="65">
        <v>0.145586584350919</v>
      </c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>
      <c r="A295" s="26" t="s">
        <v>1398</v>
      </c>
      <c r="B295" s="65">
        <v>0.249553615960099</v>
      </c>
      <c r="C295" s="65">
        <v>0.209476309226932</v>
      </c>
      <c r="D295" s="65">
        <v>0.2893391521197</v>
      </c>
      <c r="E295" s="65">
        <v>0.004897755610972</v>
      </c>
      <c r="F295" s="65">
        <v>0.0</v>
      </c>
      <c r="G295" s="65">
        <v>0.012468827930174</v>
      </c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>
      <c r="A296" s="26" t="s">
        <v>1405</v>
      </c>
      <c r="B296" s="65">
        <v>0.332529985986235</v>
      </c>
      <c r="C296" s="65">
        <v>0.300268820510297</v>
      </c>
      <c r="D296" s="65">
        <v>0.365908504689754</v>
      </c>
      <c r="E296" s="65">
        <v>0.137172442114589</v>
      </c>
      <c r="F296" s="65">
        <v>0.117317195957539</v>
      </c>
      <c r="G296" s="65">
        <v>0.158672874727845</v>
      </c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>
      <c r="A297" s="26" t="s">
        <v>1413</v>
      </c>
      <c r="B297" s="65">
        <v>0.358838560940974</v>
      </c>
      <c r="C297" s="65">
        <v>0.32678102867758</v>
      </c>
      <c r="D297" s="65">
        <v>0.388577190370293</v>
      </c>
      <c r="E297" s="65">
        <v>0.155809854232257</v>
      </c>
      <c r="F297" s="65">
        <v>0.13433137817052</v>
      </c>
      <c r="G297" s="65">
        <v>0.178862237350347</v>
      </c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>
      <c r="A298" s="26" t="s">
        <v>1420</v>
      </c>
      <c r="B298" s="65">
        <v>0.32350269905533</v>
      </c>
      <c r="C298" s="65">
        <v>0.284508868324657</v>
      </c>
      <c r="D298" s="65">
        <v>0.366098338795707</v>
      </c>
      <c r="E298" s="65">
        <v>0.158979973130782</v>
      </c>
      <c r="F298" s="65">
        <v>0.125869972919568</v>
      </c>
      <c r="G298" s="65">
        <v>0.193568850739903</v>
      </c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>
      <c r="A299" s="26" t="s">
        <v>1425</v>
      </c>
      <c r="B299" s="65">
        <v>0.333755879568952</v>
      </c>
      <c r="C299" s="65">
        <v>0.300770123416339</v>
      </c>
      <c r="D299" s="65">
        <v>0.366281536697247</v>
      </c>
      <c r="E299" s="65">
        <v>0.183239770709706</v>
      </c>
      <c r="F299" s="65">
        <v>0.161552781864536</v>
      </c>
      <c r="G299" s="65">
        <v>0.20717469778092</v>
      </c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>
      <c r="A300" s="26" t="s">
        <v>1430</v>
      </c>
      <c r="B300" s="65">
        <v>0.064901149425287</v>
      </c>
      <c r="C300" s="65">
        <v>0.04367816091954</v>
      </c>
      <c r="D300" s="65">
        <v>0.08971264367816</v>
      </c>
      <c r="E300" s="65">
        <v>0.002688735632183</v>
      </c>
      <c r="F300" s="65">
        <v>0.0</v>
      </c>
      <c r="G300" s="65">
        <v>0.008735632183908</v>
      </c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>
      <c r="A301" s="26" t="s">
        <v>1436</v>
      </c>
      <c r="B301" s="65">
        <v>0.409225</v>
      </c>
      <c r="C301" s="65">
        <v>0.365852272727272</v>
      </c>
      <c r="D301" s="65">
        <v>0.459090909090909</v>
      </c>
      <c r="E301" s="65">
        <v>0.0252</v>
      </c>
      <c r="F301" s="65">
        <v>0.011363636363636</v>
      </c>
      <c r="G301" s="65">
        <v>0.040965909090909</v>
      </c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>
      <c r="A302" s="26" t="s">
        <v>1440</v>
      </c>
      <c r="B302" s="65">
        <v>0.298520641346957</v>
      </c>
      <c r="C302" s="65">
        <v>0.258618983355825</v>
      </c>
      <c r="D302" s="65">
        <v>0.33919164899428</v>
      </c>
      <c r="E302" s="65">
        <v>0.120150160096313</v>
      </c>
      <c r="F302" s="65">
        <v>0.091817495370126</v>
      </c>
      <c r="G302" s="65">
        <v>0.149699087462245</v>
      </c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>
      <c r="A303" s="26" t="s">
        <v>1446</v>
      </c>
      <c r="B303" s="65">
        <v>0.082497706422018</v>
      </c>
      <c r="C303" s="65">
        <v>0.059633027522935</v>
      </c>
      <c r="D303" s="65">
        <v>0.110091743119266</v>
      </c>
      <c r="E303" s="65">
        <v>0.013853211009174</v>
      </c>
      <c r="F303" s="65">
        <v>0.004587155963302</v>
      </c>
      <c r="G303" s="65">
        <v>0.025286697247706</v>
      </c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>
      <c r="A304" s="26" t="s">
        <v>1451</v>
      </c>
      <c r="B304" s="65">
        <v>0.334292029056801</v>
      </c>
      <c r="C304" s="65">
        <v>0.298808531746031</v>
      </c>
      <c r="D304" s="65">
        <v>0.37264300472255</v>
      </c>
      <c r="E304" s="65">
        <v>0.110124135350121</v>
      </c>
      <c r="F304" s="65">
        <v>0.089642877936828</v>
      </c>
      <c r="G304" s="65">
        <v>0.130547327987668</v>
      </c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>
      <c r="A305" s="26" t="s">
        <v>1455</v>
      </c>
      <c r="B305" s="65">
        <v>0.322167963028935</v>
      </c>
      <c r="C305" s="65">
        <v>0.283439367850215</v>
      </c>
      <c r="D305" s="65">
        <v>0.362697274670466</v>
      </c>
      <c r="E305" s="65">
        <v>0.110402008506871</v>
      </c>
      <c r="F305" s="65">
        <v>0.088402838502589</v>
      </c>
      <c r="G305" s="65">
        <v>0.136479035995868</v>
      </c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>
      <c r="A306" s="26" t="s">
        <v>1461</v>
      </c>
      <c r="B306" s="65">
        <v>0.443220571395399</v>
      </c>
      <c r="C306" s="65">
        <v>0.409306194125159</v>
      </c>
      <c r="D306" s="65">
        <v>0.47834131959994</v>
      </c>
      <c r="E306" s="65">
        <v>0.202959881351088</v>
      </c>
      <c r="F306" s="65">
        <v>0.175462197604438</v>
      </c>
      <c r="G306" s="65">
        <v>0.231743199329406</v>
      </c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>
      <c r="A307" s="26" t="s">
        <v>1466</v>
      </c>
      <c r="B307" s="65">
        <v>0.266104055009318</v>
      </c>
      <c r="C307" s="65">
        <v>0.226916811258916</v>
      </c>
      <c r="D307" s="65">
        <v>0.305497879313668</v>
      </c>
      <c r="E307" s="65">
        <v>0.099810456390213</v>
      </c>
      <c r="F307" s="65">
        <v>0.075931626852679</v>
      </c>
      <c r="G307" s="65">
        <v>0.126246348680559</v>
      </c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>
      <c r="A308" s="26" t="s">
        <v>1472</v>
      </c>
      <c r="B308" s="65">
        <v>0.346871982741558</v>
      </c>
      <c r="C308" s="65">
        <v>0.308622887226378</v>
      </c>
      <c r="D308" s="65">
        <v>0.385726111309029</v>
      </c>
      <c r="E308" s="65">
        <v>0.111400775672097</v>
      </c>
      <c r="F308" s="65">
        <v>0.086660607679934</v>
      </c>
      <c r="G308" s="65">
        <v>0.135993534035928</v>
      </c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>
      <c r="A309" s="26" t="s">
        <v>1478</v>
      </c>
      <c r="B309" s="65">
        <v>0.419896517766127</v>
      </c>
      <c r="C309" s="65">
        <v>0.385580084097859</v>
      </c>
      <c r="D309" s="65">
        <v>0.45513242682394</v>
      </c>
      <c r="E309" s="65">
        <v>0.25040896492651</v>
      </c>
      <c r="F309" s="65">
        <v>0.222203940618504</v>
      </c>
      <c r="G309" s="65">
        <v>0.280368639706369</v>
      </c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>
      <c r="A310" s="26" t="s">
        <v>1484</v>
      </c>
      <c r="B310" s="65">
        <v>0.441069660977592</v>
      </c>
      <c r="C310" s="65">
        <v>0.406477173209931</v>
      </c>
      <c r="D310" s="65">
        <v>0.475563400839262</v>
      </c>
      <c r="E310" s="65">
        <v>0.182782487747396</v>
      </c>
      <c r="F310" s="65">
        <v>0.157005574246953</v>
      </c>
      <c r="G310" s="65">
        <v>0.209246230780713</v>
      </c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>
      <c r="A311" s="26" t="s">
        <v>1489</v>
      </c>
      <c r="B311" s="65">
        <v>0.283892118115802</v>
      </c>
      <c r="C311" s="65">
        <v>0.245352885418674</v>
      </c>
      <c r="D311" s="65">
        <v>0.323937407621618</v>
      </c>
      <c r="E311" s="65">
        <v>0.113968810788851</v>
      </c>
      <c r="F311" s="65">
        <v>0.087679988140514</v>
      </c>
      <c r="G311" s="65">
        <v>0.141526017841807</v>
      </c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>
      <c r="A312" s="26" t="s">
        <v>1495</v>
      </c>
      <c r="B312" s="65">
        <v>0.332900754523254</v>
      </c>
      <c r="C312" s="65">
        <v>0.296838206931956</v>
      </c>
      <c r="D312" s="65">
        <v>0.368223037379287</v>
      </c>
      <c r="E312" s="65">
        <v>0.104623819395649</v>
      </c>
      <c r="F312" s="65">
        <v>0.084177732820077</v>
      </c>
      <c r="G312" s="65">
        <v>0.124734573391122</v>
      </c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>
      <c r="A313" s="26" t="s">
        <v>1500</v>
      </c>
      <c r="B313" s="65">
        <v>0.27795291533072</v>
      </c>
      <c r="C313" s="65">
        <v>0.242230386335747</v>
      </c>
      <c r="D313" s="65">
        <v>0.315959505996912</v>
      </c>
      <c r="E313" s="65">
        <v>0.082422511362286</v>
      </c>
      <c r="F313" s="65">
        <v>0.062870808188763</v>
      </c>
      <c r="G313" s="65">
        <v>0.104414041555562</v>
      </c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>
      <c r="A314" s="26" t="s">
        <v>1503</v>
      </c>
      <c r="B314" s="65">
        <v>0.409813057011795</v>
      </c>
      <c r="C314" s="65">
        <v>0.376770014198339</v>
      </c>
      <c r="D314" s="65">
        <v>0.442668468763652</v>
      </c>
      <c r="E314" s="65">
        <v>0.237886359333836</v>
      </c>
      <c r="F314" s="65">
        <v>0.209100287772879</v>
      </c>
      <c r="G314" s="65">
        <v>0.26890622724625</v>
      </c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>
      <c r="A315" s="26" t="s">
        <v>1507</v>
      </c>
      <c r="B315" s="65">
        <v>0.259401876486087</v>
      </c>
      <c r="C315" s="65">
        <v>0.221672932330827</v>
      </c>
      <c r="D315" s="65">
        <v>0.299299048904312</v>
      </c>
      <c r="E315" s="65">
        <v>0.116199203293332</v>
      </c>
      <c r="F315" s="65">
        <v>0.08675759912602</v>
      </c>
      <c r="G315" s="65">
        <v>0.146090064905854</v>
      </c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>
      <c r="A316" s="26" t="s">
        <v>1511</v>
      </c>
      <c r="B316" s="65">
        <v>0.252995421939171</v>
      </c>
      <c r="C316" s="65">
        <v>0.219786525974025</v>
      </c>
      <c r="D316" s="65">
        <v>0.28644981060606</v>
      </c>
      <c r="E316" s="65">
        <v>0.081600480114804</v>
      </c>
      <c r="F316" s="65">
        <v>0.065415367201129</v>
      </c>
      <c r="G316" s="65">
        <v>0.099848814120371</v>
      </c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>
      <c r="A317" s="26" t="s">
        <v>1515</v>
      </c>
      <c r="B317" s="65">
        <v>0.385787363619777</v>
      </c>
      <c r="C317" s="65">
        <v>0.353937511403028</v>
      </c>
      <c r="D317" s="65">
        <v>0.419743887976646</v>
      </c>
      <c r="E317" s="65">
        <v>0.156857130940579</v>
      </c>
      <c r="F317" s="65">
        <v>0.133032716325819</v>
      </c>
      <c r="G317" s="65">
        <v>0.180981482757344</v>
      </c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>
      <c r="A318" s="26" t="s">
        <v>1519</v>
      </c>
      <c r="B318" s="65">
        <v>0.347390476190476</v>
      </c>
      <c r="C318" s="65">
        <v>0.314790574486675</v>
      </c>
      <c r="D318" s="65">
        <v>0.377384228920926</v>
      </c>
      <c r="E318" s="65">
        <v>0.187393898354448</v>
      </c>
      <c r="F318" s="65">
        <v>0.163326370685889</v>
      </c>
      <c r="G318" s="65">
        <v>0.211163126183194</v>
      </c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>
      <c r="A319" s="26" t="s">
        <v>1523</v>
      </c>
      <c r="B319" s="65">
        <v>0.322135984191247</v>
      </c>
      <c r="C319" s="65">
        <v>0.279499068183278</v>
      </c>
      <c r="D319" s="65">
        <v>0.36359054688002</v>
      </c>
      <c r="E319" s="65">
        <v>0.15832344209996</v>
      </c>
      <c r="F319" s="65">
        <v>0.125264443159179</v>
      </c>
      <c r="G319" s="65">
        <v>0.190820590228484</v>
      </c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>
      <c r="A320" s="26" t="s">
        <v>1527</v>
      </c>
      <c r="B320" s="65">
        <v>0.304042461307049</v>
      </c>
      <c r="C320" s="65">
        <v>0.268412055179511</v>
      </c>
      <c r="D320" s="65">
        <v>0.341506501603135</v>
      </c>
      <c r="E320" s="65">
        <v>0.100125351650289</v>
      </c>
      <c r="F320" s="65">
        <v>0.078748178255659</v>
      </c>
      <c r="G320" s="65">
        <v>0.123070354416987</v>
      </c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>
      <c r="A321" s="26" t="s">
        <v>1530</v>
      </c>
      <c r="B321" s="65">
        <v>0.305854168874055</v>
      </c>
      <c r="C321" s="65">
        <v>0.272396497441952</v>
      </c>
      <c r="D321" s="65">
        <v>0.341626836547291</v>
      </c>
      <c r="E321" s="65">
        <v>0.106437518062003</v>
      </c>
      <c r="F321" s="65">
        <v>0.086333308606871</v>
      </c>
      <c r="G321" s="65">
        <v>0.127579987590766</v>
      </c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>
      <c r="A322" s="26" t="s">
        <v>1534</v>
      </c>
      <c r="B322" s="65">
        <v>0.394322136471446</v>
      </c>
      <c r="C322" s="65">
        <v>0.361270343003101</v>
      </c>
      <c r="D322" s="65">
        <v>0.428290184272942</v>
      </c>
      <c r="E322" s="65">
        <v>0.158586198616198</v>
      </c>
      <c r="F322" s="65">
        <v>0.134761432054535</v>
      </c>
      <c r="G322" s="65">
        <v>0.183187392109805</v>
      </c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>
      <c r="A323" s="26" t="s">
        <v>1541</v>
      </c>
      <c r="B323" s="65">
        <v>0.29984307683173</v>
      </c>
      <c r="C323" s="65">
        <v>0.261409076515061</v>
      </c>
      <c r="D323" s="65">
        <v>0.340710574753592</v>
      </c>
      <c r="E323" s="65">
        <v>0.116165986067621</v>
      </c>
      <c r="F323" s="65">
        <v>0.092055573617294</v>
      </c>
      <c r="G323" s="65">
        <v>0.14482858648694</v>
      </c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>
      <c r="A324" s="26" t="s">
        <v>1549</v>
      </c>
      <c r="B324" s="65">
        <v>0.400086407820008</v>
      </c>
      <c r="C324" s="65">
        <v>0.368466442769768</v>
      </c>
      <c r="D324" s="65">
        <v>0.433207596111839</v>
      </c>
      <c r="E324" s="65">
        <v>0.220186643962561</v>
      </c>
      <c r="F324" s="65">
        <v>0.193257290301441</v>
      </c>
      <c r="G324" s="65">
        <v>0.245498240928286</v>
      </c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>
      <c r="A325" s="26" t="s">
        <v>1554</v>
      </c>
      <c r="B325" s="65">
        <v>0.400251331873745</v>
      </c>
      <c r="C325" s="65">
        <v>0.367592182083561</v>
      </c>
      <c r="D325" s="65">
        <v>0.434088715562853</v>
      </c>
      <c r="E325" s="65">
        <v>0.165078586815483</v>
      </c>
      <c r="F325" s="65">
        <v>0.140843542153886</v>
      </c>
      <c r="G325" s="65">
        <v>0.188543035508552</v>
      </c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>
      <c r="A326" s="26" t="s">
        <v>1559</v>
      </c>
      <c r="B326" s="65">
        <v>0.242485980507905</v>
      </c>
      <c r="C326" s="65">
        <v>0.212837148461312</v>
      </c>
      <c r="D326" s="65">
        <v>0.27524209845784</v>
      </c>
      <c r="E326" s="65">
        <v>0.085896040361154</v>
      </c>
      <c r="F326" s="65">
        <v>0.069341987242555</v>
      </c>
      <c r="G326" s="65">
        <v>0.10460809771037</v>
      </c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>
      <c r="A327" s="26" t="s">
        <v>1564</v>
      </c>
      <c r="B327" s="65">
        <v>0.297130229419703</v>
      </c>
      <c r="C327" s="65">
        <v>0.256873031938821</v>
      </c>
      <c r="D327" s="65">
        <v>0.340094225949489</v>
      </c>
      <c r="E327" s="65">
        <v>0.118694163326551</v>
      </c>
      <c r="F327" s="65">
        <v>0.091881145170618</v>
      </c>
      <c r="G327" s="65">
        <v>0.149050247997616</v>
      </c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>
      <c r="A328" s="26" t="s">
        <v>1568</v>
      </c>
      <c r="B328" s="65">
        <v>0.365355307994757</v>
      </c>
      <c r="C328" s="65">
        <v>0.332257763579437</v>
      </c>
      <c r="D328" s="65">
        <v>0.398022608125819</v>
      </c>
      <c r="E328" s="65">
        <v>0.203424886313991</v>
      </c>
      <c r="F328" s="65">
        <v>0.179101508201278</v>
      </c>
      <c r="G328" s="65">
        <v>0.227153927876404</v>
      </c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>
      <c r="A329" s="26" t="s">
        <v>1574</v>
      </c>
      <c r="B329" s="65">
        <v>0.332507426538108</v>
      </c>
      <c r="C329" s="65">
        <v>0.294689508723599</v>
      </c>
      <c r="D329" s="65">
        <v>0.369623798865276</v>
      </c>
      <c r="E329" s="65">
        <v>0.109960123990362</v>
      </c>
      <c r="F329" s="65">
        <v>0.08974373416987</v>
      </c>
      <c r="G329" s="65">
        <v>0.130811871981821</v>
      </c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>
      <c r="A330" s="26" t="s">
        <v>1579</v>
      </c>
      <c r="B330" s="65">
        <v>0.321125448284051</v>
      </c>
      <c r="C330" s="65">
        <v>0.283590676087558</v>
      </c>
      <c r="D330" s="65">
        <v>0.361322833788544</v>
      </c>
      <c r="E330" s="65">
        <v>0.109926493110657</v>
      </c>
      <c r="F330" s="65">
        <v>0.085080363665151</v>
      </c>
      <c r="G330" s="65">
        <v>0.137645807019248</v>
      </c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>
      <c r="A331" s="26" t="s">
        <v>1584</v>
      </c>
      <c r="B331" s="65">
        <v>0.443576186329634</v>
      </c>
      <c r="C331" s="65">
        <v>0.409413108921729</v>
      </c>
      <c r="D331" s="65">
        <v>0.479308429118773</v>
      </c>
      <c r="E331" s="65">
        <v>0.202909623607554</v>
      </c>
      <c r="F331" s="65">
        <v>0.173545420256627</v>
      </c>
      <c r="G331" s="65">
        <v>0.23082003500969</v>
      </c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>
      <c r="A332" s="26" t="s">
        <v>1588</v>
      </c>
      <c r="B332" s="65">
        <v>0.322483844225949</v>
      </c>
      <c r="C332" s="65">
        <v>0.278964719491035</v>
      </c>
      <c r="D332" s="65">
        <v>0.366222447143499</v>
      </c>
      <c r="E332" s="65">
        <v>0.137031714619164</v>
      </c>
      <c r="F332" s="65">
        <v>0.108522668851616</v>
      </c>
      <c r="G332" s="65">
        <v>0.168831475542001</v>
      </c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>
      <c r="A333" s="26" t="s">
        <v>1593</v>
      </c>
      <c r="B333" s="65">
        <v>0.420430207878258</v>
      </c>
      <c r="C333" s="65">
        <v>0.387098623853211</v>
      </c>
      <c r="D333" s="65">
        <v>0.454153924566768</v>
      </c>
      <c r="E333" s="65">
        <v>0.250677611544928</v>
      </c>
      <c r="F333" s="65">
        <v>0.220183511060804</v>
      </c>
      <c r="G333" s="65">
        <v>0.2805090262057</v>
      </c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>
      <c r="A334" s="26" t="s">
        <v>1599</v>
      </c>
      <c r="B334" s="65">
        <v>0.347220342002137</v>
      </c>
      <c r="C334" s="65">
        <v>0.306109577247357</v>
      </c>
      <c r="D334" s="65">
        <v>0.388227199857499</v>
      </c>
      <c r="E334" s="65">
        <v>0.112373743768008</v>
      </c>
      <c r="F334" s="65">
        <v>0.088294024138787</v>
      </c>
      <c r="G334" s="65">
        <v>0.138683283673932</v>
      </c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>
      <c r="A335" s="26" t="s">
        <v>1604</v>
      </c>
      <c r="B335" s="65">
        <v>0.332622549950049</v>
      </c>
      <c r="C335" s="65">
        <v>0.297105072011322</v>
      </c>
      <c r="D335" s="65">
        <v>0.365121305777555</v>
      </c>
      <c r="E335" s="65">
        <v>0.104872720211739</v>
      </c>
      <c r="F335" s="65">
        <v>0.086114286281899</v>
      </c>
      <c r="G335" s="65">
        <v>0.125178112590493</v>
      </c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>
      <c r="A336" s="26" t="s">
        <v>1609</v>
      </c>
      <c r="B336" s="65">
        <v>0.301315471370734</v>
      </c>
      <c r="C336" s="65">
        <v>0.261085887796414</v>
      </c>
      <c r="D336" s="65">
        <v>0.342100202429149</v>
      </c>
      <c r="E336" s="65">
        <v>0.111016939313498</v>
      </c>
      <c r="F336" s="65">
        <v>0.08392189176096</v>
      </c>
      <c r="G336" s="65">
        <v>0.14108950260266</v>
      </c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>
      <c r="A337" s="26" t="s">
        <v>1615</v>
      </c>
      <c r="B337" s="65">
        <v>0.441456254996599</v>
      </c>
      <c r="C337" s="65">
        <v>0.405925378580551</v>
      </c>
      <c r="D337" s="65">
        <v>0.475604779320296</v>
      </c>
      <c r="E337" s="65">
        <v>0.182463927689018</v>
      </c>
      <c r="F337" s="65">
        <v>0.154707848345779</v>
      </c>
      <c r="G337" s="65">
        <v>0.20842080419768</v>
      </c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>
      <c r="A338" s="26" t="s">
        <v>1621</v>
      </c>
      <c r="B338" s="65">
        <v>0.274275840161501</v>
      </c>
      <c r="C338" s="65">
        <v>0.236125855994933</v>
      </c>
      <c r="D338" s="65">
        <v>0.309565966037287</v>
      </c>
      <c r="E338" s="65">
        <v>0.086402721281212</v>
      </c>
      <c r="F338" s="65">
        <v>0.067225224726783</v>
      </c>
      <c r="G338" s="65">
        <v>0.10846885761786</v>
      </c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>
      <c r="A339" s="26" t="s">
        <v>1626</v>
      </c>
      <c r="B339" s="65">
        <v>0.40944247487986</v>
      </c>
      <c r="C339" s="65">
        <v>0.377414809960681</v>
      </c>
      <c r="D339" s="65">
        <v>0.443671909130624</v>
      </c>
      <c r="E339" s="65">
        <v>0.237475174086871</v>
      </c>
      <c r="F339" s="65">
        <v>0.208020390669473</v>
      </c>
      <c r="G339" s="65">
        <v>0.26848437686167</v>
      </c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>
      <c r="A340" s="26" t="s">
        <v>1630</v>
      </c>
      <c r="B340" s="65">
        <v>0.417327644590403</v>
      </c>
      <c r="C340" s="65">
        <v>0.382009122422915</v>
      </c>
      <c r="D340" s="65">
        <v>0.446636699507389</v>
      </c>
      <c r="E340" s="65">
        <v>0.174379515452618</v>
      </c>
      <c r="F340" s="65">
        <v>0.14956879550845</v>
      </c>
      <c r="G340" s="65">
        <v>0.199211287754391</v>
      </c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>
      <c r="A341" s="26" t="s">
        <v>1635</v>
      </c>
      <c r="B341" s="65">
        <v>0.288692243429085</v>
      </c>
      <c r="C341" s="65">
        <v>0.247631578947368</v>
      </c>
      <c r="D341" s="65">
        <v>0.330841526894158</v>
      </c>
      <c r="E341" s="65">
        <v>0.125237610500161</v>
      </c>
      <c r="F341" s="65">
        <v>0.094437726016673</v>
      </c>
      <c r="G341" s="65">
        <v>0.156301222956081</v>
      </c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>
      <c r="A342" s="26" t="s">
        <v>1640</v>
      </c>
      <c r="B342" s="65">
        <v>0.235310889249639</v>
      </c>
      <c r="C342" s="65">
        <v>0.204895247113997</v>
      </c>
      <c r="D342" s="65">
        <v>0.268359983766233</v>
      </c>
      <c r="E342" s="65">
        <v>0.080570600487599</v>
      </c>
      <c r="F342" s="65">
        <v>0.062361920749704</v>
      </c>
      <c r="G342" s="65">
        <v>0.098396270405545</v>
      </c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>
      <c r="A343" s="26" t="s">
        <v>1645</v>
      </c>
      <c r="B343" s="65">
        <v>0.356090044779379</v>
      </c>
      <c r="C343" s="65">
        <v>0.32280116863259</v>
      </c>
      <c r="D343" s="65">
        <v>0.391080166011358</v>
      </c>
      <c r="E343" s="65">
        <v>0.204658076671035</v>
      </c>
      <c r="F343" s="65">
        <v>0.177285841706713</v>
      </c>
      <c r="G343" s="65">
        <v>0.233093099242755</v>
      </c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>
      <c r="A344" s="26" t="s">
        <v>1650</v>
      </c>
      <c r="B344" s="65">
        <v>0.207368834966203</v>
      </c>
      <c r="C344" s="65">
        <v>0.174955753311016</v>
      </c>
      <c r="D344" s="65">
        <v>0.240881852066062</v>
      </c>
      <c r="E344" s="65">
        <v>0.088440608401944</v>
      </c>
      <c r="F344" s="65">
        <v>0.067727238461044</v>
      </c>
      <c r="G344" s="65">
        <v>0.111943334443334</v>
      </c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>
      <c r="A345" s="26" t="s">
        <v>1656</v>
      </c>
      <c r="B345" s="65">
        <v>0.310393605272532</v>
      </c>
      <c r="C345" s="65">
        <v>0.272598563116019</v>
      </c>
      <c r="D345" s="65">
        <v>0.349169338558365</v>
      </c>
      <c r="E345" s="65">
        <v>0.106510929663298</v>
      </c>
      <c r="F345" s="65">
        <v>0.082470226849902</v>
      </c>
      <c r="G345" s="65">
        <v>0.130373201196143</v>
      </c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>
      <c r="A346" s="26" t="s">
        <v>1661</v>
      </c>
      <c r="B346" s="65">
        <v>0.296851368227731</v>
      </c>
      <c r="C346" s="65">
        <v>0.263602813852813</v>
      </c>
      <c r="D346" s="65">
        <v>0.329919290305653</v>
      </c>
      <c r="E346" s="65">
        <v>0.097938953136998</v>
      </c>
      <c r="F346" s="65">
        <v>0.079093669886732</v>
      </c>
      <c r="G346" s="65">
        <v>0.11621346912891</v>
      </c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>
      <c r="A347" s="26" t="s">
        <v>1666</v>
      </c>
      <c r="B347" s="65">
        <v>0.413218425469804</v>
      </c>
      <c r="C347" s="65">
        <v>0.379551268016785</v>
      </c>
      <c r="D347" s="65">
        <v>0.447036489691662</v>
      </c>
      <c r="E347" s="65">
        <v>0.159439433427364</v>
      </c>
      <c r="F347" s="65">
        <v>0.136277346535967</v>
      </c>
      <c r="G347" s="65">
        <v>0.181920610041299</v>
      </c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>
      <c r="A348" s="26" t="s">
        <v>1673</v>
      </c>
      <c r="B348" s="65">
        <v>0.219177239441079</v>
      </c>
      <c r="C348" s="65">
        <v>0.18759782092388</v>
      </c>
      <c r="D348" s="65">
        <v>0.253858508490678</v>
      </c>
      <c r="E348" s="65">
        <v>0.059370259856844</v>
      </c>
      <c r="F348" s="65">
        <v>0.041989744624517</v>
      </c>
      <c r="G348" s="65">
        <v>0.077217744329652</v>
      </c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>
      <c r="A349" s="26" t="s">
        <v>1678</v>
      </c>
      <c r="B349" s="65">
        <v>0.387785594145915</v>
      </c>
      <c r="C349" s="65">
        <v>0.355066622979466</v>
      </c>
      <c r="D349" s="65">
        <v>0.422904379641764</v>
      </c>
      <c r="E349" s="65">
        <v>0.196911297609118</v>
      </c>
      <c r="F349" s="65">
        <v>0.171823444139957</v>
      </c>
      <c r="G349" s="65">
        <v>0.223372155367568</v>
      </c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>
      <c r="A350" s="26" t="s">
        <v>1683</v>
      </c>
      <c r="B350" s="65">
        <v>0.332200824667031</v>
      </c>
      <c r="C350" s="65">
        <v>0.301465973362525</v>
      </c>
      <c r="D350" s="65">
        <v>0.36273914431673</v>
      </c>
      <c r="E350" s="65">
        <v>0.128317292796603</v>
      </c>
      <c r="F350" s="65">
        <v>0.107409779237365</v>
      </c>
      <c r="G350" s="65">
        <v>0.148984234794579</v>
      </c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>
      <c r="A351" s="26" t="s">
        <v>1688</v>
      </c>
      <c r="B351" s="65">
        <v>0.215277775974025</v>
      </c>
      <c r="C351" s="65">
        <v>0.185501443001443</v>
      </c>
      <c r="D351" s="65">
        <v>0.246146599927849</v>
      </c>
      <c r="E351" s="65">
        <v>0.079177744238085</v>
      </c>
      <c r="F351" s="65">
        <v>0.062951390150253</v>
      </c>
      <c r="G351" s="65">
        <v>0.095726149481831</v>
      </c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>
      <c r="A352" s="26" t="s">
        <v>1693</v>
      </c>
      <c r="B352" s="65">
        <v>0.238662862215184</v>
      </c>
      <c r="C352" s="65">
        <v>0.205582385450806</v>
      </c>
      <c r="D352" s="65">
        <v>0.27319832214569</v>
      </c>
      <c r="E352" s="65">
        <v>0.083682841238847</v>
      </c>
      <c r="F352" s="65">
        <v>0.063920842427927</v>
      </c>
      <c r="G352" s="65">
        <v>0.105155309008066</v>
      </c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>
      <c r="A353" s="26" t="s">
        <v>1698</v>
      </c>
      <c r="B353" s="65">
        <v>0.333641399082568</v>
      </c>
      <c r="C353" s="65">
        <v>0.299980886850152</v>
      </c>
      <c r="D353" s="65">
        <v>0.366607142857142</v>
      </c>
      <c r="E353" s="65">
        <v>0.153312546169426</v>
      </c>
      <c r="F353" s="65">
        <v>0.132388324595893</v>
      </c>
      <c r="G353" s="65">
        <v>0.175089103684287</v>
      </c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>
      <c r="A354" s="26" t="s">
        <v>1704</v>
      </c>
      <c r="B354" s="65">
        <v>0.212699934147315</v>
      </c>
      <c r="C354" s="65">
        <v>0.183656875128196</v>
      </c>
      <c r="D354" s="65">
        <v>0.244268306506461</v>
      </c>
      <c r="E354" s="65">
        <v>0.050685071246293</v>
      </c>
      <c r="F354" s="65">
        <v>0.037630575543147</v>
      </c>
      <c r="G354" s="65">
        <v>0.064512341520556</v>
      </c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>
      <c r="A355" s="26" t="s">
        <v>1708</v>
      </c>
      <c r="B355" s="65">
        <v>0.287759727797455</v>
      </c>
      <c r="C355" s="65">
        <v>0.25176349534304</v>
      </c>
      <c r="D355" s="65">
        <v>0.32572659222091</v>
      </c>
      <c r="E355" s="65">
        <v>0.047122242439675</v>
      </c>
      <c r="F355" s="65">
        <v>0.034027693780833</v>
      </c>
      <c r="G355" s="65">
        <v>0.062241429778726</v>
      </c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>
      <c r="A356" s="26" t="s">
        <v>1713</v>
      </c>
      <c r="B356" s="65">
        <v>0.206704461528254</v>
      </c>
      <c r="C356" s="65">
        <v>0.180441977243701</v>
      </c>
      <c r="D356" s="65">
        <v>0.233427729677729</v>
      </c>
      <c r="E356" s="65">
        <v>0.073809910435499</v>
      </c>
      <c r="F356" s="65">
        <v>0.058704800929392</v>
      </c>
      <c r="G356" s="65">
        <v>0.088833115001218</v>
      </c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>
      <c r="A357" s="26" t="s">
        <v>1718</v>
      </c>
      <c r="B357" s="65">
        <v>0.246870696554907</v>
      </c>
      <c r="C357" s="65">
        <v>0.213114538969802</v>
      </c>
      <c r="D357" s="65">
        <v>0.281576939142728</v>
      </c>
      <c r="E357" s="65">
        <v>0.059954252922066</v>
      </c>
      <c r="F357" s="65">
        <v>0.042705488955488</v>
      </c>
      <c r="G357" s="65">
        <v>0.078616047694995</v>
      </c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>
      <c r="A358" s="26" t="s">
        <v>1723</v>
      </c>
      <c r="B358" s="65">
        <v>0.177019013033347</v>
      </c>
      <c r="C358" s="65">
        <v>0.152601945073275</v>
      </c>
      <c r="D358" s="65">
        <v>0.201505388087956</v>
      </c>
      <c r="E358" s="65">
        <v>0.071230038208478</v>
      </c>
      <c r="F358" s="65">
        <v>0.055258820721836</v>
      </c>
      <c r="G358" s="65">
        <v>0.087297820999082</v>
      </c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>
      <c r="A359" s="26" t="s">
        <v>1730</v>
      </c>
      <c r="B359" s="65">
        <v>0.285280440279417</v>
      </c>
      <c r="C359" s="65">
        <v>0.249957898793126</v>
      </c>
      <c r="D359" s="65">
        <v>0.32224084186016</v>
      </c>
      <c r="E359" s="65">
        <v>0.046689968332321</v>
      </c>
      <c r="F359" s="65">
        <v>0.033627836021301</v>
      </c>
      <c r="G359" s="65">
        <v>0.060920841459862</v>
      </c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>
      <c r="A360" s="26" t="s">
        <v>1736</v>
      </c>
      <c r="B360" s="65">
        <v>0.212448441324757</v>
      </c>
      <c r="C360" s="65">
        <v>0.182126411600095</v>
      </c>
      <c r="D360" s="65">
        <v>0.243505639097744</v>
      </c>
      <c r="E360" s="65">
        <v>0.062289598997493</v>
      </c>
      <c r="F360" s="65">
        <v>0.044910433134117</v>
      </c>
      <c r="G360" s="65">
        <v>0.081544128386233</v>
      </c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>
      <c r="A361" s="26" t="s">
        <v>1741</v>
      </c>
      <c r="B361" s="65">
        <v>0.243044666430826</v>
      </c>
      <c r="C361" s="65">
        <v>0.211161176382498</v>
      </c>
      <c r="D361" s="65">
        <v>0.275701942834112</v>
      </c>
      <c r="E361" s="65">
        <v>0.058228347348088</v>
      </c>
      <c r="F361" s="65">
        <v>0.044921781680253</v>
      </c>
      <c r="G361" s="65">
        <v>0.073542953652055</v>
      </c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>
      <c r="A362" s="26" t="s">
        <v>1747</v>
      </c>
      <c r="B362" s="65">
        <v>0.229008549751653</v>
      </c>
      <c r="C362" s="65">
        <v>0.202692620916758</v>
      </c>
      <c r="D362" s="65">
        <v>0.256737087943984</v>
      </c>
      <c r="E362" s="65">
        <v>0.066076372840552</v>
      </c>
      <c r="F362" s="65">
        <v>0.054009545195343</v>
      </c>
      <c r="G362" s="65">
        <v>0.078754774113747</v>
      </c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>
      <c r="A363" s="26" t="s">
        <v>1752</v>
      </c>
      <c r="B363" s="65">
        <v>0.20733393237751</v>
      </c>
      <c r="C363" s="65">
        <v>0.182410842534122</v>
      </c>
      <c r="D363" s="65">
        <v>0.230377666739478</v>
      </c>
      <c r="E363" s="65">
        <v>0.087603641795408</v>
      </c>
      <c r="F363" s="65">
        <v>0.07138306086827</v>
      </c>
      <c r="G363" s="65">
        <v>0.103401817665005</v>
      </c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>
      <c r="A364" s="26" t="s">
        <v>1757</v>
      </c>
      <c r="B364" s="65">
        <v>0.162183480692208</v>
      </c>
      <c r="C364" s="65">
        <v>0.135876479436329</v>
      </c>
      <c r="D364" s="65">
        <v>0.188451935637097</v>
      </c>
      <c r="E364" s="65">
        <v>0.052126157962618</v>
      </c>
      <c r="F364" s="65">
        <v>0.038164074426543</v>
      </c>
      <c r="G364" s="65">
        <v>0.067907997032061</v>
      </c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>
      <c r="A365" s="26" t="s">
        <v>1762</v>
      </c>
      <c r="B365" s="65">
        <v>0.210437785905027</v>
      </c>
      <c r="C365" s="65">
        <v>0.185922542336335</v>
      </c>
      <c r="D365" s="65">
        <v>0.235407950606226</v>
      </c>
      <c r="E365" s="65">
        <v>0.054291717554476</v>
      </c>
      <c r="F365" s="65">
        <v>0.041129710965917</v>
      </c>
      <c r="G365" s="65">
        <v>0.067347585524309</v>
      </c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>
      <c r="A366" s="26" t="s">
        <v>1765</v>
      </c>
      <c r="B366" s="65">
        <v>0.192691655712708</v>
      </c>
      <c r="C366" s="65">
        <v>0.162260217852323</v>
      </c>
      <c r="D366" s="65">
        <v>0.22385603431656</v>
      </c>
      <c r="E366" s="65">
        <v>0.035547496655391</v>
      </c>
      <c r="F366" s="65">
        <v>0.022625291375291</v>
      </c>
      <c r="G366" s="65">
        <v>0.049749760473444</v>
      </c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>
      <c r="A367" s="26" t="s">
        <v>1770</v>
      </c>
      <c r="B367" s="65">
        <v>0.16120731126197</v>
      </c>
      <c r="C367" s="65">
        <v>0.133935696248196</v>
      </c>
      <c r="D367" s="65">
        <v>0.192019505116096</v>
      </c>
      <c r="E367" s="65">
        <v>0.03310115086488</v>
      </c>
      <c r="F367" s="65">
        <v>0.022934403349176</v>
      </c>
      <c r="G367" s="65">
        <v>0.045148585316198</v>
      </c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>
      <c r="A368" s="26" t="s">
        <v>1775</v>
      </c>
      <c r="B368" s="65">
        <v>0.22015498034076</v>
      </c>
      <c r="C368" s="65">
        <v>0.19405990607252</v>
      </c>
      <c r="D368" s="65">
        <v>0.24711869266055</v>
      </c>
      <c r="E368" s="65">
        <v>0.066765588514441</v>
      </c>
      <c r="F368" s="65">
        <v>0.052691296980287</v>
      </c>
      <c r="G368" s="65">
        <v>0.080715772186529</v>
      </c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>
      <c r="A369" s="26" t="s">
        <v>1780</v>
      </c>
      <c r="B369" s="65">
        <v>0.183068828709169</v>
      </c>
      <c r="C369" s="65">
        <v>0.151563988095238</v>
      </c>
      <c r="D369" s="65">
        <v>0.214749909812409</v>
      </c>
      <c r="E369" s="65">
        <v>0.036777434928781</v>
      </c>
      <c r="F369" s="65">
        <v>0.024669931079021</v>
      </c>
      <c r="G369" s="65">
        <v>0.050125526777515</v>
      </c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>
      <c r="A370" s="26" t="s">
        <v>1785</v>
      </c>
      <c r="B370" s="65">
        <v>0.164584125724649</v>
      </c>
      <c r="C370" s="65">
        <v>0.139366001482585</v>
      </c>
      <c r="D370" s="65">
        <v>0.191142197716387</v>
      </c>
      <c r="E370" s="65">
        <v>0.052392182392607</v>
      </c>
      <c r="F370" s="65">
        <v>0.038985103683743</v>
      </c>
      <c r="G370" s="65">
        <v>0.066028524441591</v>
      </c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>
      <c r="A371" s="26" t="s">
        <v>1790</v>
      </c>
      <c r="B371" s="65">
        <v>0.207104738828423</v>
      </c>
      <c r="C371" s="65">
        <v>0.176318279673542</v>
      </c>
      <c r="D371" s="65">
        <v>0.241422875370243</v>
      </c>
      <c r="E371" s="65">
        <v>0.087871224883977</v>
      </c>
      <c r="F371" s="65">
        <v>0.066438427182354</v>
      </c>
      <c r="G371" s="65">
        <v>0.111451815728131</v>
      </c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>
      <c r="A372" s="26" t="s">
        <v>1792</v>
      </c>
      <c r="B372" s="65">
        <v>0.178049529601943</v>
      </c>
      <c r="C372" s="65">
        <v>0.155060713871058</v>
      </c>
      <c r="D372" s="65">
        <v>0.20150402630575</v>
      </c>
      <c r="E372" s="65">
        <v>0.049263912871367</v>
      </c>
      <c r="F372" s="65">
        <v>0.037955855681768</v>
      </c>
      <c r="G372" s="65">
        <v>0.061676140740035</v>
      </c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>
      <c r="A373" s="26" t="s">
        <v>1793</v>
      </c>
      <c r="B373" s="65">
        <v>0.194596636085626</v>
      </c>
      <c r="C373" s="65">
        <v>0.170019249672346</v>
      </c>
      <c r="D373" s="65">
        <v>0.217187682029998</v>
      </c>
      <c r="E373" s="65">
        <v>0.061002609596211</v>
      </c>
      <c r="F373" s="65">
        <v>0.047411557924746</v>
      </c>
      <c r="G373" s="65">
        <v>0.074707792919139</v>
      </c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>
      <c r="A374" s="26" t="s">
        <v>1794</v>
      </c>
      <c r="B374" s="65">
        <v>0.147963426750583</v>
      </c>
      <c r="C374" s="65">
        <v>0.122890244626528</v>
      </c>
      <c r="D374" s="65">
        <v>0.175807109211099</v>
      </c>
      <c r="E374" s="65">
        <v>0.052630115274111</v>
      </c>
      <c r="F374" s="65">
        <v>0.037858062725581</v>
      </c>
      <c r="G374" s="65">
        <v>0.069189598154685</v>
      </c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>
      <c r="A375" s="26" t="s">
        <v>1795</v>
      </c>
      <c r="B375" s="65">
        <v>0.238378224888286</v>
      </c>
      <c r="C375" s="65">
        <v>0.204884969691471</v>
      </c>
      <c r="D375" s="65">
        <v>0.270796863954758</v>
      </c>
      <c r="E375" s="65">
        <v>0.083454375288068</v>
      </c>
      <c r="F375" s="65">
        <v>0.062700650957229</v>
      </c>
      <c r="G375" s="65">
        <v>0.104213090635954</v>
      </c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>
      <c r="A376" s="26" t="s">
        <v>1796</v>
      </c>
      <c r="B376" s="65">
        <v>0.18876014031945</v>
      </c>
      <c r="C376" s="65">
        <v>0.164520421787663</v>
      </c>
      <c r="D376" s="65">
        <v>0.215026106715761</v>
      </c>
      <c r="E376" s="65">
        <v>0.047692082298289</v>
      </c>
      <c r="F376" s="65">
        <v>0.034845273819411</v>
      </c>
      <c r="G376" s="65">
        <v>0.062432847803537</v>
      </c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>
      <c r="A377" s="26" t="s">
        <v>1797</v>
      </c>
      <c r="B377" s="65">
        <v>0.146883954933954</v>
      </c>
      <c r="C377" s="65">
        <v>0.121219787157287</v>
      </c>
      <c r="D377" s="65">
        <v>0.171873917748917</v>
      </c>
      <c r="E377" s="65">
        <v>0.035335921830694</v>
      </c>
      <c r="F377" s="65">
        <v>0.024601414368459</v>
      </c>
      <c r="G377" s="65">
        <v>0.046850585021039</v>
      </c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>
      <c r="A378" s="26" t="s">
        <v>1798</v>
      </c>
      <c r="B378" s="65">
        <v>0.212739322149172</v>
      </c>
      <c r="C378" s="65">
        <v>0.181811906921009</v>
      </c>
      <c r="D378" s="65">
        <v>0.24349183408722</v>
      </c>
      <c r="E378" s="65">
        <v>0.051045812135316</v>
      </c>
      <c r="F378" s="65">
        <v>0.038453218989378</v>
      </c>
      <c r="G378" s="65">
        <v>0.064699551809167</v>
      </c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>
      <c r="A379" s="26" t="s">
        <v>1799</v>
      </c>
      <c r="B379" s="65">
        <v>0.179832264015291</v>
      </c>
      <c r="C379" s="65">
        <v>0.156148836828309</v>
      </c>
      <c r="D379" s="65">
        <v>0.204512614678899</v>
      </c>
      <c r="E379" s="65">
        <v>0.050284572321154</v>
      </c>
      <c r="F379" s="65">
        <v>0.037521777407098</v>
      </c>
      <c r="G379" s="65">
        <v>0.065576709541732</v>
      </c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>
      <c r="A380" s="26" t="s">
        <v>1800</v>
      </c>
      <c r="B380" s="65">
        <v>0.159618888713625</v>
      </c>
      <c r="C380" s="65">
        <v>0.130961319382372</v>
      </c>
      <c r="D380" s="65">
        <v>0.190040726817042</v>
      </c>
      <c r="E380" s="65">
        <v>0.051741760021139</v>
      </c>
      <c r="F380" s="65">
        <v>0.036226852881711</v>
      </c>
      <c r="G380" s="65">
        <v>0.069869268158741</v>
      </c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>
      <c r="A381" s="26" t="s">
        <v>1801</v>
      </c>
      <c r="B381" s="65">
        <v>0.288228491117468</v>
      </c>
      <c r="C381" s="65">
        <v>0.250689365243342</v>
      </c>
      <c r="D381" s="65">
        <v>0.325092909615636</v>
      </c>
      <c r="E381" s="65">
        <v>0.04737887761172</v>
      </c>
      <c r="F381" s="65">
        <v>0.034528646069839</v>
      </c>
      <c r="G381" s="65">
        <v>0.061692583652978</v>
      </c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>
      <c r="A382" s="26" t="s">
        <v>1802</v>
      </c>
      <c r="B382" s="65">
        <v>0.20675765255179</v>
      </c>
      <c r="C382" s="65">
        <v>0.18021278466106</v>
      </c>
      <c r="D382" s="65">
        <v>0.231680657146174</v>
      </c>
      <c r="E382" s="65">
        <v>0.074176050000792</v>
      </c>
      <c r="F382" s="65">
        <v>0.059705884951574</v>
      </c>
      <c r="G382" s="65">
        <v>0.088166364108808</v>
      </c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>
      <c r="A383" s="26" t="s">
        <v>1803</v>
      </c>
      <c r="B383" s="65">
        <v>0.17664901819638</v>
      </c>
      <c r="C383" s="65">
        <v>0.153157810907237</v>
      </c>
      <c r="D383" s="65">
        <v>0.201684414591524</v>
      </c>
      <c r="E383" s="65">
        <v>0.070974770285779</v>
      </c>
      <c r="F383" s="65">
        <v>0.05500308257619</v>
      </c>
      <c r="G383" s="65">
        <v>0.08685052555752</v>
      </c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>
      <c r="A384" s="26" t="s">
        <v>1804</v>
      </c>
      <c r="B384" s="65">
        <v>0.285918609307359</v>
      </c>
      <c r="C384" s="65">
        <v>0.25051641824085</v>
      </c>
      <c r="D384" s="65">
        <v>0.323720356978879</v>
      </c>
      <c r="E384" s="65">
        <v>0.046639408926634</v>
      </c>
      <c r="F384" s="65">
        <v>0.03392927809898</v>
      </c>
      <c r="G384" s="65">
        <v>0.060083284863532</v>
      </c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>
      <c r="A385" s="26" t="s">
        <v>1805</v>
      </c>
      <c r="B385" s="65">
        <v>0.236880045685308</v>
      </c>
      <c r="C385" s="65">
        <v>0.205577565709144</v>
      </c>
      <c r="D385" s="65">
        <v>0.271322697770066</v>
      </c>
      <c r="E385" s="65">
        <v>0.068547640773795</v>
      </c>
      <c r="F385" s="65">
        <v>0.048685364739782</v>
      </c>
      <c r="G385" s="65">
        <v>0.090216632782422</v>
      </c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>
      <c r="A386" s="26" t="s">
        <v>1806</v>
      </c>
      <c r="B386" s="65">
        <v>0.229454948002189</v>
      </c>
      <c r="C386" s="65">
        <v>0.202361984758536</v>
      </c>
      <c r="D386" s="65">
        <v>0.254743173174207</v>
      </c>
      <c r="E386" s="65">
        <v>0.065909338611678</v>
      </c>
      <c r="F386" s="65">
        <v>0.052616716037048</v>
      </c>
      <c r="G386" s="65">
        <v>0.080212332729921</v>
      </c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>
      <c r="A387" s="26" t="s">
        <v>1807</v>
      </c>
      <c r="B387" s="65">
        <v>0.243617874201165</v>
      </c>
      <c r="C387" s="65">
        <v>0.212265129924107</v>
      </c>
      <c r="D387" s="65">
        <v>0.27788731530315</v>
      </c>
      <c r="E387" s="65">
        <v>0.058014064378082</v>
      </c>
      <c r="F387" s="65">
        <v>0.04408181114641</v>
      </c>
      <c r="G387" s="65">
        <v>0.073038829070088</v>
      </c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>
      <c r="A388" s="26" t="s">
        <v>1808</v>
      </c>
      <c r="B388" s="65">
        <v>0.16438840183092</v>
      </c>
      <c r="C388" s="65">
        <v>0.13690958840273</v>
      </c>
      <c r="D388" s="65">
        <v>0.193334322922851</v>
      </c>
      <c r="E388" s="65">
        <v>0.052735510345602</v>
      </c>
      <c r="F388" s="65">
        <v>0.039725745055068</v>
      </c>
      <c r="G388" s="65">
        <v>0.067623326932223</v>
      </c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>
      <c r="A389" s="26" t="s">
        <v>1809</v>
      </c>
      <c r="B389" s="65">
        <v>0.208256886856772</v>
      </c>
      <c r="C389" s="65">
        <v>0.185093807504931</v>
      </c>
      <c r="D389" s="65">
        <v>0.232425975846273</v>
      </c>
      <c r="E389" s="65">
        <v>0.087824390043382</v>
      </c>
      <c r="F389" s="65">
        <v>0.073258376912333</v>
      </c>
      <c r="G389" s="65">
        <v>0.103408865599232</v>
      </c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>
      <c r="A390" s="26" t="s">
        <v>1810</v>
      </c>
      <c r="B390" s="65">
        <v>0.187114331300013</v>
      </c>
      <c r="C390" s="65">
        <v>0.15887288059163</v>
      </c>
      <c r="D390" s="65">
        <v>0.218288538797061</v>
      </c>
      <c r="E390" s="65">
        <v>0.038111714797754</v>
      </c>
      <c r="F390" s="65">
        <v>0.026585722701615</v>
      </c>
      <c r="G390" s="65">
        <v>0.050933244785517</v>
      </c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>
      <c r="A391" s="26" t="s">
        <v>1811</v>
      </c>
      <c r="B391" s="65">
        <v>0.193674388880595</v>
      </c>
      <c r="C391" s="65">
        <v>0.169183908045977</v>
      </c>
      <c r="D391" s="65">
        <v>0.219122924648786</v>
      </c>
      <c r="E391" s="65">
        <v>0.055566938455579</v>
      </c>
      <c r="F391" s="65">
        <v>0.043556955065068</v>
      </c>
      <c r="G391" s="65">
        <v>0.069371945742635</v>
      </c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>
      <c r="A392" s="26" t="s">
        <v>1812</v>
      </c>
      <c r="B392" s="65">
        <v>0.186881619933097</v>
      </c>
      <c r="C392" s="65">
        <v>0.154103412370457</v>
      </c>
      <c r="D392" s="65">
        <v>0.218776301980847</v>
      </c>
      <c r="E392" s="65">
        <v>0.03245970405597</v>
      </c>
      <c r="F392" s="65">
        <v>0.020880682541611</v>
      </c>
      <c r="G392" s="65">
        <v>0.044543851897879</v>
      </c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>
      <c r="A393" s="26" t="s">
        <v>1813</v>
      </c>
      <c r="B393" s="65">
        <v>0.160590853882959</v>
      </c>
      <c r="C393" s="65">
        <v>0.13067742929585</v>
      </c>
      <c r="D393" s="65">
        <v>0.191681469115679</v>
      </c>
      <c r="E393" s="65">
        <v>0.059550146974033</v>
      </c>
      <c r="F393" s="65">
        <v>0.041348066575799</v>
      </c>
      <c r="G393" s="65">
        <v>0.079242979242979</v>
      </c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>
      <c r="A394" s="26" t="s">
        <v>1814</v>
      </c>
      <c r="B394" s="65">
        <v>0.173900792931092</v>
      </c>
      <c r="C394" s="65">
        <v>0.146881079228336</v>
      </c>
      <c r="D394" s="65">
        <v>0.202116187705339</v>
      </c>
      <c r="E394" s="65">
        <v>0.061964387455567</v>
      </c>
      <c r="F394" s="65">
        <v>0.047053047792834</v>
      </c>
      <c r="G394" s="65">
        <v>0.079543933911507</v>
      </c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>
      <c r="A395" s="26" t="s">
        <v>1815</v>
      </c>
      <c r="B395" s="65">
        <v>0.188682842514264</v>
      </c>
      <c r="C395" s="65">
        <v>0.163382754477937</v>
      </c>
      <c r="D395" s="65">
        <v>0.213708997742827</v>
      </c>
      <c r="E395" s="65">
        <v>0.071090190301543</v>
      </c>
      <c r="F395" s="65">
        <v>0.055806099163323</v>
      </c>
      <c r="G395" s="65">
        <v>0.087722515125038</v>
      </c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>
      <c r="A396" s="26" t="s">
        <v>1816</v>
      </c>
      <c r="B396" s="65">
        <v>0.187156299396322</v>
      </c>
      <c r="C396" s="65">
        <v>0.160517693315858</v>
      </c>
      <c r="D396" s="65">
        <v>0.211314074559487</v>
      </c>
      <c r="E396" s="65">
        <v>0.070833306474361</v>
      </c>
      <c r="F396" s="65">
        <v>0.055946150561976</v>
      </c>
      <c r="G396" s="65">
        <v>0.086161909891841</v>
      </c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>
      <c r="A397" s="26" t="s">
        <v>1817</v>
      </c>
      <c r="B397" s="65">
        <v>0.207636727091554</v>
      </c>
      <c r="C397" s="65">
        <v>0.180338806787082</v>
      </c>
      <c r="D397" s="65">
        <v>0.232637661508351</v>
      </c>
      <c r="E397" s="65">
        <v>0.055708393145806</v>
      </c>
      <c r="F397" s="65">
        <v>0.04325385470213</v>
      </c>
      <c r="G397" s="65">
        <v>0.068782877403567</v>
      </c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>
      <c r="A398" s="26" t="s">
        <v>1818</v>
      </c>
      <c r="B398" s="65">
        <v>0.205249000514172</v>
      </c>
      <c r="C398" s="65">
        <v>0.180863648803304</v>
      </c>
      <c r="D398" s="65">
        <v>0.231759454147385</v>
      </c>
      <c r="E398" s="65">
        <v>0.055731406180026</v>
      </c>
      <c r="F398" s="65">
        <v>0.042947848766814</v>
      </c>
      <c r="G398" s="65">
        <v>0.068904251878389</v>
      </c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>
      <c r="A399" s="26" t="s">
        <v>1819</v>
      </c>
      <c r="B399" s="65">
        <v>0.180283340710273</v>
      </c>
      <c r="C399" s="65">
        <v>0.150895164685688</v>
      </c>
      <c r="D399" s="65">
        <v>0.209633024221552</v>
      </c>
      <c r="E399" s="65">
        <v>0.067101241382492</v>
      </c>
      <c r="F399" s="65">
        <v>0.051810867852014</v>
      </c>
      <c r="G399" s="65">
        <v>0.083977145375121</v>
      </c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>
      <c r="A400" s="26" t="s">
        <v>1820</v>
      </c>
      <c r="B400" s="65">
        <v>0.152918736843222</v>
      </c>
      <c r="C400" s="65">
        <v>0.127178303518377</v>
      </c>
      <c r="D400" s="65">
        <v>0.179716768525592</v>
      </c>
      <c r="E400" s="65">
        <v>0.033182502746065</v>
      </c>
      <c r="F400" s="65">
        <v>0.02299994355392</v>
      </c>
      <c r="G400" s="65">
        <v>0.044943420670609</v>
      </c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>
      <c r="A401" s="26" t="s">
        <v>1822</v>
      </c>
      <c r="B401" s="65">
        <v>0.186251991408184</v>
      </c>
      <c r="C401" s="65">
        <v>0.161510530435415</v>
      </c>
      <c r="D401" s="65">
        <v>0.212756798820445</v>
      </c>
      <c r="E401" s="65">
        <v>0.057624808798115</v>
      </c>
      <c r="F401" s="65">
        <v>0.04434899453248</v>
      </c>
      <c r="G401" s="65">
        <v>0.072488623125091</v>
      </c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>
      <c r="A402" s="26" t="s">
        <v>1823</v>
      </c>
      <c r="B402" s="65">
        <v>0.499797384486858</v>
      </c>
      <c r="C402" s="65">
        <v>0.453359118951224</v>
      </c>
      <c r="D402" s="65">
        <v>0.547722591735749</v>
      </c>
      <c r="E402" s="65">
        <v>0.275172661886022</v>
      </c>
      <c r="F402" s="65">
        <v>0.235880420748841</v>
      </c>
      <c r="G402" s="65">
        <v>0.315052148144253</v>
      </c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>
      <c r="A403" s="26" t="s">
        <v>1824</v>
      </c>
      <c r="B403" s="65">
        <v>0.537314420667052</v>
      </c>
      <c r="C403" s="65">
        <v>0.493335743204164</v>
      </c>
      <c r="D403" s="65">
        <v>0.582249373433584</v>
      </c>
      <c r="E403" s="65">
        <v>0.339220513988935</v>
      </c>
      <c r="F403" s="65">
        <v>0.297373394149709</v>
      </c>
      <c r="G403" s="65">
        <v>0.378392645366329</v>
      </c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>
      <c r="A404" s="26" t="s">
        <v>1825</v>
      </c>
      <c r="B404" s="65">
        <v>0.506004639804639</v>
      </c>
      <c r="C404" s="65">
        <v>0.458351166377482</v>
      </c>
      <c r="D404" s="65">
        <v>0.552420875907718</v>
      </c>
      <c r="E404" s="65">
        <v>0.278838425519599</v>
      </c>
      <c r="F404" s="65">
        <v>0.238373841071209</v>
      </c>
      <c r="G404" s="65">
        <v>0.317849672257567</v>
      </c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>
      <c r="A405" s="26" t="s">
        <v>1826</v>
      </c>
      <c r="B405" s="65">
        <v>0.514557040035987</v>
      </c>
      <c r="C405" s="65">
        <v>0.470500128526444</v>
      </c>
      <c r="D405" s="65">
        <v>0.559800623353254</v>
      </c>
      <c r="E405" s="65">
        <v>0.304100392073064</v>
      </c>
      <c r="F405" s="65">
        <v>0.263262862868126</v>
      </c>
      <c r="G405" s="65">
        <v>0.346323552178815</v>
      </c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>
      <c r="A406" s="26" t="s">
        <v>1827</v>
      </c>
      <c r="B406" s="65">
        <v>0.507974487500803</v>
      </c>
      <c r="C406" s="65">
        <v>0.462913533834586</v>
      </c>
      <c r="D406" s="65">
        <v>0.553104797249534</v>
      </c>
      <c r="E406" s="65">
        <v>0.302492234036768</v>
      </c>
      <c r="F406" s="65">
        <v>0.264138953152111</v>
      </c>
      <c r="G406" s="65">
        <v>0.343299451335888</v>
      </c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>
      <c r="A407" s="26" t="s">
        <v>1828</v>
      </c>
      <c r="B407" s="65">
        <v>0.388032565591792</v>
      </c>
      <c r="C407" s="65">
        <v>0.343740747338004</v>
      </c>
      <c r="D407" s="65">
        <v>0.429044501840636</v>
      </c>
      <c r="E407" s="65">
        <v>0.146808375152954</v>
      </c>
      <c r="F407" s="65">
        <v>0.118686175974205</v>
      </c>
      <c r="G407" s="65">
        <v>0.176042963584587</v>
      </c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>
      <c r="A408" s="26" t="s">
        <v>1829</v>
      </c>
      <c r="B408" s="65">
        <v>0.383457491192653</v>
      </c>
      <c r="C408" s="65">
        <v>0.343350205834619</v>
      </c>
      <c r="D408" s="65">
        <v>0.427976883188853</v>
      </c>
      <c r="E408" s="65">
        <v>0.14570889143414</v>
      </c>
      <c r="F408" s="65">
        <v>0.118720528224892</v>
      </c>
      <c r="G408" s="65">
        <v>0.17673038273724</v>
      </c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>
      <c r="A409" s="26" t="s">
        <v>1830</v>
      </c>
      <c r="B409" s="65">
        <v>0.34805281241341</v>
      </c>
      <c r="C409" s="65">
        <v>0.30830879151328</v>
      </c>
      <c r="D409" s="65">
        <v>0.390662480703004</v>
      </c>
      <c r="E409" s="65">
        <v>0.128809122460347</v>
      </c>
      <c r="F409" s="65">
        <v>0.102668187068583</v>
      </c>
      <c r="G409" s="65">
        <v>0.15626568049573</v>
      </c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>
      <c r="A410" s="26" t="s">
        <v>1831</v>
      </c>
      <c r="B410" s="65">
        <v>0.365937457942445</v>
      </c>
      <c r="C410" s="65">
        <v>0.326710307564422</v>
      </c>
      <c r="D410" s="65">
        <v>0.407561206111704</v>
      </c>
      <c r="E410" s="65">
        <v>0.156318926404711</v>
      </c>
      <c r="F410" s="65">
        <v>0.129744640922945</v>
      </c>
      <c r="G410" s="65">
        <v>0.185371137936599</v>
      </c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>
      <c r="A411" s="26" t="s">
        <v>1832</v>
      </c>
      <c r="B411" s="65">
        <v>0.380627660466438</v>
      </c>
      <c r="C411" s="65">
        <v>0.337796283101769</v>
      </c>
      <c r="D411" s="65">
        <v>0.422471486327471</v>
      </c>
      <c r="E411" s="65">
        <v>0.163849937702673</v>
      </c>
      <c r="F411" s="65">
        <v>0.13627324159468</v>
      </c>
      <c r="G411" s="65">
        <v>0.192793622160279</v>
      </c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>
      <c r="A412" s="26" t="s">
        <v>1833</v>
      </c>
      <c r="B412" s="65">
        <v>0.518208175515416</v>
      </c>
      <c r="C412" s="65">
        <v>0.48402826707137</v>
      </c>
      <c r="D412" s="65">
        <v>0.553582802574181</v>
      </c>
      <c r="E412" s="65">
        <v>0.269355194218297</v>
      </c>
      <c r="F412" s="65">
        <v>0.239662358395117</v>
      </c>
      <c r="G412" s="65">
        <v>0.302864407623028</v>
      </c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>
      <c r="A413" s="26" t="s">
        <v>1834</v>
      </c>
      <c r="B413" s="65">
        <v>0.434801485628037</v>
      </c>
      <c r="C413" s="65">
        <v>0.398870615017166</v>
      </c>
      <c r="D413" s="65">
        <v>0.468566622713174</v>
      </c>
      <c r="E413" s="65">
        <v>0.200166704661877</v>
      </c>
      <c r="F413" s="65">
        <v>0.173085564180391</v>
      </c>
      <c r="G413" s="65">
        <v>0.228229699419354</v>
      </c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>
      <c r="A414" s="26" t="s">
        <v>1835</v>
      </c>
      <c r="B414" s="65">
        <v>0.542942192733362</v>
      </c>
      <c r="C414" s="65">
        <v>0.50898113259065</v>
      </c>
      <c r="D414" s="65">
        <v>0.575625273044997</v>
      </c>
      <c r="E414" s="65">
        <v>0.325503252214146</v>
      </c>
      <c r="F414" s="65">
        <v>0.2957567400744</v>
      </c>
      <c r="G414" s="65">
        <v>0.356413111289831</v>
      </c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>
      <c r="A415" s="26" t="s">
        <v>1836</v>
      </c>
      <c r="B415" s="65">
        <v>0.433191063176925</v>
      </c>
      <c r="C415" s="65">
        <v>0.396533616128443</v>
      </c>
      <c r="D415" s="65">
        <v>0.467699553001277</v>
      </c>
      <c r="E415" s="65">
        <v>0.187029743104915</v>
      </c>
      <c r="F415" s="65">
        <v>0.160600159419124</v>
      </c>
      <c r="G415" s="65">
        <v>0.214312252243286</v>
      </c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>
      <c r="A416" s="26" t="s">
        <v>1837</v>
      </c>
      <c r="B416" s="65">
        <v>0.570251598223387</v>
      </c>
      <c r="C416" s="65">
        <v>0.537559523809523</v>
      </c>
      <c r="D416" s="65">
        <v>0.604833897626328</v>
      </c>
      <c r="E416" s="65">
        <v>0.362188696929981</v>
      </c>
      <c r="F416" s="65">
        <v>0.332490315176668</v>
      </c>
      <c r="G416" s="65">
        <v>0.394472307445357</v>
      </c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>
      <c r="A417" s="26" t="s">
        <v>1838</v>
      </c>
      <c r="B417" s="65">
        <v>0.468865563848667</v>
      </c>
      <c r="C417" s="65">
        <v>0.431673529216632</v>
      </c>
      <c r="D417" s="65">
        <v>0.504134875022806</v>
      </c>
      <c r="E417" s="65">
        <v>0.212789585433723</v>
      </c>
      <c r="F417" s="65">
        <v>0.18574131296545</v>
      </c>
      <c r="G417" s="65">
        <v>0.239093528757321</v>
      </c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>
      <c r="A418" s="26" t="s">
        <v>1839</v>
      </c>
      <c r="B418" s="65">
        <v>0.492623160007297</v>
      </c>
      <c r="C418" s="65">
        <v>0.459136425834701</v>
      </c>
      <c r="D418" s="65">
        <v>0.527568007662835</v>
      </c>
      <c r="E418" s="65">
        <v>0.235427040915661</v>
      </c>
      <c r="F418" s="65">
        <v>0.207904067516136</v>
      </c>
      <c r="G418" s="65">
        <v>0.264620208973657</v>
      </c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>
      <c r="A419" s="26" t="s">
        <v>1840</v>
      </c>
      <c r="B419" s="65">
        <v>0.524379618101063</v>
      </c>
      <c r="C419" s="65">
        <v>0.489813464758992</v>
      </c>
      <c r="D419" s="65">
        <v>0.557457131935343</v>
      </c>
      <c r="E419" s="65">
        <v>0.312796194580139</v>
      </c>
      <c r="F419" s="65">
        <v>0.284569635575942</v>
      </c>
      <c r="G419" s="65">
        <v>0.343689201980486</v>
      </c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>
      <c r="A420" s="26" t="s">
        <v>1841</v>
      </c>
      <c r="B420" s="65">
        <v>0.574499295543905</v>
      </c>
      <c r="C420" s="65">
        <v>0.541137778505897</v>
      </c>
      <c r="D420" s="65">
        <v>0.60795243556138</v>
      </c>
      <c r="E420" s="65">
        <v>0.340803095719265</v>
      </c>
      <c r="F420" s="65">
        <v>0.310909852125448</v>
      </c>
      <c r="G420" s="65">
        <v>0.371919369812145</v>
      </c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>
      <c r="A421" s="26" t="s">
        <v>1842</v>
      </c>
      <c r="B421" s="65">
        <v>0.419961394464121</v>
      </c>
      <c r="C421" s="65">
        <v>0.383652712186803</v>
      </c>
      <c r="D421" s="65">
        <v>0.457348546340023</v>
      </c>
      <c r="E421" s="65">
        <v>0.191656725339054</v>
      </c>
      <c r="F421" s="65">
        <v>0.166409379603981</v>
      </c>
      <c r="G421" s="65">
        <v>0.218724054670077</v>
      </c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>
      <c r="A422" s="26" t="s">
        <v>1843</v>
      </c>
      <c r="B422" s="65">
        <v>0.409718199855699</v>
      </c>
      <c r="C422" s="65">
        <v>0.373119137806637</v>
      </c>
      <c r="D422" s="65">
        <v>0.448608585858585</v>
      </c>
      <c r="E422" s="65">
        <v>0.178567523032523</v>
      </c>
      <c r="F422" s="65">
        <v>0.153805571637958</v>
      </c>
      <c r="G422" s="65">
        <v>0.206188992825356</v>
      </c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>
      <c r="A423" s="26" t="s">
        <v>1844</v>
      </c>
      <c r="B423" s="65">
        <v>0.36795324396563</v>
      </c>
      <c r="C423" s="65">
        <v>0.332313807720057</v>
      </c>
      <c r="D423" s="65">
        <v>0.405429165846779</v>
      </c>
      <c r="E423" s="65">
        <v>0.17077319123427</v>
      </c>
      <c r="F423" s="65">
        <v>0.1460136549057</v>
      </c>
      <c r="G423" s="65">
        <v>0.197846954182181</v>
      </c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>
      <c r="A424" s="26" t="s">
        <v>1845</v>
      </c>
      <c r="B424" s="65">
        <v>0.439836293617998</v>
      </c>
      <c r="C424" s="65">
        <v>0.402779688114915</v>
      </c>
      <c r="D424" s="65">
        <v>0.480383498130657</v>
      </c>
      <c r="E424" s="65">
        <v>0.201461964992078</v>
      </c>
      <c r="F424" s="65">
        <v>0.176203592178023</v>
      </c>
      <c r="G424" s="65">
        <v>0.229160241273877</v>
      </c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>
      <c r="A425" s="26" t="s">
        <v>1846</v>
      </c>
      <c r="B425" s="65">
        <v>0.408533253476321</v>
      </c>
      <c r="C425" s="65">
        <v>0.371177534271284</v>
      </c>
      <c r="D425" s="65">
        <v>0.447455808080808</v>
      </c>
      <c r="E425" s="65">
        <v>0.163938207972582</v>
      </c>
      <c r="F425" s="65">
        <v>0.139343929429156</v>
      </c>
      <c r="G425" s="65">
        <v>0.190015534654739</v>
      </c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>
      <c r="A426" s="26" t="s">
        <v>1847</v>
      </c>
      <c r="B426" s="65">
        <v>0.538777572135467</v>
      </c>
      <c r="C426" s="65">
        <v>0.494609359938307</v>
      </c>
      <c r="D426" s="65">
        <v>0.581529705674442</v>
      </c>
      <c r="E426" s="65">
        <v>0.339727953333216</v>
      </c>
      <c r="F426" s="65">
        <v>0.301946321222637</v>
      </c>
      <c r="G426" s="65">
        <v>0.377649879360405</v>
      </c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>
      <c r="A427" s="26" t="s">
        <v>1848</v>
      </c>
      <c r="B427" s="65">
        <v>0.379436327291439</v>
      </c>
      <c r="C427" s="65">
        <v>0.336513775086094</v>
      </c>
      <c r="D427" s="65">
        <v>0.422956313221275</v>
      </c>
      <c r="E427" s="65">
        <v>0.162872160612031</v>
      </c>
      <c r="F427" s="65">
        <v>0.13573138312228</v>
      </c>
      <c r="G427" s="65">
        <v>0.193398380505612</v>
      </c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>
      <c r="A428" s="26" t="s">
        <v>1849</v>
      </c>
      <c r="B428" s="65">
        <v>0.515748946083156</v>
      </c>
      <c r="C428" s="65">
        <v>0.468235171261487</v>
      </c>
      <c r="D428" s="65">
        <v>0.561216101150311</v>
      </c>
      <c r="E428" s="65">
        <v>0.304809111760933</v>
      </c>
      <c r="F428" s="65">
        <v>0.262809931296773</v>
      </c>
      <c r="G428" s="65">
        <v>0.349821053328138</v>
      </c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>
      <c r="A429" s="26" t="s">
        <v>1850</v>
      </c>
      <c r="B429" s="65">
        <v>0.517171271997478</v>
      </c>
      <c r="C429" s="65">
        <v>0.483953521255245</v>
      </c>
      <c r="D429" s="65">
        <v>0.551606537459985</v>
      </c>
      <c r="E429" s="65">
        <v>0.268912154563189</v>
      </c>
      <c r="F429" s="65">
        <v>0.238394192333847</v>
      </c>
      <c r="G429" s="65">
        <v>0.301057367600471</v>
      </c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>
      <c r="A430" s="26" t="s">
        <v>1851</v>
      </c>
      <c r="B430" s="65">
        <v>0.533496805373525</v>
      </c>
      <c r="C430" s="65">
        <v>0.498257017256443</v>
      </c>
      <c r="D430" s="65">
        <v>0.566021051769331</v>
      </c>
      <c r="E430" s="65">
        <v>0.282068387652103</v>
      </c>
      <c r="F430" s="65">
        <v>0.253190559758793</v>
      </c>
      <c r="G430" s="65">
        <v>0.310457168341342</v>
      </c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>
      <c r="A431" s="26" t="s">
        <v>1852</v>
      </c>
      <c r="B431" s="65">
        <v>0.499190977443609</v>
      </c>
      <c r="C431" s="65">
        <v>0.453541626502152</v>
      </c>
      <c r="D431" s="65">
        <v>0.540875184756763</v>
      </c>
      <c r="E431" s="65">
        <v>0.293747720745291</v>
      </c>
      <c r="F431" s="65">
        <v>0.255875817277639</v>
      </c>
      <c r="G431" s="65">
        <v>0.333253663228359</v>
      </c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>
      <c r="A432" s="26" t="s">
        <v>1853</v>
      </c>
      <c r="B432" s="65">
        <v>0.523713880855986</v>
      </c>
      <c r="C432" s="65">
        <v>0.480537160208212</v>
      </c>
      <c r="D432" s="65">
        <v>0.564578272604588</v>
      </c>
      <c r="E432" s="65">
        <v>0.298182340601368</v>
      </c>
      <c r="F432" s="65">
        <v>0.262291701775507</v>
      </c>
      <c r="G432" s="65">
        <v>0.337974277184803</v>
      </c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>
      <c r="A433" s="26" t="s">
        <v>1854</v>
      </c>
      <c r="B433" s="65">
        <v>0.419927945362718</v>
      </c>
      <c r="C433" s="65">
        <v>0.382689607110061</v>
      </c>
      <c r="D433" s="65">
        <v>0.456956459891119</v>
      </c>
      <c r="E433" s="65">
        <v>0.191392275149093</v>
      </c>
      <c r="F433" s="65">
        <v>0.166145298356946</v>
      </c>
      <c r="G433" s="65">
        <v>0.219436660246319</v>
      </c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>
      <c r="A434" s="26" t="s">
        <v>1855</v>
      </c>
      <c r="B434" s="65">
        <v>0.493213067926225</v>
      </c>
      <c r="C434" s="65">
        <v>0.450141539746802</v>
      </c>
      <c r="D434" s="65">
        <v>0.538266017608122</v>
      </c>
      <c r="E434" s="65">
        <v>0.274709964596806</v>
      </c>
      <c r="F434" s="65">
        <v>0.236348921546289</v>
      </c>
      <c r="G434" s="65">
        <v>0.316476710424078</v>
      </c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>
      <c r="A435" s="26" t="s">
        <v>1856</v>
      </c>
      <c r="B435" s="65">
        <v>0.387676832449899</v>
      </c>
      <c r="C435" s="65">
        <v>0.345527797569568</v>
      </c>
      <c r="D435" s="65">
        <v>0.429508916201559</v>
      </c>
      <c r="E435" s="65">
        <v>0.147127435491341</v>
      </c>
      <c r="F435" s="65">
        <v>0.119975320813849</v>
      </c>
      <c r="G435" s="65">
        <v>0.175733066116482</v>
      </c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>
      <c r="A436" s="26" t="s">
        <v>1857</v>
      </c>
      <c r="B436" s="65">
        <v>0.56939368537935</v>
      </c>
      <c r="C436" s="65">
        <v>0.535878294742973</v>
      </c>
      <c r="D436" s="65">
        <v>0.605074404761904</v>
      </c>
      <c r="E436" s="65">
        <v>0.361507612494539</v>
      </c>
      <c r="F436" s="65">
        <v>0.330912888716787</v>
      </c>
      <c r="G436" s="65">
        <v>0.391745220885129</v>
      </c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>
      <c r="A437" s="26" t="s">
        <v>1858</v>
      </c>
      <c r="B437" s="65">
        <v>0.491732574347746</v>
      </c>
      <c r="C437" s="65">
        <v>0.458908000364896</v>
      </c>
      <c r="D437" s="65">
        <v>0.527080231709542</v>
      </c>
      <c r="E437" s="65">
        <v>0.234987590123797</v>
      </c>
      <c r="F437" s="65">
        <v>0.205902594531904</v>
      </c>
      <c r="G437" s="65">
        <v>0.263969996797583</v>
      </c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>
      <c r="A438" s="26" t="s">
        <v>1859</v>
      </c>
      <c r="B438" s="65">
        <v>0.364679052369077</v>
      </c>
      <c r="C438" s="65">
        <v>0.324989780239156</v>
      </c>
      <c r="D438" s="65">
        <v>0.404947749673435</v>
      </c>
      <c r="E438" s="65">
        <v>0.144004766693544</v>
      </c>
      <c r="F438" s="65">
        <v>0.118089032919145</v>
      </c>
      <c r="G438" s="65">
        <v>0.171218589529063</v>
      </c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>
      <c r="A439" s="26" t="s">
        <v>1860</v>
      </c>
      <c r="B439" s="65">
        <v>0.439604531188508</v>
      </c>
      <c r="C439" s="65">
        <v>0.403959120425029</v>
      </c>
      <c r="D439" s="65">
        <v>0.477652011183261</v>
      </c>
      <c r="E439" s="65">
        <v>0.201131116169184</v>
      </c>
      <c r="F439" s="65">
        <v>0.174091549233594</v>
      </c>
      <c r="G439" s="65">
        <v>0.230515115881593</v>
      </c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>
      <c r="A440" s="26" t="s">
        <v>1861</v>
      </c>
      <c r="B440" s="65">
        <v>0.367854480861338</v>
      </c>
      <c r="C440" s="65">
        <v>0.328096771958991</v>
      </c>
      <c r="D440" s="65">
        <v>0.40770207417963</v>
      </c>
      <c r="E440" s="65">
        <v>0.162200610528291</v>
      </c>
      <c r="F440" s="65">
        <v>0.134217367039997</v>
      </c>
      <c r="G440" s="65">
        <v>0.19132427890065</v>
      </c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>
      <c r="A441" s="26" t="s">
        <v>1862</v>
      </c>
      <c r="B441" s="65">
        <v>0.353023271187111</v>
      </c>
      <c r="C441" s="65">
        <v>0.311831433321458</v>
      </c>
      <c r="D441" s="65">
        <v>0.392627310691525</v>
      </c>
      <c r="E441" s="65">
        <v>0.138109276010772</v>
      </c>
      <c r="F441" s="65">
        <v>0.109446087301448</v>
      </c>
      <c r="G441" s="65">
        <v>0.165629824248901</v>
      </c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>
      <c r="A442" s="26" t="s">
        <v>1863</v>
      </c>
      <c r="B442" s="65">
        <v>0.574602577544779</v>
      </c>
      <c r="C442" s="65">
        <v>0.540555100480559</v>
      </c>
      <c r="D442" s="65">
        <v>0.609272335080821</v>
      </c>
      <c r="E442" s="65">
        <v>0.340624464271712</v>
      </c>
      <c r="F442" s="65">
        <v>0.310496701310921</v>
      </c>
      <c r="G442" s="65">
        <v>0.369530672882163</v>
      </c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>
      <c r="A443" s="26" t="s">
        <v>1864</v>
      </c>
      <c r="B443" s="65">
        <v>0.439966793053689</v>
      </c>
      <c r="C443" s="65">
        <v>0.405371357250667</v>
      </c>
      <c r="D443" s="65">
        <v>0.475570255096117</v>
      </c>
      <c r="E443" s="65">
        <v>0.204108127070885</v>
      </c>
      <c r="F443" s="65">
        <v>0.178153648713993</v>
      </c>
      <c r="G443" s="65">
        <v>0.231415707855363</v>
      </c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>
      <c r="A444" s="26" t="s">
        <v>1865</v>
      </c>
      <c r="B444" s="65">
        <v>0.446200840258081</v>
      </c>
      <c r="C444" s="65">
        <v>0.41214382743693</v>
      </c>
      <c r="D444" s="65">
        <v>0.481502678675092</v>
      </c>
      <c r="E444" s="65">
        <v>0.214522003513727</v>
      </c>
      <c r="F444" s="65">
        <v>0.18955295981158</v>
      </c>
      <c r="G444" s="65">
        <v>0.242703430031016</v>
      </c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>
      <c r="A445" s="26" t="s">
        <v>1866</v>
      </c>
      <c r="B445" s="65">
        <v>0.507115645478374</v>
      </c>
      <c r="C445" s="65">
        <v>0.475493255788553</v>
      </c>
      <c r="D445" s="65">
        <v>0.541071929153924</v>
      </c>
      <c r="E445" s="65">
        <v>0.306044781199941</v>
      </c>
      <c r="F445" s="65">
        <v>0.277790019295179</v>
      </c>
      <c r="G445" s="65">
        <v>0.337450715377894</v>
      </c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>
      <c r="A446" s="26" t="s">
        <v>1867</v>
      </c>
      <c r="B446" s="65">
        <v>0.443817057272229</v>
      </c>
      <c r="C446" s="65">
        <v>0.406237402763264</v>
      </c>
      <c r="D446" s="65">
        <v>0.480186072548141</v>
      </c>
      <c r="E446" s="65">
        <v>0.182619995113443</v>
      </c>
      <c r="F446" s="65">
        <v>0.15756674710985</v>
      </c>
      <c r="G446" s="65">
        <v>0.2076246862971</v>
      </c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>
      <c r="A447" s="26" t="s">
        <v>1868</v>
      </c>
      <c r="B447" s="65">
        <v>0.384732059884559</v>
      </c>
      <c r="C447" s="65">
        <v>0.34624558080808</v>
      </c>
      <c r="D447" s="65">
        <v>0.4213943001443</v>
      </c>
      <c r="E447" s="65">
        <v>0.166388969225219</v>
      </c>
      <c r="F447" s="65">
        <v>0.141877303882985</v>
      </c>
      <c r="G447" s="65">
        <v>0.191517973188427</v>
      </c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>
      <c r="A448" s="26" t="s">
        <v>1869</v>
      </c>
      <c r="B448" s="65">
        <v>0.531018104703655</v>
      </c>
      <c r="C448" s="65">
        <v>0.498285732488714</v>
      </c>
      <c r="D448" s="65">
        <v>0.566422518931119</v>
      </c>
      <c r="E448" s="65">
        <v>0.296270671326634</v>
      </c>
      <c r="F448" s="65">
        <v>0.26720664624621</v>
      </c>
      <c r="G448" s="65">
        <v>0.327217013682036</v>
      </c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>
      <c r="A449" s="26" t="s">
        <v>1870</v>
      </c>
      <c r="B449" s="65">
        <v>0.405550436343959</v>
      </c>
      <c r="C449" s="65">
        <v>0.368219614980978</v>
      </c>
      <c r="D449" s="65">
        <v>0.443198465991079</v>
      </c>
      <c r="E449" s="65">
        <v>0.173358831534626</v>
      </c>
      <c r="F449" s="65">
        <v>0.148710645099849</v>
      </c>
      <c r="G449" s="65">
        <v>0.198450981468026</v>
      </c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>
      <c r="A450" s="26" t="s">
        <v>1871</v>
      </c>
      <c r="B450" s="65">
        <v>0.397314509379509</v>
      </c>
      <c r="C450" s="65">
        <v>0.359890467171717</v>
      </c>
      <c r="D450" s="65">
        <v>0.432641865079365</v>
      </c>
      <c r="E450" s="65">
        <v>0.153044983312142</v>
      </c>
      <c r="F450" s="65">
        <v>0.127552188341961</v>
      </c>
      <c r="G450" s="65">
        <v>0.177953367339731</v>
      </c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>
      <c r="A451" s="26" t="s">
        <v>1872</v>
      </c>
      <c r="B451" s="65">
        <v>0.170907875457875</v>
      </c>
      <c r="C451" s="65">
        <v>0.136458694813957</v>
      </c>
      <c r="D451" s="65">
        <v>0.207821958743011</v>
      </c>
      <c r="E451" s="65">
        <v>0.087608733371891</v>
      </c>
      <c r="F451" s="65">
        <v>0.063639627915943</v>
      </c>
      <c r="G451" s="65">
        <v>0.113388037401195</v>
      </c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>
      <c r="A452" s="26" t="s">
        <v>1873</v>
      </c>
      <c r="B452" s="65">
        <v>0.367381803367734</v>
      </c>
      <c r="C452" s="65">
        <v>0.325220441788882</v>
      </c>
      <c r="D452" s="65">
        <v>0.409780010863661</v>
      </c>
      <c r="E452" s="65">
        <v>0.151647124147504</v>
      </c>
      <c r="F452" s="65">
        <v>0.125298599794797</v>
      </c>
      <c r="G452" s="65">
        <v>0.179873257287705</v>
      </c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>
      <c r="A453" s="26" t="s">
        <v>1874</v>
      </c>
      <c r="B453" s="65">
        <v>0.366733852516326</v>
      </c>
      <c r="C453" s="65">
        <v>0.323801453414855</v>
      </c>
      <c r="D453" s="65">
        <v>0.40885805774981</v>
      </c>
      <c r="E453" s="65">
        <v>0.146538367970326</v>
      </c>
      <c r="F453" s="65">
        <v>0.122736458844706</v>
      </c>
      <c r="G453" s="65">
        <v>0.172621774941362</v>
      </c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>
      <c r="A454" s="26" t="s">
        <v>1875</v>
      </c>
      <c r="B454" s="65">
        <v>0.256589174860227</v>
      </c>
      <c r="C454" s="65">
        <v>0.218118613842298</v>
      </c>
      <c r="D454" s="65">
        <v>0.293495276653171</v>
      </c>
      <c r="E454" s="65">
        <v>0.126346454130664</v>
      </c>
      <c r="F454" s="65">
        <v>0.098716101150311</v>
      </c>
      <c r="G454" s="65">
        <v>0.155693568127778</v>
      </c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>
      <c r="A455" s="26" t="s">
        <v>1876</v>
      </c>
      <c r="B455" s="65">
        <v>0.554268954783748</v>
      </c>
      <c r="C455" s="65">
        <v>0.520115498034076</v>
      </c>
      <c r="D455" s="65">
        <v>0.588620030581039</v>
      </c>
      <c r="E455" s="65">
        <v>0.291563173014549</v>
      </c>
      <c r="F455" s="65">
        <v>0.263272862140408</v>
      </c>
      <c r="G455" s="65">
        <v>0.319257512047076</v>
      </c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>
      <c r="A456" s="26" t="s">
        <v>1877</v>
      </c>
      <c r="B456" s="65">
        <v>0.218864778529865</v>
      </c>
      <c r="C456" s="65">
        <v>0.188138878992993</v>
      </c>
      <c r="D456" s="65">
        <v>0.250596029766852</v>
      </c>
      <c r="E456" s="65">
        <v>0.064911993824961</v>
      </c>
      <c r="F456" s="65">
        <v>0.049707972133159</v>
      </c>
      <c r="G456" s="65">
        <v>0.081018238134821</v>
      </c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>
      <c r="A457" s="26" t="s">
        <v>1878</v>
      </c>
      <c r="B457" s="65">
        <v>0.304945259740259</v>
      </c>
      <c r="C457" s="65">
        <v>0.270778814935064</v>
      </c>
      <c r="D457" s="65">
        <v>0.341630817099567</v>
      </c>
      <c r="E457" s="65">
        <v>0.058382819125319</v>
      </c>
      <c r="F457" s="65">
        <v>0.044156284687534</v>
      </c>
      <c r="G457" s="65">
        <v>0.074010777417027</v>
      </c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>
      <c r="A458" s="26" t="s">
        <v>1879</v>
      </c>
      <c r="B458" s="65">
        <v>0.239861981877771</v>
      </c>
      <c r="C458" s="65">
        <v>0.200595895332737</v>
      </c>
      <c r="D458" s="65">
        <v>0.279176627466101</v>
      </c>
      <c r="E458" s="65">
        <v>0.08960207015207</v>
      </c>
      <c r="F458" s="65">
        <v>0.066686347278452</v>
      </c>
      <c r="G458" s="65">
        <v>0.116837219797746</v>
      </c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>
      <c r="A459" s="26" t="s">
        <v>1880</v>
      </c>
      <c r="B459" s="65">
        <v>0.230235430318916</v>
      </c>
      <c r="C459" s="65">
        <v>0.198306438401048</v>
      </c>
      <c r="D459" s="65">
        <v>0.263687063128003</v>
      </c>
      <c r="E459" s="65">
        <v>0.100045460171836</v>
      </c>
      <c r="F459" s="65">
        <v>0.083061471530508</v>
      </c>
      <c r="G459" s="65">
        <v>0.119541420926168</v>
      </c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>
      <c r="A460" s="26" t="s">
        <v>1881</v>
      </c>
      <c r="B460" s="65">
        <v>0.225635200179937</v>
      </c>
      <c r="C460" s="65">
        <v>0.190216165413533</v>
      </c>
      <c r="D460" s="65">
        <v>0.262844531199794</v>
      </c>
      <c r="E460" s="65">
        <v>0.095786284475758</v>
      </c>
      <c r="F460" s="65">
        <v>0.070245741101004</v>
      </c>
      <c r="G460" s="65">
        <v>0.121204146730462</v>
      </c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>
      <c r="A461" s="26" t="s">
        <v>1882</v>
      </c>
      <c r="B461" s="65">
        <v>0.30142538059163</v>
      </c>
      <c r="C461" s="65">
        <v>0.265641459235209</v>
      </c>
      <c r="D461" s="65">
        <v>0.338297438672438</v>
      </c>
      <c r="E461" s="65">
        <v>0.075890477994227</v>
      </c>
      <c r="F461" s="65">
        <v>0.058196133412042</v>
      </c>
      <c r="G461" s="65">
        <v>0.093601797192706</v>
      </c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>
      <c r="A462" s="26" t="s">
        <v>1883</v>
      </c>
      <c r="B462" s="65">
        <v>0.39914478021978</v>
      </c>
      <c r="C462" s="65">
        <v>0.354953983516483</v>
      </c>
      <c r="D462" s="65">
        <v>0.442000686813186</v>
      </c>
      <c r="E462" s="65">
        <v>0.134294795482295</v>
      </c>
      <c r="F462" s="65">
        <v>0.105325931013431</v>
      </c>
      <c r="G462" s="65">
        <v>0.161479222166722</v>
      </c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>
      <c r="A463" s="26" t="s">
        <v>1884</v>
      </c>
      <c r="B463" s="65">
        <v>0.196936048454469</v>
      </c>
      <c r="C463" s="65">
        <v>0.162974664224664</v>
      </c>
      <c r="D463" s="65">
        <v>0.231993445151339</v>
      </c>
      <c r="E463" s="65">
        <v>0.063800009931588</v>
      </c>
      <c r="F463" s="65">
        <v>0.043332449714028</v>
      </c>
      <c r="G463" s="65">
        <v>0.085312202417465</v>
      </c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>
      <c r="A464" s="26" t="s">
        <v>1885</v>
      </c>
      <c r="B464" s="65">
        <v>0.207793844753196</v>
      </c>
      <c r="C464" s="65">
        <v>0.176293690377231</v>
      </c>
      <c r="D464" s="65">
        <v>0.241468155009302</v>
      </c>
      <c r="E464" s="65">
        <v>0.060480564461861</v>
      </c>
      <c r="F464" s="65">
        <v>0.045048105295923</v>
      </c>
      <c r="G464" s="65">
        <v>0.077137225478871</v>
      </c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>
      <c r="A465" s="26" t="s">
        <v>1886</v>
      </c>
      <c r="B465" s="65">
        <v>0.252201691838225</v>
      </c>
      <c r="C465" s="65">
        <v>0.22235942880893</v>
      </c>
      <c r="D465" s="65">
        <v>0.285501847833518</v>
      </c>
      <c r="E465" s="65">
        <v>0.062830491603892</v>
      </c>
      <c r="F465" s="65">
        <v>0.047470667402455</v>
      </c>
      <c r="G465" s="65">
        <v>0.078862347648195</v>
      </c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>
      <c r="A466" s="26" t="s">
        <v>1887</v>
      </c>
      <c r="B466" s="65">
        <v>0.113315438788542</v>
      </c>
      <c r="C466" s="65">
        <v>0.086716475095785</v>
      </c>
      <c r="D466" s="65">
        <v>0.141133187374566</v>
      </c>
      <c r="E466" s="65">
        <v>0.016597437760196</v>
      </c>
      <c r="F466" s="65">
        <v>0.008952405831716</v>
      </c>
      <c r="G466" s="65">
        <v>0.025450966976829</v>
      </c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>
      <c r="A467" s="26" t="s">
        <v>1888</v>
      </c>
      <c r="B467" s="65">
        <v>0.287429467016164</v>
      </c>
      <c r="C467" s="65">
        <v>0.253145341852337</v>
      </c>
      <c r="D467" s="65">
        <v>0.323374153560506</v>
      </c>
      <c r="E467" s="65">
        <v>0.106261822848405</v>
      </c>
      <c r="F467" s="65">
        <v>0.086925376802096</v>
      </c>
      <c r="G467" s="65">
        <v>0.125626365224989</v>
      </c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>
      <c r="A468" s="26" t="s">
        <v>1889</v>
      </c>
      <c r="B468" s="65">
        <v>0.256361260809016</v>
      </c>
      <c r="C468" s="65">
        <v>0.222311285278866</v>
      </c>
      <c r="D468" s="65">
        <v>0.292124284346852</v>
      </c>
      <c r="E468" s="65">
        <v>0.066923788096815</v>
      </c>
      <c r="F468" s="65">
        <v>0.051176464227751</v>
      </c>
      <c r="G468" s="65">
        <v>0.082716929796931</v>
      </c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>
      <c r="A469" s="26" t="s">
        <v>1890</v>
      </c>
      <c r="B469" s="65">
        <v>0.342592624950806</v>
      </c>
      <c r="C469" s="65">
        <v>0.305548844778958</v>
      </c>
      <c r="D469" s="65">
        <v>0.380712916502689</v>
      </c>
      <c r="E469" s="65">
        <v>0.062835644380871</v>
      </c>
      <c r="F469" s="65">
        <v>0.047458494472699</v>
      </c>
      <c r="G469" s="65">
        <v>0.078964750211909</v>
      </c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>
      <c r="A470" s="26" t="s">
        <v>1891</v>
      </c>
      <c r="B470" s="65">
        <v>0.254935372967293</v>
      </c>
      <c r="C470" s="65">
        <v>0.221085305315355</v>
      </c>
      <c r="D470" s="65">
        <v>0.28732648447424</v>
      </c>
      <c r="E470" s="65">
        <v>0.052223601999438</v>
      </c>
      <c r="F470" s="65">
        <v>0.038810256740798</v>
      </c>
      <c r="G470" s="65">
        <v>0.066239661170899</v>
      </c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>
      <c r="A471" s="26" t="s">
        <v>1892</v>
      </c>
      <c r="B471" s="65">
        <v>0.328297999490315</v>
      </c>
      <c r="C471" s="65">
        <v>0.293918059196155</v>
      </c>
      <c r="D471" s="65">
        <v>0.362423774938109</v>
      </c>
      <c r="E471" s="65">
        <v>0.106281917967353</v>
      </c>
      <c r="F471" s="65">
        <v>0.088353335947946</v>
      </c>
      <c r="G471" s="65">
        <v>0.124713083488886</v>
      </c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>
      <c r="A472" s="26" t="s">
        <v>1893</v>
      </c>
      <c r="B472" s="65">
        <v>0.324207641619338</v>
      </c>
      <c r="C472" s="65">
        <v>0.291710080821319</v>
      </c>
      <c r="D472" s="65">
        <v>0.358940039318479</v>
      </c>
      <c r="E472" s="65">
        <v>0.100298303645895</v>
      </c>
      <c r="F472" s="65">
        <v>0.081516810470365</v>
      </c>
      <c r="G472" s="65">
        <v>0.118279042886267</v>
      </c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>
      <c r="A473" s="26" t="s">
        <v>1895</v>
      </c>
      <c r="B473" s="65">
        <v>0.151269815063608</v>
      </c>
      <c r="C473" s="65">
        <v>0.120786232605198</v>
      </c>
      <c r="D473" s="65">
        <v>0.181097854571992</v>
      </c>
      <c r="E473" s="65">
        <v>0.03088279278831</v>
      </c>
      <c r="F473" s="65">
        <v>0.019902244945348</v>
      </c>
      <c r="G473" s="65">
        <v>0.042372219734288</v>
      </c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>
      <c r="A474" s="26" t="s">
        <v>1896</v>
      </c>
      <c r="B474" s="65">
        <v>0.305336335924176</v>
      </c>
      <c r="C474" s="65">
        <v>0.266270443886921</v>
      </c>
      <c r="D474" s="65">
        <v>0.345651716023875</v>
      </c>
      <c r="E474" s="65">
        <v>0.071739428803519</v>
      </c>
      <c r="F474" s="65">
        <v>0.055748524203069</v>
      </c>
      <c r="G474" s="65">
        <v>0.090120027384231</v>
      </c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>
      <c r="A475" s="26" t="s">
        <v>1897</v>
      </c>
      <c r="B475" s="65">
        <v>0.322271552210415</v>
      </c>
      <c r="C475" s="65">
        <v>0.28518042027417</v>
      </c>
      <c r="D475" s="65">
        <v>0.357731359864882</v>
      </c>
      <c r="E475" s="65">
        <v>0.058229840361658</v>
      </c>
      <c r="F475" s="65">
        <v>0.043713851174078</v>
      </c>
      <c r="G475" s="65">
        <v>0.075047725632952</v>
      </c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>
      <c r="A476" s="26" t="s">
        <v>1898</v>
      </c>
      <c r="B476" s="65">
        <v>0.17067633506844</v>
      </c>
      <c r="C476" s="65">
        <v>0.135318102949681</v>
      </c>
      <c r="D476" s="65">
        <v>0.20628663003663</v>
      </c>
      <c r="E476" s="65">
        <v>0.087106689801426</v>
      </c>
      <c r="F476" s="65">
        <v>0.064712984384037</v>
      </c>
      <c r="G476" s="65">
        <v>0.113114517061885</v>
      </c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>
      <c r="A477" s="26" t="s">
        <v>1899</v>
      </c>
      <c r="B477" s="65">
        <v>0.365136827810972</v>
      </c>
      <c r="C477" s="65">
        <v>0.323752036936447</v>
      </c>
      <c r="D477" s="65">
        <v>0.408892811877602</v>
      </c>
      <c r="E477" s="65">
        <v>0.150162230671736</v>
      </c>
      <c r="F477" s="65">
        <v>0.123765314744402</v>
      </c>
      <c r="G477" s="65">
        <v>0.178040014484881</v>
      </c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>
      <c r="A478" s="26" t="s">
        <v>1900</v>
      </c>
      <c r="B478" s="65">
        <v>0.255187902448428</v>
      </c>
      <c r="C478" s="65">
        <v>0.218210911895122</v>
      </c>
      <c r="D478" s="65">
        <v>0.296074320416425</v>
      </c>
      <c r="E478" s="65">
        <v>0.125488533980639</v>
      </c>
      <c r="F478" s="65">
        <v>0.099148592635434</v>
      </c>
      <c r="G478" s="65">
        <v>0.154093932383406</v>
      </c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>
      <c r="A479" s="26" t="s">
        <v>1901</v>
      </c>
      <c r="B479" s="65">
        <v>0.318723230668414</v>
      </c>
      <c r="C479" s="65">
        <v>0.283535068079219</v>
      </c>
      <c r="D479" s="65">
        <v>0.356788308213193</v>
      </c>
      <c r="E479" s="65">
        <v>0.10594494502694</v>
      </c>
      <c r="F479" s="65">
        <v>0.08718995740498</v>
      </c>
      <c r="G479" s="65">
        <v>0.12505272250685</v>
      </c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>
      <c r="A480" s="26" t="s">
        <v>1902</v>
      </c>
      <c r="B480" s="65">
        <v>0.368695105696136</v>
      </c>
      <c r="C480" s="65">
        <v>0.327529380699483</v>
      </c>
      <c r="D480" s="65">
        <v>0.412390696359768</v>
      </c>
      <c r="E480" s="65">
        <v>0.14722895870834</v>
      </c>
      <c r="F480" s="65">
        <v>0.122750231822396</v>
      </c>
      <c r="G480" s="65">
        <v>0.174571946762668</v>
      </c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>
      <c r="A481" s="26" t="s">
        <v>1903</v>
      </c>
      <c r="B481" s="65">
        <v>0.305694837662337</v>
      </c>
      <c r="C481" s="65">
        <v>0.269172077922077</v>
      </c>
      <c r="D481" s="65">
        <v>0.341484172077922</v>
      </c>
      <c r="E481" s="65">
        <v>0.058210782967032</v>
      </c>
      <c r="F481" s="65">
        <v>0.043467442279942</v>
      </c>
      <c r="G481" s="65">
        <v>0.074029175685425</v>
      </c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>
      <c r="A482" s="26" t="s">
        <v>1904</v>
      </c>
      <c r="B482" s="65">
        <v>0.218282161659343</v>
      </c>
      <c r="C482" s="65">
        <v>0.184653742627558</v>
      </c>
      <c r="D482" s="65">
        <v>0.251908621303883</v>
      </c>
      <c r="E482" s="65">
        <v>0.065207633693543</v>
      </c>
      <c r="F482" s="65">
        <v>0.050085648972806</v>
      </c>
      <c r="G482" s="65">
        <v>0.082101393342041</v>
      </c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>
      <c r="A483" s="26" t="s">
        <v>1905</v>
      </c>
      <c r="B483" s="65">
        <v>0.207922400348335</v>
      </c>
      <c r="C483" s="65">
        <v>0.173716007600047</v>
      </c>
      <c r="D483" s="65">
        <v>0.242292928393302</v>
      </c>
      <c r="E483" s="65">
        <v>0.060627736215018</v>
      </c>
      <c r="F483" s="65">
        <v>0.045226962356014</v>
      </c>
      <c r="G483" s="65">
        <v>0.076341638238458</v>
      </c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>
      <c r="A484" s="26" t="s">
        <v>1906</v>
      </c>
      <c r="B484" s="65">
        <v>0.256158582353319</v>
      </c>
      <c r="C484" s="65">
        <v>0.221209594499068</v>
      </c>
      <c r="D484" s="65">
        <v>0.290079124092281</v>
      </c>
      <c r="E484" s="65">
        <v>0.104719207692891</v>
      </c>
      <c r="F484" s="65">
        <v>0.08009800141379</v>
      </c>
      <c r="G484" s="65">
        <v>0.131229041426409</v>
      </c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>
      <c r="A485" s="26" t="s">
        <v>1907</v>
      </c>
      <c r="B485" s="65">
        <v>0.229764203800786</v>
      </c>
      <c r="C485" s="65">
        <v>0.196856705985146</v>
      </c>
      <c r="D485" s="65">
        <v>0.260924393840104</v>
      </c>
      <c r="E485" s="65">
        <v>0.099612583733799</v>
      </c>
      <c r="F485" s="65">
        <v>0.082005606523955</v>
      </c>
      <c r="G485" s="65">
        <v>0.118185570482015</v>
      </c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>
      <c r="A486" s="26" t="s">
        <v>1908</v>
      </c>
      <c r="B486" s="65">
        <v>0.301719296536796</v>
      </c>
      <c r="C486" s="65">
        <v>0.267387851731601</v>
      </c>
      <c r="D486" s="65">
        <v>0.338425459956709</v>
      </c>
      <c r="E486" s="65">
        <v>0.076191706185228</v>
      </c>
      <c r="F486" s="65">
        <v>0.058650240226944</v>
      </c>
      <c r="G486" s="65">
        <v>0.094192079069919</v>
      </c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>
      <c r="A487" s="26" t="s">
        <v>1909</v>
      </c>
      <c r="B487" s="65">
        <v>0.255036344065291</v>
      </c>
      <c r="C487" s="65">
        <v>0.218008402416297</v>
      </c>
      <c r="D487" s="65">
        <v>0.291786678234046</v>
      </c>
      <c r="E487" s="65">
        <v>0.10422726630095</v>
      </c>
      <c r="F487" s="65">
        <v>0.080284927061242</v>
      </c>
      <c r="G487" s="65">
        <v>0.129750016065805</v>
      </c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>
      <c r="A488" s="26" t="s">
        <v>1910</v>
      </c>
      <c r="B488" s="65">
        <v>0.286678429445172</v>
      </c>
      <c r="C488" s="65">
        <v>0.254650638925294</v>
      </c>
      <c r="D488" s="65">
        <v>0.321926742027086</v>
      </c>
      <c r="E488" s="65">
        <v>0.105605267948157</v>
      </c>
      <c r="F488" s="65">
        <v>0.087764398572884</v>
      </c>
      <c r="G488" s="65">
        <v>0.123997333260521</v>
      </c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>
      <c r="A489" s="26" t="s">
        <v>1911</v>
      </c>
      <c r="B489" s="65">
        <v>0.223272228648544</v>
      </c>
      <c r="C489" s="65">
        <v>0.187943912812333</v>
      </c>
      <c r="D489" s="65">
        <v>0.261317169672432</v>
      </c>
      <c r="E489" s="65">
        <v>0.054960912389454</v>
      </c>
      <c r="F489" s="65">
        <v>0.03608355825461</v>
      </c>
      <c r="G489" s="65">
        <v>0.078214675001112</v>
      </c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>
      <c r="A490" s="26" t="s">
        <v>1912</v>
      </c>
      <c r="B490" s="65">
        <v>0.3139604004329</v>
      </c>
      <c r="C490" s="65">
        <v>0.280588498622589</v>
      </c>
      <c r="D490" s="65">
        <v>0.350774498229043</v>
      </c>
      <c r="E490" s="65">
        <v>0.079700763302354</v>
      </c>
      <c r="F490" s="65">
        <v>0.062438291191132</v>
      </c>
      <c r="G490" s="65">
        <v>0.098352289125016</v>
      </c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>
      <c r="A491" s="26" t="s">
        <v>1913</v>
      </c>
      <c r="B491" s="65">
        <v>0.169286776135741</v>
      </c>
      <c r="C491" s="65">
        <v>0.139890667761357</v>
      </c>
      <c r="D491" s="65">
        <v>0.198669129720853</v>
      </c>
      <c r="E491" s="65">
        <v>0.035654541831093</v>
      </c>
      <c r="F491" s="65">
        <v>0.02377203065134</v>
      </c>
      <c r="G491" s="65">
        <v>0.04813820470717</v>
      </c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>
      <c r="A492" s="26" t="s">
        <v>1914</v>
      </c>
      <c r="B492" s="65">
        <v>0.237113614772592</v>
      </c>
      <c r="C492" s="65">
        <v>0.202040879942999</v>
      </c>
      <c r="D492" s="65">
        <v>0.273013646439456</v>
      </c>
      <c r="E492" s="65">
        <v>0.062334048266778</v>
      </c>
      <c r="F492" s="65">
        <v>0.046940535565847</v>
      </c>
      <c r="G492" s="65">
        <v>0.078413490084313</v>
      </c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>
      <c r="A493" s="26" t="s">
        <v>1915</v>
      </c>
      <c r="B493" s="65">
        <v>0.228652210742983</v>
      </c>
      <c r="C493" s="65">
        <v>0.198196225705577</v>
      </c>
      <c r="D493" s="65">
        <v>0.262072249930728</v>
      </c>
      <c r="E493" s="65">
        <v>0.063105490491367</v>
      </c>
      <c r="F493" s="65">
        <v>0.046972611760641</v>
      </c>
      <c r="G493" s="65">
        <v>0.079210613437546</v>
      </c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>
      <c r="A494" s="26" t="s">
        <v>1916</v>
      </c>
      <c r="B494" s="65">
        <v>0.349940745594874</v>
      </c>
      <c r="C494" s="65">
        <v>0.316475626183194</v>
      </c>
      <c r="D494" s="65">
        <v>0.38530617445755</v>
      </c>
      <c r="E494" s="65">
        <v>0.121756480764393</v>
      </c>
      <c r="F494" s="65">
        <v>0.102985821517931</v>
      </c>
      <c r="G494" s="65">
        <v>0.140912247474747</v>
      </c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>
      <c r="A495" s="26" t="s">
        <v>1917</v>
      </c>
      <c r="B495" s="65">
        <v>0.161932346287173</v>
      </c>
      <c r="C495" s="65">
        <v>0.132850255427841</v>
      </c>
      <c r="D495" s="65">
        <v>0.191639573070607</v>
      </c>
      <c r="E495" s="65">
        <v>0.035698700137665</v>
      </c>
      <c r="F495" s="65">
        <v>0.024073991142956</v>
      </c>
      <c r="G495" s="65">
        <v>0.047622443648305</v>
      </c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>
      <c r="A496" s="26" t="s">
        <v>1918</v>
      </c>
      <c r="B496" s="65">
        <v>0.302933042929292</v>
      </c>
      <c r="C496" s="65">
        <v>0.266083829365079</v>
      </c>
      <c r="D496" s="65">
        <v>0.33771064541519</v>
      </c>
      <c r="E496" s="65">
        <v>0.088954827949827</v>
      </c>
      <c r="F496" s="65">
        <v>0.071539653843631</v>
      </c>
      <c r="G496" s="65">
        <v>0.108209472976518</v>
      </c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>
      <c r="A497" s="26" t="s">
        <v>1919</v>
      </c>
      <c r="B497" s="65">
        <v>0.223465946245497</v>
      </c>
      <c r="C497" s="65">
        <v>0.189717076356727</v>
      </c>
      <c r="D497" s="65">
        <v>0.257836509915686</v>
      </c>
      <c r="E497" s="65">
        <v>0.027388119258131</v>
      </c>
      <c r="F497" s="65">
        <v>0.017765232481566</v>
      </c>
      <c r="G497" s="65">
        <v>0.03825283922229</v>
      </c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>
      <c r="A498" s="26" t="s">
        <v>1920</v>
      </c>
      <c r="B498" s="65">
        <v>0.357144322344322</v>
      </c>
      <c r="C498" s="65">
        <v>0.320580537883169</v>
      </c>
      <c r="D498" s="65">
        <v>0.396031665702718</v>
      </c>
      <c r="E498" s="65">
        <v>0.106435303001092</v>
      </c>
      <c r="F498" s="65">
        <v>0.082285419259103</v>
      </c>
      <c r="G498" s="65">
        <v>0.133541984331458</v>
      </c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>
      <c r="A499" s="26" t="s">
        <v>1921</v>
      </c>
      <c r="B499" s="65">
        <v>0.297734867846221</v>
      </c>
      <c r="C499" s="65">
        <v>0.266943852846949</v>
      </c>
      <c r="D499" s="65">
        <v>0.331693197538954</v>
      </c>
      <c r="E499" s="65">
        <v>0.117961089763956</v>
      </c>
      <c r="F499" s="65">
        <v>0.099786801501251</v>
      </c>
      <c r="G499" s="65">
        <v>0.137637445060036</v>
      </c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>
      <c r="A500" s="26" t="s">
        <v>1922</v>
      </c>
      <c r="B500" s="65">
        <v>0.166201806903186</v>
      </c>
      <c r="C500" s="65">
        <v>0.136769157088122</v>
      </c>
      <c r="D500" s="65">
        <v>0.197635194307608</v>
      </c>
      <c r="E500" s="65">
        <v>0.028329184455391</v>
      </c>
      <c r="F500" s="65">
        <v>0.018259304871373</v>
      </c>
      <c r="G500" s="65">
        <v>0.039750228060572</v>
      </c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>
      <c r="A501" s="26" t="s">
        <v>1924</v>
      </c>
      <c r="B501" s="65">
        <v>0.329771934933753</v>
      </c>
      <c r="C501" s="65">
        <v>0.293247519841269</v>
      </c>
      <c r="D501" s="65">
        <v>0.368496257215007</v>
      </c>
      <c r="E501" s="65">
        <v>0.043712262964308</v>
      </c>
      <c r="F501" s="65">
        <v>0.029695674275219</v>
      </c>
      <c r="G501" s="65">
        <v>0.059043381492245</v>
      </c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>
      <c r="A502" s="26" t="s">
        <v>1925</v>
      </c>
      <c r="B502" s="65">
        <v>0.344068881971748</v>
      </c>
      <c r="C502" s="65">
        <v>0.308302752293577</v>
      </c>
      <c r="D502" s="65">
        <v>0.381277714067278</v>
      </c>
      <c r="E502" s="65">
        <v>0.089764680719382</v>
      </c>
      <c r="F502" s="65">
        <v>0.071441586573467</v>
      </c>
      <c r="G502" s="65">
        <v>0.109221912771224</v>
      </c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>
      <c r="A503" s="26" t="s">
        <v>1926</v>
      </c>
      <c r="B503" s="65">
        <v>0.299003984319773</v>
      </c>
      <c r="C503" s="65">
        <v>0.259778773857721</v>
      </c>
      <c r="D503" s="65">
        <v>0.335826425036951</v>
      </c>
      <c r="E503" s="65">
        <v>0.097154925775978</v>
      </c>
      <c r="F503" s="65">
        <v>0.072608685174474</v>
      </c>
      <c r="G503" s="65">
        <v>0.12216542959964</v>
      </c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>
      <c r="A504" s="26" t="s">
        <v>1927</v>
      </c>
      <c r="B504" s="65">
        <v>0.266110184855322</v>
      </c>
      <c r="C504" s="65">
        <v>0.232271008985472</v>
      </c>
      <c r="D504" s="65">
        <v>0.297648883743023</v>
      </c>
      <c r="E504" s="65">
        <v>0.069532001974766</v>
      </c>
      <c r="F504" s="65">
        <v>0.053635994789361</v>
      </c>
      <c r="G504" s="65">
        <v>0.086728325359871</v>
      </c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>
      <c r="A505" s="26" t="s">
        <v>1928</v>
      </c>
      <c r="B505" s="65">
        <v>0.30656764069264</v>
      </c>
      <c r="C505" s="65">
        <v>0.273028409090909</v>
      </c>
      <c r="D505" s="65">
        <v>0.338263302669552</v>
      </c>
      <c r="E505" s="65">
        <v>0.062547138265774</v>
      </c>
      <c r="F505" s="65">
        <v>0.049710801193755</v>
      </c>
      <c r="G505" s="65">
        <v>0.076519496917224</v>
      </c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>
      <c r="A506" s="26" t="s">
        <v>1929</v>
      </c>
      <c r="B506" s="65">
        <v>0.347734538488331</v>
      </c>
      <c r="C506" s="65">
        <v>0.320375615763546</v>
      </c>
      <c r="D506" s="65">
        <v>0.373927157453019</v>
      </c>
      <c r="E506" s="65">
        <v>0.084717348781486</v>
      </c>
      <c r="F506" s="65">
        <v>0.067735333631885</v>
      </c>
      <c r="G506" s="65">
        <v>0.10059836874492</v>
      </c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>
      <c r="A507" s="26" t="s">
        <v>1930</v>
      </c>
      <c r="B507" s="65">
        <v>0.32236522717049</v>
      </c>
      <c r="C507" s="65">
        <v>0.284824079429342</v>
      </c>
      <c r="D507" s="65">
        <v>0.362249293104556</v>
      </c>
      <c r="E507" s="65">
        <v>0.068857975942186</v>
      </c>
      <c r="F507" s="65">
        <v>0.048737709658762</v>
      </c>
      <c r="G507" s="65">
        <v>0.090358990424779</v>
      </c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>
      <c r="A508" s="26" t="s">
        <v>1931</v>
      </c>
      <c r="B508" s="65">
        <v>0.351578995558468</v>
      </c>
      <c r="C508" s="65">
        <v>0.322298902359108</v>
      </c>
      <c r="D508" s="65">
        <v>0.379747979467016</v>
      </c>
      <c r="E508" s="65">
        <v>0.105191637541866</v>
      </c>
      <c r="F508" s="65">
        <v>0.086313983544488</v>
      </c>
      <c r="G508" s="65">
        <v>0.123994511795543</v>
      </c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>
      <c r="A509" s="26" t="s">
        <v>1932</v>
      </c>
      <c r="B509" s="65">
        <v>0.25924155682223</v>
      </c>
      <c r="C509" s="65">
        <v>0.227054536278351</v>
      </c>
      <c r="D509" s="65">
        <v>0.29337163044769</v>
      </c>
      <c r="E509" s="65">
        <v>0.068555464566239</v>
      </c>
      <c r="F509" s="65">
        <v>0.052423887071642</v>
      </c>
      <c r="G509" s="65">
        <v>0.085122135985052</v>
      </c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>
      <c r="A510" s="26" t="s">
        <v>1933</v>
      </c>
      <c r="B510" s="65">
        <v>0.356629210329899</v>
      </c>
      <c r="C510" s="65">
        <v>0.32764961188237</v>
      </c>
      <c r="D510" s="65">
        <v>0.38436453616626</v>
      </c>
      <c r="E510" s="65">
        <v>0.082855381068484</v>
      </c>
      <c r="F510" s="65">
        <v>0.065836575940024</v>
      </c>
      <c r="G510" s="65">
        <v>0.100708186130599</v>
      </c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>
      <c r="A511" s="26" t="s">
        <v>1934</v>
      </c>
      <c r="B511" s="65">
        <v>0.29376801046176</v>
      </c>
      <c r="C511" s="65">
        <v>0.264792117604617</v>
      </c>
      <c r="D511" s="65">
        <v>0.322435651154401</v>
      </c>
      <c r="E511" s="65">
        <v>0.064315873053713</v>
      </c>
      <c r="F511" s="65">
        <v>0.051672832218286</v>
      </c>
      <c r="G511" s="65">
        <v>0.07923164272596</v>
      </c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>
      <c r="A512" s="26" t="s">
        <v>1935</v>
      </c>
      <c r="B512" s="65">
        <v>0.283900443416232</v>
      </c>
      <c r="C512" s="65">
        <v>0.249461634856371</v>
      </c>
      <c r="D512" s="65">
        <v>0.321392905340273</v>
      </c>
      <c r="E512" s="65">
        <v>0.063735660223716</v>
      </c>
      <c r="F512" s="65">
        <v>0.042585711072553</v>
      </c>
      <c r="G512" s="65">
        <v>0.087675694188852</v>
      </c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>
      <c r="A513" s="26" t="s">
        <v>1936</v>
      </c>
      <c r="B513" s="65">
        <v>0.374895019659239</v>
      </c>
      <c r="C513" s="65">
        <v>0.3461123853211</v>
      </c>
      <c r="D513" s="65">
        <v>0.40388488422892</v>
      </c>
      <c r="E513" s="65">
        <v>0.102641566550167</v>
      </c>
      <c r="F513" s="65">
        <v>0.084241435488568</v>
      </c>
      <c r="G513" s="65">
        <v>0.121484727683122</v>
      </c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>
      <c r="A514" s="26" t="s">
        <v>1937</v>
      </c>
      <c r="B514" s="65">
        <v>0.2725549900392</v>
      </c>
      <c r="C514" s="65">
        <v>0.234275271512113</v>
      </c>
      <c r="D514" s="65">
        <v>0.308682764603817</v>
      </c>
      <c r="E514" s="65">
        <v>0.056369605248552</v>
      </c>
      <c r="F514" s="65">
        <v>0.037764121843069</v>
      </c>
      <c r="G514" s="65">
        <v>0.076820657412762</v>
      </c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>
      <c r="A515" s="26" t="s">
        <v>1939</v>
      </c>
      <c r="B515" s="65">
        <v>0.231081495310245</v>
      </c>
      <c r="C515" s="65">
        <v>0.200560786435786</v>
      </c>
      <c r="D515" s="65">
        <v>0.260294958513708</v>
      </c>
      <c r="E515" s="65">
        <v>0.050160318772136</v>
      </c>
      <c r="F515" s="65">
        <v>0.037227678571428</v>
      </c>
      <c r="G515" s="65">
        <v>0.063988228942774</v>
      </c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>
      <c r="A516" s="26" t="s">
        <v>1940</v>
      </c>
      <c r="B516" s="65">
        <v>0.338352163838715</v>
      </c>
      <c r="C516" s="65">
        <v>0.311777777777777</v>
      </c>
      <c r="D516" s="65">
        <v>0.366599799306695</v>
      </c>
      <c r="E516" s="65">
        <v>0.066751658124761</v>
      </c>
      <c r="F516" s="65">
        <v>0.051453620772586</v>
      </c>
      <c r="G516" s="65">
        <v>0.081604957622198</v>
      </c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>
      <c r="A517" s="26" t="s">
        <v>1941</v>
      </c>
      <c r="B517" s="65">
        <v>0.235478933618335</v>
      </c>
      <c r="C517" s="65">
        <v>0.204401199382496</v>
      </c>
      <c r="D517" s="65">
        <v>0.267417022918893</v>
      </c>
      <c r="E517" s="65">
        <v>0.060268145473257</v>
      </c>
      <c r="F517" s="65">
        <v>0.044733413580047</v>
      </c>
      <c r="G517" s="65">
        <v>0.075798067961409</v>
      </c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>
      <c r="A518" s="26" t="s">
        <v>1942</v>
      </c>
      <c r="B518" s="65">
        <v>0.357943207377417</v>
      </c>
      <c r="C518" s="65">
        <v>0.319199922884133</v>
      </c>
      <c r="D518" s="65">
        <v>0.396710686973844</v>
      </c>
      <c r="E518" s="65">
        <v>0.106532844056528</v>
      </c>
      <c r="F518" s="65">
        <v>0.082001726343831</v>
      </c>
      <c r="G518" s="65">
        <v>0.132409067540646</v>
      </c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>
      <c r="A519" s="26" t="s">
        <v>1943</v>
      </c>
      <c r="B519" s="65">
        <v>0.332577785058977</v>
      </c>
      <c r="C519" s="65">
        <v>0.302620685889034</v>
      </c>
      <c r="D519" s="65">
        <v>0.361490825688073</v>
      </c>
      <c r="E519" s="65">
        <v>0.072693162953254</v>
      </c>
      <c r="F519" s="65">
        <v>0.057415765618173</v>
      </c>
      <c r="G519" s="65">
        <v>0.089177861511577</v>
      </c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>
      <c r="A520" s="26" t="s">
        <v>1944</v>
      </c>
      <c r="B520" s="65">
        <v>0.220925036614812</v>
      </c>
      <c r="C520" s="65">
        <v>0.189539148161342</v>
      </c>
      <c r="D520" s="65">
        <v>0.253581868740846</v>
      </c>
      <c r="E520" s="65">
        <v>0.060992447729604</v>
      </c>
      <c r="F520" s="65">
        <v>0.045356267970046</v>
      </c>
      <c r="G520" s="65">
        <v>0.077223978743617</v>
      </c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>
      <c r="A521" s="26" t="s">
        <v>1945</v>
      </c>
      <c r="B521" s="65">
        <v>0.243386026334776</v>
      </c>
      <c r="C521" s="65">
        <v>0.214575081168831</v>
      </c>
      <c r="D521" s="65">
        <v>0.272872339466089</v>
      </c>
      <c r="E521" s="65">
        <v>0.049802858807858</v>
      </c>
      <c r="F521" s="65">
        <v>0.036406964563214</v>
      </c>
      <c r="G521" s="65">
        <v>0.063867793191656</v>
      </c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>
      <c r="A522" s="26" t="s">
        <v>1946</v>
      </c>
      <c r="B522" s="65">
        <v>0.329958219303046</v>
      </c>
      <c r="C522" s="65">
        <v>0.300042601715015</v>
      </c>
      <c r="D522" s="65">
        <v>0.355393267651888</v>
      </c>
      <c r="E522" s="65">
        <v>0.067925610953541</v>
      </c>
      <c r="F522" s="65">
        <v>0.052525936706971</v>
      </c>
      <c r="G522" s="65">
        <v>0.084809979930669</v>
      </c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>
      <c r="A523" s="26" t="s">
        <v>1947</v>
      </c>
      <c r="B523" s="65">
        <v>0.205548284051775</v>
      </c>
      <c r="C523" s="65">
        <v>0.174656414519257</v>
      </c>
      <c r="D523" s="65">
        <v>0.235632694058504</v>
      </c>
      <c r="E523" s="65">
        <v>0.060219002637705</v>
      </c>
      <c r="F523" s="65">
        <v>0.044813669289978</v>
      </c>
      <c r="G523" s="65">
        <v>0.077217566653352</v>
      </c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>
      <c r="A524" s="26" t="s">
        <v>1948</v>
      </c>
      <c r="B524" s="65">
        <v>0.322065803844473</v>
      </c>
      <c r="C524" s="65">
        <v>0.29262614678899</v>
      </c>
      <c r="D524" s="65">
        <v>0.350023754914809</v>
      </c>
      <c r="E524" s="65">
        <v>0.079258273263433</v>
      </c>
      <c r="F524" s="65">
        <v>0.062560206422018</v>
      </c>
      <c r="G524" s="65">
        <v>0.096771788990825</v>
      </c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>
      <c r="A525" s="26" t="s">
        <v>1949</v>
      </c>
      <c r="B525" s="65">
        <v>0.225456939525121</v>
      </c>
      <c r="C525" s="65">
        <v>0.1977720508658</v>
      </c>
      <c r="D525" s="65">
        <v>0.255431547619047</v>
      </c>
      <c r="E525" s="65">
        <v>0.039411824854438</v>
      </c>
      <c r="F525" s="65">
        <v>0.028436737504919</v>
      </c>
      <c r="G525" s="65">
        <v>0.051123921848353</v>
      </c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>
      <c r="A526" s="26" t="s">
        <v>1951</v>
      </c>
      <c r="B526" s="65">
        <v>0.326213820470717</v>
      </c>
      <c r="C526" s="65">
        <v>0.296345146871008</v>
      </c>
      <c r="D526" s="65">
        <v>0.354241014413428</v>
      </c>
      <c r="E526" s="65">
        <v>0.076317340233202</v>
      </c>
      <c r="F526" s="65">
        <v>0.060447910965152</v>
      </c>
      <c r="G526" s="65">
        <v>0.094069102353585</v>
      </c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>
      <c r="A527" s="26" t="s">
        <v>1952</v>
      </c>
      <c r="B527" s="65">
        <v>0.29827218687745</v>
      </c>
      <c r="C527" s="65">
        <v>0.261935045948203</v>
      </c>
      <c r="D527" s="65">
        <v>0.333772170811644</v>
      </c>
      <c r="E527" s="65">
        <v>0.096927893451577</v>
      </c>
      <c r="F527" s="65">
        <v>0.07418361609151</v>
      </c>
      <c r="G527" s="65">
        <v>0.119953650151018</v>
      </c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>
      <c r="A528" s="26" t="s">
        <v>1953</v>
      </c>
      <c r="B528" s="65">
        <v>0.26580240272335</v>
      </c>
      <c r="C528" s="65">
        <v>0.232174622966393</v>
      </c>
      <c r="D528" s="65">
        <v>0.301190327752048</v>
      </c>
      <c r="E528" s="65">
        <v>0.069407070210037</v>
      </c>
      <c r="F528" s="65">
        <v>0.05400465961719</v>
      </c>
      <c r="G528" s="65">
        <v>0.085924127703502</v>
      </c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>
      <c r="A529" s="26" t="s">
        <v>1954</v>
      </c>
      <c r="B529" s="65">
        <v>0.319578615115771</v>
      </c>
      <c r="C529" s="65">
        <v>0.289085572302315</v>
      </c>
      <c r="D529" s="65">
        <v>0.35238122542595</v>
      </c>
      <c r="E529" s="65">
        <v>0.072125884665792</v>
      </c>
      <c r="F529" s="65">
        <v>0.054881452963448</v>
      </c>
      <c r="G529" s="65">
        <v>0.089018448740352</v>
      </c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>
      <c r="A530" s="26" t="s">
        <v>1955</v>
      </c>
      <c r="B530" s="65">
        <v>0.306929873737373</v>
      </c>
      <c r="C530" s="65">
        <v>0.273858991702741</v>
      </c>
      <c r="D530" s="65">
        <v>0.339282016594516</v>
      </c>
      <c r="E530" s="65">
        <v>0.062493493539288</v>
      </c>
      <c r="F530" s="65">
        <v>0.048759584481175</v>
      </c>
      <c r="G530" s="65">
        <v>0.075898805424373</v>
      </c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>
      <c r="A531" s="26" t="s">
        <v>1956</v>
      </c>
      <c r="B531" s="65">
        <v>0.348181941085734</v>
      </c>
      <c r="C531" s="65">
        <v>0.318149197226783</v>
      </c>
      <c r="D531" s="65">
        <v>0.378407162760611</v>
      </c>
      <c r="E531" s="65">
        <v>0.08530745396366</v>
      </c>
      <c r="F531" s="65">
        <v>0.06889797941522</v>
      </c>
      <c r="G531" s="65">
        <v>0.102656673467018</v>
      </c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>
      <c r="A532" s="26" t="s">
        <v>1957</v>
      </c>
      <c r="B532" s="65">
        <v>0.319426180836707</v>
      </c>
      <c r="C532" s="65">
        <v>0.281276428250112</v>
      </c>
      <c r="D532" s="65">
        <v>0.356819854122485</v>
      </c>
      <c r="E532" s="65">
        <v>0.06204916136495</v>
      </c>
      <c r="F532" s="65">
        <v>0.043362171454276</v>
      </c>
      <c r="G532" s="65">
        <v>0.084163694492641</v>
      </c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>
      <c r="A533" s="26" t="s">
        <v>1958</v>
      </c>
      <c r="B533" s="65">
        <v>0.351470769622833</v>
      </c>
      <c r="C533" s="65">
        <v>0.32119124981797</v>
      </c>
      <c r="D533" s="65">
        <v>0.379975835517693</v>
      </c>
      <c r="E533" s="65">
        <v>0.104270079729139</v>
      </c>
      <c r="F533" s="65">
        <v>0.086184150648026</v>
      </c>
      <c r="G533" s="65">
        <v>0.124008027522935</v>
      </c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>
      <c r="A534" s="26" t="s">
        <v>1959</v>
      </c>
      <c r="B534" s="65">
        <v>0.258931546134663</v>
      </c>
      <c r="C534" s="65">
        <v>0.226655979099869</v>
      </c>
      <c r="D534" s="65">
        <v>0.292564224359735</v>
      </c>
      <c r="E534" s="65">
        <v>0.068288429512967</v>
      </c>
      <c r="F534" s="65">
        <v>0.052810431718217</v>
      </c>
      <c r="G534" s="65">
        <v>0.085913118988243</v>
      </c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>
      <c r="A535" s="26" t="s">
        <v>1960</v>
      </c>
      <c r="B535" s="65">
        <v>0.357543826939344</v>
      </c>
      <c r="C535" s="65">
        <v>0.330774584929757</v>
      </c>
      <c r="D535" s="65">
        <v>0.385360596938183</v>
      </c>
      <c r="E535" s="65">
        <v>0.083178271217926</v>
      </c>
      <c r="F535" s="65">
        <v>0.066436653065963</v>
      </c>
      <c r="G535" s="65">
        <v>0.100445315221177</v>
      </c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>
      <c r="A536" s="26" t="s">
        <v>1961</v>
      </c>
      <c r="B536" s="65">
        <v>0.293543394660894</v>
      </c>
      <c r="C536" s="65">
        <v>0.262345689033189</v>
      </c>
      <c r="D536" s="65">
        <v>0.32417077020202</v>
      </c>
      <c r="E536" s="65">
        <v>0.063953815010746</v>
      </c>
      <c r="F536" s="65">
        <v>0.050499823724255</v>
      </c>
      <c r="G536" s="65">
        <v>0.078806346746687</v>
      </c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>
      <c r="A537" s="26" t="s">
        <v>1962</v>
      </c>
      <c r="B537" s="65">
        <v>0.303224179037336</v>
      </c>
      <c r="C537" s="65">
        <v>0.266685543988175</v>
      </c>
      <c r="D537" s="65">
        <v>0.340054945054945</v>
      </c>
      <c r="E537" s="65">
        <v>0.06794643339117</v>
      </c>
      <c r="F537" s="65">
        <v>0.046216261808367</v>
      </c>
      <c r="G537" s="65">
        <v>0.091129908103592</v>
      </c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>
      <c r="A538" s="26" t="s">
        <v>1963</v>
      </c>
      <c r="B538" s="65">
        <v>0.374461043760011</v>
      </c>
      <c r="C538" s="65">
        <v>0.345231542158147</v>
      </c>
      <c r="D538" s="65">
        <v>0.403353811708169</v>
      </c>
      <c r="E538" s="65">
        <v>0.10237613404689</v>
      </c>
      <c r="F538" s="65">
        <v>0.084697147589922</v>
      </c>
      <c r="G538" s="65">
        <v>0.121190703727974</v>
      </c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>
      <c r="A539" s="26" t="s">
        <v>1964</v>
      </c>
      <c r="B539" s="65">
        <v>0.217077922257847</v>
      </c>
      <c r="C539" s="65">
        <v>0.18583481771761</v>
      </c>
      <c r="D539" s="65">
        <v>0.24888087321379</v>
      </c>
      <c r="E539" s="65">
        <v>0.05484115990687</v>
      </c>
      <c r="F539" s="65">
        <v>0.041759440684004</v>
      </c>
      <c r="G539" s="65">
        <v>0.069496996145998</v>
      </c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>
      <c r="A540" s="26" t="s">
        <v>1965</v>
      </c>
      <c r="B540" s="65">
        <v>0.24800163059163</v>
      </c>
      <c r="C540" s="65">
        <v>0.215429202741702</v>
      </c>
      <c r="D540" s="65">
        <v>0.279495851370851</v>
      </c>
      <c r="E540" s="65">
        <v>0.048843244873813</v>
      </c>
      <c r="F540" s="65">
        <v>0.036520757651439</v>
      </c>
      <c r="G540" s="65">
        <v>0.061691995504495</v>
      </c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>
      <c r="A541" s="26" t="s">
        <v>1966</v>
      </c>
      <c r="B541" s="65">
        <v>0.300439374076216</v>
      </c>
      <c r="C541" s="65">
        <v>0.260031328320802</v>
      </c>
      <c r="D541" s="65">
        <v>0.339460590579011</v>
      </c>
      <c r="E541" s="65">
        <v>0.040366798406272</v>
      </c>
      <c r="F541" s="65">
        <v>0.024300655484866</v>
      </c>
      <c r="G541" s="65">
        <v>0.057904617312512</v>
      </c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>
      <c r="A542" s="26" t="s">
        <v>1967</v>
      </c>
      <c r="B542" s="65">
        <v>0.311398164568509</v>
      </c>
      <c r="C542" s="65">
        <v>0.283675561029009</v>
      </c>
      <c r="D542" s="65">
        <v>0.339134875022806</v>
      </c>
      <c r="E542" s="65">
        <v>0.073777788227098</v>
      </c>
      <c r="F542" s="65">
        <v>0.058813902572523</v>
      </c>
      <c r="G542" s="65">
        <v>0.088760130035992</v>
      </c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>
      <c r="A543" s="26" t="s">
        <v>1968</v>
      </c>
      <c r="B543" s="65">
        <v>0.317559529270423</v>
      </c>
      <c r="C543" s="65">
        <v>0.287655362603757</v>
      </c>
      <c r="D543" s="65">
        <v>0.346178052643075</v>
      </c>
      <c r="E543" s="65">
        <v>0.081678234673074</v>
      </c>
      <c r="F543" s="65">
        <v>0.06479867482161</v>
      </c>
      <c r="G543" s="65">
        <v>0.099893512450851</v>
      </c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>
      <c r="A544" s="26" t="s">
        <v>1969</v>
      </c>
      <c r="B544" s="65">
        <v>0.304224516419253</v>
      </c>
      <c r="C544" s="65">
        <v>0.263556246385193</v>
      </c>
      <c r="D544" s="65">
        <v>0.346921952316689</v>
      </c>
      <c r="E544" s="65">
        <v>0.044167741525231</v>
      </c>
      <c r="F544" s="65">
        <v>0.028484266520703</v>
      </c>
      <c r="G544" s="65">
        <v>0.060598984348984</v>
      </c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>
      <c r="A545" s="26" t="s">
        <v>1970</v>
      </c>
      <c r="B545" s="65">
        <v>0.30638689033189</v>
      </c>
      <c r="C545" s="65">
        <v>0.270491341991342</v>
      </c>
      <c r="D545" s="65">
        <v>0.340885461760461</v>
      </c>
      <c r="E545" s="65">
        <v>0.048268145579168</v>
      </c>
      <c r="F545" s="65">
        <v>0.033808825328711</v>
      </c>
      <c r="G545" s="65">
        <v>0.062069944575626</v>
      </c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>
      <c r="A546" s="26" t="s">
        <v>1971</v>
      </c>
      <c r="B546" s="65">
        <v>0.222284275422554</v>
      </c>
      <c r="C546" s="65">
        <v>0.190304694612674</v>
      </c>
      <c r="D546" s="65">
        <v>0.253214681550093</v>
      </c>
      <c r="E546" s="65">
        <v>0.064509972993202</v>
      </c>
      <c r="F546" s="65">
        <v>0.048286044448762</v>
      </c>
      <c r="G546" s="65">
        <v>0.080682888737751</v>
      </c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>
      <c r="A547" s="26" t="s">
        <v>1972</v>
      </c>
      <c r="B547" s="65">
        <v>0.345624555738004</v>
      </c>
      <c r="C547" s="65">
        <v>0.318210043787629</v>
      </c>
      <c r="D547" s="65">
        <v>0.373043605181536</v>
      </c>
      <c r="E547" s="65">
        <v>0.076903175100761</v>
      </c>
      <c r="F547" s="65">
        <v>0.061241495413909</v>
      </c>
      <c r="G547" s="65">
        <v>0.093059374533512</v>
      </c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>
      <c r="A548" s="26" t="s">
        <v>1973</v>
      </c>
      <c r="B548" s="65">
        <v>0.182362953726794</v>
      </c>
      <c r="C548" s="65">
        <v>0.150748228634762</v>
      </c>
      <c r="D548" s="65">
        <v>0.212128706012745</v>
      </c>
      <c r="E548" s="65">
        <v>0.047563606855876</v>
      </c>
      <c r="F548" s="65">
        <v>0.033737274778421</v>
      </c>
      <c r="G548" s="65">
        <v>0.063261043819023</v>
      </c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>
      <c r="A549" s="26" t="s">
        <v>1974</v>
      </c>
      <c r="B549" s="65">
        <v>0.326460266491917</v>
      </c>
      <c r="C549" s="65">
        <v>0.297564848186981</v>
      </c>
      <c r="D549" s="65">
        <v>0.356760594145915</v>
      </c>
      <c r="E549" s="65">
        <v>0.085071326634629</v>
      </c>
      <c r="F549" s="65">
        <v>0.067555064074559</v>
      </c>
      <c r="G549" s="65">
        <v>0.102490534440075</v>
      </c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>
      <c r="A550" s="26" t="s">
        <v>1975</v>
      </c>
      <c r="B550" s="65">
        <v>0.194910167748917</v>
      </c>
      <c r="C550" s="65">
        <v>0.167812229437229</v>
      </c>
      <c r="D550" s="65">
        <v>0.222857007575757</v>
      </c>
      <c r="E550" s="65">
        <v>0.03691697823641</v>
      </c>
      <c r="F550" s="65">
        <v>0.026431289354584</v>
      </c>
      <c r="G550" s="65">
        <v>0.04841237707999</v>
      </c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>
      <c r="A551" s="26" t="s">
        <v>1976</v>
      </c>
      <c r="B551" s="65">
        <v>0.248258452837073</v>
      </c>
      <c r="C551" s="65">
        <v>0.219270799124247</v>
      </c>
      <c r="D551" s="65">
        <v>0.274233716475095</v>
      </c>
      <c r="E551" s="65">
        <v>0.052077805145046</v>
      </c>
      <c r="F551" s="65">
        <v>0.038085385878489</v>
      </c>
      <c r="G551" s="65">
        <v>0.066734172596241</v>
      </c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>
      <c r="A552" s="26" t="s">
        <v>1977</v>
      </c>
      <c r="B552" s="65">
        <v>0.322162460638776</v>
      </c>
      <c r="C552" s="65">
        <v>0.27695818070818</v>
      </c>
      <c r="D552" s="65">
        <v>0.365402448428764</v>
      </c>
      <c r="E552" s="65">
        <v>0.044381720618562</v>
      </c>
      <c r="F552" s="65">
        <v>0.028043148372095</v>
      </c>
      <c r="G552" s="65">
        <v>0.063884156778893</v>
      </c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>
      <c r="A553" s="26" t="s">
        <v>1978</v>
      </c>
      <c r="B553" s="65">
        <v>0.106017790840359</v>
      </c>
      <c r="C553" s="65">
        <v>0.082496684875113</v>
      </c>
      <c r="D553" s="65">
        <v>0.130485690535565</v>
      </c>
      <c r="E553" s="65">
        <v>0.015699871145027</v>
      </c>
      <c r="F553" s="65">
        <v>0.009134096241656</v>
      </c>
      <c r="G553" s="65">
        <v>0.0242514955768</v>
      </c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>
      <c r="A554" s="26" t="s">
        <v>1979</v>
      </c>
      <c r="B554" s="65">
        <v>0.26809000109218</v>
      </c>
      <c r="C554" s="65">
        <v>0.23782738095238</v>
      </c>
      <c r="D554" s="65">
        <v>0.29782874617737</v>
      </c>
      <c r="E554" s="65">
        <v>0.055859827799621</v>
      </c>
      <c r="F554" s="65">
        <v>0.041053134556574</v>
      </c>
      <c r="G554" s="65">
        <v>0.071913135284694</v>
      </c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>
      <c r="A555" s="26" t="s">
        <v>1980</v>
      </c>
      <c r="B555" s="65">
        <v>0.186607292299016</v>
      </c>
      <c r="C555" s="65">
        <v>0.160681627440248</v>
      </c>
      <c r="D555" s="65">
        <v>0.213481597585045</v>
      </c>
      <c r="E555" s="65">
        <v>0.027886145744421</v>
      </c>
      <c r="F555" s="65">
        <v>0.018538998357963</v>
      </c>
      <c r="G555" s="65">
        <v>0.037179603920983</v>
      </c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>
      <c r="A556" s="26" t="s">
        <v>1981</v>
      </c>
      <c r="B556" s="65">
        <v>0.156797604617604</v>
      </c>
      <c r="C556" s="65">
        <v>0.13080082070707</v>
      </c>
      <c r="D556" s="65">
        <v>0.184546356421356</v>
      </c>
      <c r="E556" s="65">
        <v>0.029110066316259</v>
      </c>
      <c r="F556" s="65">
        <v>0.019225772491397</v>
      </c>
      <c r="G556" s="65">
        <v>0.04021268504223</v>
      </c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>
      <c r="A557" s="26" t="s">
        <v>1982</v>
      </c>
      <c r="B557" s="65">
        <v>0.286967640254482</v>
      </c>
      <c r="C557" s="65">
        <v>0.243325541417646</v>
      </c>
      <c r="D557" s="65">
        <v>0.328798036758563</v>
      </c>
      <c r="E557" s="65">
        <v>0.030866897137949</v>
      </c>
      <c r="F557" s="65">
        <v>0.017244312704839</v>
      </c>
      <c r="G557" s="65">
        <v>0.046588586851744</v>
      </c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>
      <c r="A558" s="26" t="s">
        <v>1983</v>
      </c>
      <c r="B558" s="65">
        <v>0.232414407674384</v>
      </c>
      <c r="C558" s="65">
        <v>0.201885375709916</v>
      </c>
      <c r="D558" s="65">
        <v>0.262343226663754</v>
      </c>
      <c r="E558" s="65">
        <v>0.035105705978527</v>
      </c>
      <c r="F558" s="65">
        <v>0.024789916696453</v>
      </c>
      <c r="G558" s="65">
        <v>0.04744061685002</v>
      </c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>
      <c r="A559" s="26" t="s">
        <v>1984</v>
      </c>
      <c r="B559" s="65">
        <v>0.107354370317961</v>
      </c>
      <c r="C559" s="65">
        <v>0.084167260420377</v>
      </c>
      <c r="D559" s="65">
        <v>0.132201985116573</v>
      </c>
      <c r="E559" s="65">
        <v>0.018350716670417</v>
      </c>
      <c r="F559" s="65">
        <v>0.010133381442608</v>
      </c>
      <c r="G559" s="65">
        <v>0.026784821233075</v>
      </c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>
      <c r="A560" s="26" t="s">
        <v>1985</v>
      </c>
      <c r="B560" s="65">
        <v>0.259658161429214</v>
      </c>
      <c r="C560" s="65">
        <v>0.218256699440909</v>
      </c>
      <c r="D560" s="65">
        <v>0.301263495276653</v>
      </c>
      <c r="E560" s="65">
        <v>0.026723515261167</v>
      </c>
      <c r="F560" s="65">
        <v>0.013620473094157</v>
      </c>
      <c r="G560" s="65">
        <v>0.041843390527601</v>
      </c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>
      <c r="A561" s="26" t="s">
        <v>1986</v>
      </c>
      <c r="B561" s="65">
        <v>0.160859211760461</v>
      </c>
      <c r="C561" s="65">
        <v>0.133204049422799</v>
      </c>
      <c r="D561" s="65">
        <v>0.188186372655122</v>
      </c>
      <c r="E561" s="65">
        <v>0.024608979316138</v>
      </c>
      <c r="F561" s="65">
        <v>0.015121134231929</v>
      </c>
      <c r="G561" s="65">
        <v>0.034538671240375</v>
      </c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>
      <c r="A562" s="26" t="s">
        <v>1989</v>
      </c>
      <c r="B562" s="65">
        <v>0.211158179661972</v>
      </c>
      <c r="C562" s="65">
        <v>0.182899288451012</v>
      </c>
      <c r="D562" s="65">
        <v>0.239308184471977</v>
      </c>
      <c r="E562" s="65">
        <v>0.026034101568929</v>
      </c>
      <c r="F562" s="65">
        <v>0.017283873214907</v>
      </c>
      <c r="G562" s="65">
        <v>0.034839810253603</v>
      </c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>
      <c r="A563" s="26" t="s">
        <v>1990</v>
      </c>
      <c r="B563" s="65">
        <v>0.235742713339158</v>
      </c>
      <c r="C563" s="65">
        <v>0.205948285277413</v>
      </c>
      <c r="D563" s="65">
        <v>0.266128358453473</v>
      </c>
      <c r="E563" s="65">
        <v>0.038189093755378</v>
      </c>
      <c r="F563" s="65">
        <v>0.026752638607569</v>
      </c>
      <c r="G563" s="65">
        <v>0.050802983968121</v>
      </c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>
      <c r="A564" s="26" t="s">
        <v>1991</v>
      </c>
      <c r="B564" s="65">
        <v>0.120708391719114</v>
      </c>
      <c r="C564" s="65">
        <v>0.096004779717373</v>
      </c>
      <c r="D564" s="65">
        <v>0.145333244270276</v>
      </c>
      <c r="E564" s="65">
        <v>0.015466137340077</v>
      </c>
      <c r="F564" s="65">
        <v>0.008109542161911</v>
      </c>
      <c r="G564" s="65">
        <v>0.02346085093903</v>
      </c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>
      <c r="A565" s="26" t="s">
        <v>1992</v>
      </c>
      <c r="B565" s="65">
        <v>0.147989359668109</v>
      </c>
      <c r="C565" s="65">
        <v>0.122843073593073</v>
      </c>
      <c r="D565" s="65">
        <v>0.171916801948051</v>
      </c>
      <c r="E565" s="65">
        <v>0.022797608805336</v>
      </c>
      <c r="F565" s="65">
        <v>0.014187905844155</v>
      </c>
      <c r="G565" s="65">
        <v>0.032748962842712</v>
      </c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>
      <c r="A566" s="26" t="s">
        <v>1993</v>
      </c>
      <c r="B566" s="65">
        <v>0.247308013623803</v>
      </c>
      <c r="C566" s="65">
        <v>0.206197625473941</v>
      </c>
      <c r="D566" s="65">
        <v>0.287980287256603</v>
      </c>
      <c r="E566" s="65">
        <v>0.031142846919162</v>
      </c>
      <c r="F566" s="65">
        <v>0.016088618983355</v>
      </c>
      <c r="G566" s="65">
        <v>0.048690877835614</v>
      </c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>
      <c r="A567" s="26" t="s">
        <v>1994</v>
      </c>
      <c r="B567" s="65">
        <v>0.186655647277371</v>
      </c>
      <c r="C567" s="65">
        <v>0.162930914232638</v>
      </c>
      <c r="D567" s="65">
        <v>0.211095482742034</v>
      </c>
      <c r="E567" s="65">
        <v>0.023303129322784</v>
      </c>
      <c r="F567" s="65">
        <v>0.014921957671957</v>
      </c>
      <c r="G567" s="65">
        <v>0.033548622514139</v>
      </c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>
      <c r="A568" s="26" t="s">
        <v>1995</v>
      </c>
      <c r="B568" s="65">
        <v>0.218684278069025</v>
      </c>
      <c r="C568" s="65">
        <v>0.190459125163827</v>
      </c>
      <c r="D568" s="65">
        <v>0.248663171690694</v>
      </c>
      <c r="E568" s="65">
        <v>0.030018714924219</v>
      </c>
      <c r="F568" s="65">
        <v>0.019887550968399</v>
      </c>
      <c r="G568" s="65">
        <v>0.041433395223532</v>
      </c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>
      <c r="A569" s="26" t="s">
        <v>1996</v>
      </c>
      <c r="B569" s="65">
        <v>0.153041313131313</v>
      </c>
      <c r="C569" s="65">
        <v>0.128281655844155</v>
      </c>
      <c r="D569" s="65">
        <v>0.180579139610389</v>
      </c>
      <c r="E569" s="65">
        <v>0.019468760330578</v>
      </c>
      <c r="F569" s="65">
        <v>0.011085283088123</v>
      </c>
      <c r="G569" s="65">
        <v>0.028470881706677</v>
      </c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>
      <c r="A570" s="26" t="s">
        <v>1997</v>
      </c>
      <c r="B570" s="65">
        <v>0.302676293297345</v>
      </c>
      <c r="C570" s="65">
        <v>0.259875409678041</v>
      </c>
      <c r="D570" s="65">
        <v>0.343742529400424</v>
      </c>
      <c r="E570" s="65">
        <v>0.044550067970715</v>
      </c>
      <c r="F570" s="65">
        <v>0.02912746610115</v>
      </c>
      <c r="G570" s="65">
        <v>0.061757767086714</v>
      </c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>
      <c r="A571" s="26" t="s">
        <v>1998</v>
      </c>
      <c r="B571" s="65">
        <v>0.107965338637533</v>
      </c>
      <c r="C571" s="65">
        <v>0.083691069944187</v>
      </c>
      <c r="D571" s="65">
        <v>0.132415686973043</v>
      </c>
      <c r="E571" s="65">
        <v>0.011835600213031</v>
      </c>
      <c r="F571" s="65">
        <v>0.005402277135444</v>
      </c>
      <c r="G571" s="65">
        <v>0.019181074190425</v>
      </c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>
      <c r="A572" s="26" t="s">
        <v>1999</v>
      </c>
      <c r="B572" s="65">
        <v>0.171551081919357</v>
      </c>
      <c r="C572" s="65">
        <v>0.145430760810071</v>
      </c>
      <c r="D572" s="65">
        <v>0.194615216201423</v>
      </c>
      <c r="E572" s="65">
        <v>0.024438254631702</v>
      </c>
      <c r="F572" s="65">
        <v>0.015190339354132</v>
      </c>
      <c r="G572" s="65">
        <v>0.034293314922625</v>
      </c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>
      <c r="A573" s="26" t="s">
        <v>2000</v>
      </c>
      <c r="B573" s="65">
        <v>0.213229270423765</v>
      </c>
      <c r="C573" s="65">
        <v>0.183746996505024</v>
      </c>
      <c r="D573" s="65">
        <v>0.242265863914373</v>
      </c>
      <c r="E573" s="65">
        <v>0.024778545944371</v>
      </c>
      <c r="F573" s="65">
        <v>0.015209471020824</v>
      </c>
      <c r="G573" s="65">
        <v>0.03555996978302</v>
      </c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>
      <c r="A574" s="26" t="s">
        <v>2001</v>
      </c>
      <c r="B574" s="65">
        <v>0.098371092110992</v>
      </c>
      <c r="C574" s="65">
        <v>0.076932272493369</v>
      </c>
      <c r="D574" s="65">
        <v>0.120944068400427</v>
      </c>
      <c r="E574" s="65">
        <v>0.017135407428292</v>
      </c>
      <c r="F574" s="65">
        <v>0.008821128995692</v>
      </c>
      <c r="G574" s="65">
        <v>0.027395796223726</v>
      </c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>
      <c r="A575" s="26" t="s">
        <v>2002</v>
      </c>
      <c r="B575" s="65">
        <v>0.116666702741702</v>
      </c>
      <c r="C575" s="65">
        <v>0.093260912698412</v>
      </c>
      <c r="D575" s="65">
        <v>0.138891233766233</v>
      </c>
      <c r="E575" s="65">
        <v>0.016983433649683</v>
      </c>
      <c r="F575" s="65">
        <v>0.009229375737898</v>
      </c>
      <c r="G575" s="65">
        <v>0.026235911500116</v>
      </c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>
      <c r="A576" s="26" t="s">
        <v>2003</v>
      </c>
      <c r="B576" s="65">
        <v>0.321656297795771</v>
      </c>
      <c r="C576" s="65">
        <v>0.280597326649958</v>
      </c>
      <c r="D576" s="65">
        <v>0.366754385964912</v>
      </c>
      <c r="E576" s="65">
        <v>0.04430764314408</v>
      </c>
      <c r="F576" s="65">
        <v>0.028537906650254</v>
      </c>
      <c r="G576" s="65">
        <v>0.063731056954741</v>
      </c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>
      <c r="A577" s="26" t="s">
        <v>2004</v>
      </c>
      <c r="B577" s="65">
        <v>0.157058385331143</v>
      </c>
      <c r="C577" s="65">
        <v>0.1349286626528</v>
      </c>
      <c r="D577" s="65">
        <v>0.180418810436051</v>
      </c>
      <c r="E577" s="65">
        <v>0.030101767925561</v>
      </c>
      <c r="F577" s="65">
        <v>0.020058018609742</v>
      </c>
      <c r="G577" s="65">
        <v>0.041412196679438</v>
      </c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>
      <c r="A578" s="26" t="s">
        <v>2005</v>
      </c>
      <c r="B578" s="65">
        <v>0.185791533784767</v>
      </c>
      <c r="C578" s="65">
        <v>0.158809796854521</v>
      </c>
      <c r="D578" s="65">
        <v>0.214831713266346</v>
      </c>
      <c r="E578" s="65">
        <v>0.035437520023299</v>
      </c>
      <c r="F578" s="65">
        <v>0.023632044560943</v>
      </c>
      <c r="G578" s="65">
        <v>0.048688974442988</v>
      </c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>
      <c r="A579" s="26" t="s">
        <v>2006</v>
      </c>
      <c r="B579" s="65">
        <v>0.106618578553615</v>
      </c>
      <c r="C579" s="65">
        <v>0.084090319835332</v>
      </c>
      <c r="D579" s="65">
        <v>0.130995527055377</v>
      </c>
      <c r="E579" s="65">
        <v>0.01582739516175</v>
      </c>
      <c r="F579" s="65">
        <v>0.008855000856575</v>
      </c>
      <c r="G579" s="65">
        <v>0.023526643727129</v>
      </c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>
      <c r="A580" s="26" t="s">
        <v>2007</v>
      </c>
      <c r="B580" s="65">
        <v>0.157235373376623</v>
      </c>
      <c r="C580" s="65">
        <v>0.129436823593073</v>
      </c>
      <c r="D580" s="65">
        <v>0.183528499278499</v>
      </c>
      <c r="E580" s="65">
        <v>0.029035385492033</v>
      </c>
      <c r="F580" s="65">
        <v>0.018726108960483</v>
      </c>
      <c r="G580" s="65">
        <v>0.039850030020484</v>
      </c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>
      <c r="A581" s="26" t="s">
        <v>2008</v>
      </c>
      <c r="B581" s="65">
        <v>0.187153944369806</v>
      </c>
      <c r="C581" s="65">
        <v>0.16149009802458</v>
      </c>
      <c r="D581" s="65">
        <v>0.214175436632333</v>
      </c>
      <c r="E581" s="65">
        <v>0.027617956322094</v>
      </c>
      <c r="F581" s="65">
        <v>0.019030201918132</v>
      </c>
      <c r="G581" s="65">
        <v>0.037191701976184</v>
      </c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>
      <c r="A582" s="26" t="s">
        <v>2009</v>
      </c>
      <c r="B582" s="65">
        <v>0.265505709787288</v>
      </c>
      <c r="C582" s="65">
        <v>0.224016692371955</v>
      </c>
      <c r="D582" s="65">
        <v>0.308564841591157</v>
      </c>
      <c r="E582" s="65">
        <v>0.028443701912122</v>
      </c>
      <c r="F582" s="65">
        <v>0.013688913425755</v>
      </c>
      <c r="G582" s="65">
        <v>0.047062696075853</v>
      </c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>
      <c r="A583" s="26" t="s">
        <v>2010</v>
      </c>
      <c r="B583" s="65">
        <v>0.232051703800786</v>
      </c>
      <c r="C583" s="65">
        <v>0.202576998689384</v>
      </c>
      <c r="D583" s="65">
        <v>0.262584006844327</v>
      </c>
      <c r="E583" s="65">
        <v>0.035085562207924</v>
      </c>
      <c r="F583" s="65">
        <v>0.024747073454068</v>
      </c>
      <c r="G583" s="65">
        <v>0.04714809464236</v>
      </c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>
      <c r="A584" s="26" t="s">
        <v>2011</v>
      </c>
      <c r="B584" s="65">
        <v>0.106974728112009</v>
      </c>
      <c r="C584" s="65">
        <v>0.083825950995527</v>
      </c>
      <c r="D584" s="65">
        <v>0.130436809311497</v>
      </c>
      <c r="E584" s="65">
        <v>0.018209244302386</v>
      </c>
      <c r="F584" s="65">
        <v>0.010285136725286</v>
      </c>
      <c r="G584" s="65">
        <v>0.027458579450474</v>
      </c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>
      <c r="A585" s="26" t="s">
        <v>2012</v>
      </c>
      <c r="B585" s="65">
        <v>0.159897563131313</v>
      </c>
      <c r="C585" s="65">
        <v>0.133793966450216</v>
      </c>
      <c r="D585" s="65">
        <v>0.188481466450216</v>
      </c>
      <c r="E585" s="65">
        <v>0.024636765910856</v>
      </c>
      <c r="F585" s="65">
        <v>0.015561647317329</v>
      </c>
      <c r="G585" s="65">
        <v>0.034742978927638</v>
      </c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>
      <c r="A586" s="26" t="s">
        <v>2013</v>
      </c>
      <c r="B586" s="65">
        <v>0.28368918449971</v>
      </c>
      <c r="C586" s="65">
        <v>0.239907460960092</v>
      </c>
      <c r="D586" s="65">
        <v>0.325938725017672</v>
      </c>
      <c r="E586" s="65">
        <v>0.022842436218752</v>
      </c>
      <c r="F586" s="65">
        <v>0.010140254482359</v>
      </c>
      <c r="G586" s="65">
        <v>0.037197802197802</v>
      </c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>
      <c r="A587" s="26" t="s">
        <v>2014</v>
      </c>
      <c r="B587" s="65">
        <v>0.212284807185152</v>
      </c>
      <c r="C587" s="65">
        <v>0.184602183576321</v>
      </c>
      <c r="D587" s="65">
        <v>0.238970169677066</v>
      </c>
      <c r="E587" s="65">
        <v>0.026230499474982</v>
      </c>
      <c r="F587" s="65">
        <v>0.017131599243668</v>
      </c>
      <c r="G587" s="65">
        <v>0.03571917577952</v>
      </c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>
      <c r="A588" s="26" t="s">
        <v>2015</v>
      </c>
      <c r="B588" s="65">
        <v>0.236128991917868</v>
      </c>
      <c r="C588" s="65">
        <v>0.20701616426387</v>
      </c>
      <c r="D588" s="65">
        <v>0.268170598514635</v>
      </c>
      <c r="E588" s="65">
        <v>0.038285494194897</v>
      </c>
      <c r="F588" s="65">
        <v>0.026694202840991</v>
      </c>
      <c r="G588" s="65">
        <v>0.050303261977573</v>
      </c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>
      <c r="A589" s="26" t="s">
        <v>2016</v>
      </c>
      <c r="B589" s="65">
        <v>0.161484004329004</v>
      </c>
      <c r="C589" s="65">
        <v>0.133813988095238</v>
      </c>
      <c r="D589" s="65">
        <v>0.189801812770562</v>
      </c>
      <c r="E589" s="65">
        <v>0.0193737095228</v>
      </c>
      <c r="F589" s="65">
        <v>0.011470836612882</v>
      </c>
      <c r="G589" s="65">
        <v>0.028798037190082</v>
      </c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>
      <c r="A590" s="26" t="s">
        <v>2017</v>
      </c>
      <c r="B590" s="65">
        <v>0.180634943127048</v>
      </c>
      <c r="C590" s="65">
        <v>0.147115384615384</v>
      </c>
      <c r="D590" s="65">
        <v>0.216838731443994</v>
      </c>
      <c r="E590" s="65">
        <v>0.022100388792494</v>
      </c>
      <c r="F590" s="65">
        <v>0.010868517447464</v>
      </c>
      <c r="G590" s="65">
        <v>0.035923944476576</v>
      </c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>
      <c r="A591" s="26" t="s">
        <v>2018</v>
      </c>
      <c r="B591" s="65">
        <v>0.176314354878837</v>
      </c>
      <c r="C591" s="65">
        <v>0.150549397920087</v>
      </c>
      <c r="D591" s="65">
        <v>0.200476012174288</v>
      </c>
      <c r="E591" s="65">
        <v>0.023369869798145</v>
      </c>
      <c r="F591" s="65">
        <v>0.014926108374384</v>
      </c>
      <c r="G591" s="65">
        <v>0.032840540047436</v>
      </c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>
      <c r="A592" s="26" t="s">
        <v>2019</v>
      </c>
      <c r="B592" s="65">
        <v>0.117291850280503</v>
      </c>
      <c r="C592" s="65">
        <v>0.093622392431619</v>
      </c>
      <c r="D592" s="65">
        <v>0.14214656810355</v>
      </c>
      <c r="E592" s="65">
        <v>0.009905350800487</v>
      </c>
      <c r="F592" s="65">
        <v>0.004071720050523</v>
      </c>
      <c r="G592" s="65">
        <v>0.01699328068717</v>
      </c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>
      <c r="A593" s="26" t="s">
        <v>2020</v>
      </c>
      <c r="B593" s="65">
        <v>0.165184493145743</v>
      </c>
      <c r="C593" s="65">
        <v>0.13735836038961</v>
      </c>
      <c r="D593" s="65">
        <v>0.191318858225108</v>
      </c>
      <c r="E593" s="65">
        <v>0.019084855851219</v>
      </c>
      <c r="F593" s="65">
        <v>0.010890717237308</v>
      </c>
      <c r="G593" s="65">
        <v>0.028067994505494</v>
      </c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>
      <c r="A594" s="26" t="s">
        <v>2021</v>
      </c>
      <c r="B594" s="65">
        <v>0.182410625798212</v>
      </c>
      <c r="C594" s="65">
        <v>0.156922505017332</v>
      </c>
      <c r="D594" s="65">
        <v>0.207438742930122</v>
      </c>
      <c r="E594" s="65">
        <v>0.020875107893383</v>
      </c>
      <c r="F594" s="65">
        <v>0.0121463485429</v>
      </c>
      <c r="G594" s="65">
        <v>0.030332445970377</v>
      </c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>
      <c r="A595" s="26" t="s">
        <v>2023</v>
      </c>
      <c r="B595" s="65">
        <v>0.210798345347313</v>
      </c>
      <c r="C595" s="65">
        <v>0.1826499017038</v>
      </c>
      <c r="D595" s="65">
        <v>0.239985801660113</v>
      </c>
      <c r="E595" s="65">
        <v>0.026824652322702</v>
      </c>
      <c r="F595" s="65">
        <v>0.016880005824959</v>
      </c>
      <c r="G595" s="65">
        <v>0.037662097713703</v>
      </c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>
      <c r="A596" s="26" t="s">
        <v>2024</v>
      </c>
      <c r="B596" s="65">
        <v>0.086294683925107</v>
      </c>
      <c r="C596" s="65">
        <v>0.065900872817955</v>
      </c>
      <c r="D596" s="65">
        <v>0.108566381664885</v>
      </c>
      <c r="E596" s="65">
        <v>0.008404325405821</v>
      </c>
      <c r="F596" s="65">
        <v>0.00332343743815</v>
      </c>
      <c r="G596" s="65">
        <v>0.014298776867355</v>
      </c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>
      <c r="A597" s="26" t="s">
        <v>2025</v>
      </c>
      <c r="B597" s="65">
        <v>0.095892203364816</v>
      </c>
      <c r="C597" s="65">
        <v>0.075073949724517</v>
      </c>
      <c r="D597" s="65">
        <v>0.116701101928374</v>
      </c>
      <c r="E597" s="65">
        <v>0.014782282301032</v>
      </c>
      <c r="F597" s="65">
        <v>0.007830959759937</v>
      </c>
      <c r="G597" s="65">
        <v>0.023152926618835</v>
      </c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>
      <c r="A598" s="26" t="s">
        <v>2026</v>
      </c>
      <c r="B598" s="65">
        <v>0.20573247051114</v>
      </c>
      <c r="C598" s="65">
        <v>0.178109163390126</v>
      </c>
      <c r="D598" s="65">
        <v>0.236053953691568</v>
      </c>
      <c r="E598" s="65">
        <v>0.024663910567006</v>
      </c>
      <c r="F598" s="65">
        <v>0.014834534731323</v>
      </c>
      <c r="G598" s="65">
        <v>0.035976053126282</v>
      </c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>
      <c r="A599" s="26" t="s">
        <v>2027</v>
      </c>
      <c r="B599" s="65">
        <v>0.082857540672129</v>
      </c>
      <c r="C599" s="65">
        <v>0.062015496971856</v>
      </c>
      <c r="D599" s="65">
        <v>0.10407775204845</v>
      </c>
      <c r="E599" s="65">
        <v>0.012936480571569</v>
      </c>
      <c r="F599" s="65">
        <v>0.005322138377001</v>
      </c>
      <c r="G599" s="65">
        <v>0.021429025475526</v>
      </c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>
      <c r="A600" s="26" t="s">
        <v>2028</v>
      </c>
      <c r="B600" s="65">
        <v>0.137661809888706</v>
      </c>
      <c r="C600" s="65">
        <v>0.115099525634008</v>
      </c>
      <c r="D600" s="65">
        <v>0.160378671775223</v>
      </c>
      <c r="E600" s="65">
        <v>0.026669669602428</v>
      </c>
      <c r="F600" s="65">
        <v>0.01688606508434</v>
      </c>
      <c r="G600" s="65">
        <v>0.037433364847157</v>
      </c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>
      <c r="A601" s="26" t="s">
        <v>2029</v>
      </c>
      <c r="B601" s="65">
        <v>0.163970199868938</v>
      </c>
      <c r="C601" s="65">
        <v>0.137969637396242</v>
      </c>
      <c r="D601" s="65">
        <v>0.189158475316732</v>
      </c>
      <c r="E601" s="65">
        <v>0.027927357288481</v>
      </c>
      <c r="F601" s="65">
        <v>0.017485710645114</v>
      </c>
      <c r="G601" s="65">
        <v>0.038547673656618</v>
      </c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13"/>
  </cols>
  <sheetData>
    <row r="1">
      <c r="A1" s="7" t="s">
        <v>274</v>
      </c>
      <c r="B1" s="7" t="s">
        <v>68</v>
      </c>
      <c r="C1" s="7">
        <v>0.400107417157464</v>
      </c>
    </row>
    <row r="2">
      <c r="A2" s="7" t="s">
        <v>276</v>
      </c>
      <c r="B2" s="7" t="s">
        <v>68</v>
      </c>
      <c r="C2" s="7">
        <v>0.642831750679554</v>
      </c>
    </row>
    <row r="3">
      <c r="A3" s="7" t="s">
        <v>277</v>
      </c>
      <c r="B3" s="7" t="s">
        <v>68</v>
      </c>
      <c r="C3" s="7">
        <v>0.517640159750091</v>
      </c>
    </row>
    <row r="4">
      <c r="A4" s="7" t="s">
        <v>278</v>
      </c>
      <c r="B4" s="7" t="s">
        <v>68</v>
      </c>
      <c r="C4" s="7">
        <v>0.641372813923377</v>
      </c>
    </row>
    <row r="5">
      <c r="A5" s="7" t="s">
        <v>274</v>
      </c>
      <c r="B5" s="7" t="s">
        <v>69</v>
      </c>
      <c r="C5" s="7">
        <v>0.393652929014778</v>
      </c>
    </row>
    <row r="6">
      <c r="A6" s="7" t="s">
        <v>276</v>
      </c>
      <c r="B6" s="7" t="s">
        <v>69</v>
      </c>
      <c r="C6" s="7">
        <v>0.597702377854602</v>
      </c>
    </row>
    <row r="7">
      <c r="A7" s="7" t="s">
        <v>277</v>
      </c>
      <c r="B7" s="7" t="s">
        <v>69</v>
      </c>
      <c r="C7" s="7">
        <v>0.466203934203608</v>
      </c>
    </row>
    <row r="8">
      <c r="A8" s="7" t="s">
        <v>278</v>
      </c>
      <c r="B8" s="7" t="s">
        <v>69</v>
      </c>
      <c r="C8" s="7">
        <v>0.586918258059075</v>
      </c>
    </row>
    <row r="9">
      <c r="A9" s="7" t="s">
        <v>281</v>
      </c>
      <c r="B9" s="7" t="s">
        <v>68</v>
      </c>
      <c r="C9" s="7">
        <v>0.404810754696845</v>
      </c>
    </row>
    <row r="10">
      <c r="A10" s="7" t="s">
        <v>283</v>
      </c>
      <c r="B10" s="7" t="s">
        <v>68</v>
      </c>
      <c r="C10" s="7">
        <v>0.634072891433604</v>
      </c>
    </row>
    <row r="11">
      <c r="A11" s="7" t="s">
        <v>284</v>
      </c>
      <c r="B11" s="7" t="s">
        <v>68</v>
      </c>
      <c r="C11" s="7">
        <v>0.537523492086359</v>
      </c>
    </row>
    <row r="12">
      <c r="A12" s="7" t="s">
        <v>286</v>
      </c>
      <c r="B12" s="7" t="s">
        <v>68</v>
      </c>
      <c r="C12" s="7">
        <v>0.641745007342877</v>
      </c>
    </row>
    <row r="13">
      <c r="A13" s="7" t="s">
        <v>281</v>
      </c>
      <c r="B13" s="7" t="s">
        <v>69</v>
      </c>
      <c r="C13" s="7">
        <v>0.397469270497135</v>
      </c>
    </row>
    <row r="14">
      <c r="A14" s="7" t="s">
        <v>283</v>
      </c>
      <c r="B14" s="7" t="s">
        <v>69</v>
      </c>
      <c r="C14" s="7">
        <v>0.604647253792606</v>
      </c>
    </row>
    <row r="15">
      <c r="A15" s="7" t="s">
        <v>284</v>
      </c>
      <c r="B15" s="7" t="s">
        <v>69</v>
      </c>
      <c r="C15" s="7">
        <v>0.496005447230576</v>
      </c>
    </row>
    <row r="16">
      <c r="A16" s="7" t="s">
        <v>286</v>
      </c>
      <c r="B16" s="7" t="s">
        <v>69</v>
      </c>
      <c r="C16" s="7">
        <v>0.621603952821018</v>
      </c>
    </row>
    <row r="17">
      <c r="A17" s="26" t="s">
        <v>289</v>
      </c>
      <c r="B17" s="65">
        <v>0.440431752590843</v>
      </c>
      <c r="C17" s="65">
        <v>0.183123833237469</v>
      </c>
    </row>
    <row r="18">
      <c r="A18" s="26" t="s">
        <v>290</v>
      </c>
      <c r="B18" s="65">
        <v>0.440431752590843</v>
      </c>
      <c r="C18" s="65">
        <v>0.183123833237469</v>
      </c>
    </row>
    <row r="19">
      <c r="A19" s="26" t="s">
        <v>292</v>
      </c>
      <c r="B19" s="65">
        <v>0.439888091706273</v>
      </c>
      <c r="C19" s="65">
        <v>0.179322039817923</v>
      </c>
    </row>
    <row r="20">
      <c r="A20" s="26" t="s">
        <v>293</v>
      </c>
      <c r="B20" s="65">
        <v>0.439888091706273</v>
      </c>
      <c r="C20" s="65">
        <v>0.179322039817923</v>
      </c>
    </row>
    <row r="21">
      <c r="A21" s="26" t="s">
        <v>295</v>
      </c>
      <c r="B21" s="65">
        <v>0.516331382538279</v>
      </c>
      <c r="C21" s="65">
        <v>0.274201462274484</v>
      </c>
    </row>
    <row r="22">
      <c r="A22" s="26" t="s">
        <v>296</v>
      </c>
      <c r="B22" s="65">
        <v>0.516331382538279</v>
      </c>
      <c r="C22" s="65">
        <v>0.274201462274484</v>
      </c>
    </row>
    <row r="23">
      <c r="A23" s="26" t="s">
        <v>297</v>
      </c>
      <c r="B23" s="65">
        <v>0.543218773563601</v>
      </c>
      <c r="C23" s="65">
        <v>0.278790265659594</v>
      </c>
    </row>
    <row r="24">
      <c r="A24" s="26" t="s">
        <v>299</v>
      </c>
      <c r="B24" s="65">
        <v>0.543218773563601</v>
      </c>
      <c r="C24" s="65">
        <v>0.278790265659594</v>
      </c>
    </row>
    <row r="25">
      <c r="A25" s="26" t="s">
        <v>300</v>
      </c>
      <c r="B25" s="65">
        <v>0.329252266159996</v>
      </c>
      <c r="C25" s="65">
        <v>0.148825087353765</v>
      </c>
    </row>
    <row r="26">
      <c r="A26" s="26" t="s">
        <v>302</v>
      </c>
      <c r="B26" s="65">
        <v>0.329252266159996</v>
      </c>
      <c r="C26" s="65">
        <v>0.148825087353765</v>
      </c>
    </row>
    <row r="27">
      <c r="A27" s="26" t="s">
        <v>303</v>
      </c>
      <c r="B27" s="65">
        <v>0.366900209792977</v>
      </c>
      <c r="C27" s="65">
        <v>0.159503002498455</v>
      </c>
    </row>
    <row r="28">
      <c r="A28" s="26" t="s">
        <v>304</v>
      </c>
      <c r="B28" s="65">
        <v>0.366900209792977</v>
      </c>
      <c r="C28" s="65">
        <v>0.159503002498455</v>
      </c>
    </row>
    <row r="29">
      <c r="A29" s="26" t="s">
        <v>306</v>
      </c>
      <c r="B29" s="65">
        <v>0.467640254482359</v>
      </c>
      <c r="C29" s="65">
        <v>0.30534494745021</v>
      </c>
    </row>
    <row r="30">
      <c r="A30" s="26" t="s">
        <v>307</v>
      </c>
      <c r="B30" s="65">
        <v>0.467640254482359</v>
      </c>
      <c r="C30" s="65">
        <v>0.30534494745021</v>
      </c>
    </row>
    <row r="31">
      <c r="A31" s="26" t="s">
        <v>309</v>
      </c>
      <c r="B31" s="65">
        <v>0.474546214019898</v>
      </c>
      <c r="C31" s="65">
        <v>0.299217628974713</v>
      </c>
    </row>
    <row r="32">
      <c r="A32" s="26" t="s">
        <v>310</v>
      </c>
      <c r="B32" s="65">
        <v>0.474546214019898</v>
      </c>
      <c r="C32" s="65">
        <v>0.299217628974713</v>
      </c>
    </row>
    <row r="33">
      <c r="A33" s="26" t="s">
        <v>312</v>
      </c>
      <c r="B33" s="65">
        <v>0.485878774640242</v>
      </c>
      <c r="C33" s="65">
        <v>0.305055011247671</v>
      </c>
    </row>
    <row r="34">
      <c r="A34" s="26" t="s">
        <v>313</v>
      </c>
      <c r="B34" s="65">
        <v>0.485878774640242</v>
      </c>
      <c r="C34" s="65">
        <v>0.305055011247671</v>
      </c>
    </row>
    <row r="35">
      <c r="A35" s="26" t="s">
        <v>314</v>
      </c>
      <c r="B35" s="65">
        <v>0.482140298539381</v>
      </c>
      <c r="C35" s="65">
        <v>0.309646765508881</v>
      </c>
    </row>
    <row r="36">
      <c r="A36" s="26" t="s">
        <v>316</v>
      </c>
      <c r="B36" s="65">
        <v>0.482140298539381</v>
      </c>
      <c r="C36" s="65">
        <v>0.309646765508881</v>
      </c>
    </row>
    <row r="37">
      <c r="A37" s="26" t="s">
        <v>317</v>
      </c>
      <c r="B37" s="65">
        <v>0.466384953430408</v>
      </c>
      <c r="C37" s="65">
        <v>0.192770572787284</v>
      </c>
    </row>
    <row r="38">
      <c r="A38" s="26" t="s">
        <v>319</v>
      </c>
      <c r="B38" s="65">
        <v>0.466384953430408</v>
      </c>
      <c r="C38" s="65">
        <v>0.192770572787284</v>
      </c>
    </row>
    <row r="39">
      <c r="A39" s="26" t="s">
        <v>320</v>
      </c>
      <c r="B39" s="65">
        <v>0.479421853399126</v>
      </c>
      <c r="C39" s="65">
        <v>0.199292443726021</v>
      </c>
    </row>
    <row r="40">
      <c r="A40" s="26" t="s">
        <v>322</v>
      </c>
      <c r="B40" s="65">
        <v>0.479421853399126</v>
      </c>
      <c r="C40" s="65">
        <v>0.199292443726021</v>
      </c>
    </row>
    <row r="41">
      <c r="A41" s="26" t="s">
        <v>323</v>
      </c>
      <c r="B41" s="65">
        <v>0.531424922459405</v>
      </c>
      <c r="C41" s="65">
        <v>0.276151172548631</v>
      </c>
    </row>
    <row r="42">
      <c r="A42" s="26" t="s">
        <v>324</v>
      </c>
      <c r="B42" s="65">
        <v>0.531424922459405</v>
      </c>
      <c r="C42" s="65">
        <v>0.276151172548631</v>
      </c>
    </row>
    <row r="43">
      <c r="A43" s="26" t="s">
        <v>326</v>
      </c>
      <c r="B43" s="65">
        <v>0.580891802960768</v>
      </c>
      <c r="C43" s="65">
        <v>0.292452950638416</v>
      </c>
    </row>
    <row r="44">
      <c r="A44" s="26" t="s">
        <v>327</v>
      </c>
      <c r="B44" s="65">
        <v>0.580891802960768</v>
      </c>
      <c r="C44" s="65">
        <v>0.292452950638416</v>
      </c>
    </row>
    <row r="45">
      <c r="A45" s="26" t="s">
        <v>328</v>
      </c>
      <c r="B45" s="65">
        <v>0.38162134346673</v>
      </c>
      <c r="C45" s="65">
        <v>0.154631818721594</v>
      </c>
    </row>
    <row r="46">
      <c r="A46" s="26" t="s">
        <v>330</v>
      </c>
      <c r="B46" s="65">
        <v>0.38162134346673</v>
      </c>
      <c r="C46" s="65">
        <v>0.154631818721594</v>
      </c>
    </row>
    <row r="47">
      <c r="A47" s="26" t="s">
        <v>331</v>
      </c>
      <c r="B47" s="65">
        <v>0.417854713864688</v>
      </c>
      <c r="C47" s="65">
        <v>0.157765039061797</v>
      </c>
    </row>
    <row r="48">
      <c r="A48" s="26" t="s">
        <v>332</v>
      </c>
      <c r="B48" s="65">
        <v>0.417854713864688</v>
      </c>
      <c r="C48" s="65">
        <v>0.157765039061797</v>
      </c>
    </row>
    <row r="49">
      <c r="A49" s="26" t="s">
        <v>333</v>
      </c>
      <c r="B49" s="65">
        <v>0.510887358255779</v>
      </c>
      <c r="C49" s="65">
        <v>0.308214637364434</v>
      </c>
    </row>
    <row r="50">
      <c r="A50" s="26" t="s">
        <v>335</v>
      </c>
      <c r="B50" s="65">
        <v>0.510887358255779</v>
      </c>
      <c r="C50" s="65">
        <v>0.308214637364434</v>
      </c>
    </row>
    <row r="51">
      <c r="A51" s="26" t="s">
        <v>336</v>
      </c>
      <c r="B51" s="65">
        <v>0.529732121230097</v>
      </c>
      <c r="C51" s="65">
        <v>0.315009070736624</v>
      </c>
    </row>
    <row r="52">
      <c r="A52" s="26" t="s">
        <v>337</v>
      </c>
      <c r="B52" s="65">
        <v>0.529732121230097</v>
      </c>
      <c r="C52" s="65">
        <v>0.315009070736624</v>
      </c>
    </row>
    <row r="53">
      <c r="A53" s="26" t="s">
        <v>338</v>
      </c>
      <c r="B53" s="65">
        <v>0.519046626156717</v>
      </c>
      <c r="C53" s="65">
        <v>0.33951606497478</v>
      </c>
    </row>
    <row r="54">
      <c r="A54" s="26" t="s">
        <v>340</v>
      </c>
      <c r="B54" s="65">
        <v>0.519046626156717</v>
      </c>
      <c r="C54" s="65">
        <v>0.33951606497478</v>
      </c>
    </row>
    <row r="55">
      <c r="A55" s="26" t="s">
        <v>341</v>
      </c>
      <c r="B55" s="65">
        <v>0.527452606007652</v>
      </c>
      <c r="C55" s="65">
        <v>0.341888256928057</v>
      </c>
    </row>
    <row r="56">
      <c r="A56" s="26" t="s">
        <v>342</v>
      </c>
      <c r="B56" s="65">
        <v>0.527452606007652</v>
      </c>
      <c r="C56" s="65">
        <v>0.341888256928057</v>
      </c>
    </row>
    <row r="57">
      <c r="A57" s="26" t="s">
        <v>343</v>
      </c>
      <c r="B57" s="65">
        <v>0.395838744588744</v>
      </c>
      <c r="C57" s="65">
        <v>0.140814400246218</v>
      </c>
    </row>
    <row r="58">
      <c r="A58" s="26" t="s">
        <v>345</v>
      </c>
      <c r="B58" s="65">
        <v>0.419568903318903</v>
      </c>
      <c r="C58" s="65">
        <v>0.154410317475157</v>
      </c>
    </row>
    <row r="59">
      <c r="A59" s="26" t="s">
        <v>346</v>
      </c>
      <c r="B59" s="65">
        <v>0.422753181162272</v>
      </c>
      <c r="C59" s="65">
        <v>0.157061467572831</v>
      </c>
    </row>
    <row r="60">
      <c r="A60" s="26" t="s">
        <v>347</v>
      </c>
      <c r="B60" s="65">
        <v>0.433848714416896</v>
      </c>
      <c r="C60" s="65">
        <v>0.163709150951622</v>
      </c>
    </row>
    <row r="61">
      <c r="A61" s="26" t="s">
        <v>349</v>
      </c>
      <c r="B61" s="65">
        <v>0.459646547577582</v>
      </c>
      <c r="C61" s="65">
        <v>0.22279284572388</v>
      </c>
    </row>
    <row r="62">
      <c r="A62" s="26" t="s">
        <v>350</v>
      </c>
      <c r="B62" s="65">
        <v>0.45787132407822</v>
      </c>
      <c r="C62" s="65">
        <v>0.223340235754028</v>
      </c>
    </row>
    <row r="63">
      <c r="A63" s="26" t="s">
        <v>351</v>
      </c>
      <c r="B63" s="65">
        <v>0.490418968005174</v>
      </c>
      <c r="C63" s="65">
        <v>0.225947385947385</v>
      </c>
    </row>
    <row r="64">
      <c r="A64" s="26" t="s">
        <v>352</v>
      </c>
      <c r="B64" s="65">
        <v>0.53038927866514</v>
      </c>
      <c r="C64" s="65">
        <v>0.248686201860644</v>
      </c>
    </row>
    <row r="65">
      <c r="A65" s="26" t="s">
        <v>353</v>
      </c>
      <c r="B65" s="65">
        <v>0.327843090685983</v>
      </c>
      <c r="C65" s="65">
        <v>0.110274458154757</v>
      </c>
    </row>
    <row r="66">
      <c r="A66" s="26" t="s">
        <v>355</v>
      </c>
      <c r="B66" s="65">
        <v>0.375994537465859</v>
      </c>
      <c r="C66" s="65">
        <v>0.143362013436826</v>
      </c>
    </row>
    <row r="67">
      <c r="A67" s="26" t="s">
        <v>356</v>
      </c>
      <c r="B67" s="65">
        <v>0.360193228771782</v>
      </c>
      <c r="C67" s="65">
        <v>0.126546569252304</v>
      </c>
    </row>
    <row r="68">
      <c r="A68" s="26" t="s">
        <v>357</v>
      </c>
      <c r="B68" s="65">
        <v>0.411376590990057</v>
      </c>
      <c r="C68" s="65">
        <v>0.149223199908985</v>
      </c>
    </row>
    <row r="69">
      <c r="A69" s="26" t="s">
        <v>358</v>
      </c>
      <c r="B69" s="65">
        <v>0.411731251204935</v>
      </c>
      <c r="C69" s="65">
        <v>0.248670627617996</v>
      </c>
    </row>
    <row r="70">
      <c r="A70" s="26" t="s">
        <v>360</v>
      </c>
      <c r="B70" s="65">
        <v>0.447590129169076</v>
      </c>
      <c r="C70" s="65">
        <v>0.283299920951742</v>
      </c>
    </row>
    <row r="71">
      <c r="A71" s="26" t="s">
        <v>361</v>
      </c>
      <c r="B71" s="65">
        <v>0.43582440950862</v>
      </c>
      <c r="C71" s="65">
        <v>0.250657282438659</v>
      </c>
    </row>
    <row r="72">
      <c r="A72" s="26" t="s">
        <v>362</v>
      </c>
      <c r="B72" s="65">
        <v>0.461325404240384</v>
      </c>
      <c r="C72" s="65">
        <v>0.292607316920123</v>
      </c>
    </row>
    <row r="73">
      <c r="A73" s="26" t="s">
        <v>363</v>
      </c>
      <c r="B73" s="65">
        <v>0.436009174311926</v>
      </c>
      <c r="C73" s="65">
        <v>0.28396497742828</v>
      </c>
    </row>
    <row r="74">
      <c r="A74" s="26" t="s">
        <v>365</v>
      </c>
      <c r="B74" s="65">
        <v>0.475273044997815</v>
      </c>
      <c r="C74" s="65">
        <v>0.314581735797332</v>
      </c>
    </row>
    <row r="75">
      <c r="A75" s="26" t="s">
        <v>366</v>
      </c>
      <c r="B75" s="65">
        <v>0.449237294306101</v>
      </c>
      <c r="C75" s="65">
        <v>0.275785566894579</v>
      </c>
    </row>
    <row r="76">
      <c r="A76" s="26" t="s">
        <v>367</v>
      </c>
      <c r="B76" s="65">
        <v>0.479726160689463</v>
      </c>
      <c r="C76" s="65">
        <v>0.310926414309441</v>
      </c>
    </row>
    <row r="77">
      <c r="A77" s="26" t="s">
        <v>368</v>
      </c>
      <c r="B77" s="65">
        <v>0.478014069264069</v>
      </c>
      <c r="C77" s="65">
        <v>0.170217572831209</v>
      </c>
    </row>
    <row r="78">
      <c r="A78" s="26" t="s">
        <v>370</v>
      </c>
      <c r="B78" s="65">
        <v>0.451829004329004</v>
      </c>
      <c r="C78" s="65">
        <v>0.168991955014682</v>
      </c>
    </row>
    <row r="79">
      <c r="A79" s="26" t="s">
        <v>371</v>
      </c>
      <c r="B79" s="65">
        <v>0.499965400760855</v>
      </c>
      <c r="C79" s="65">
        <v>0.186967311955174</v>
      </c>
    </row>
    <row r="80">
      <c r="A80" s="26" t="s">
        <v>372</v>
      </c>
      <c r="B80" s="65">
        <v>0.464743476220748</v>
      </c>
      <c r="C80" s="65">
        <v>0.167341398203697</v>
      </c>
    </row>
    <row r="81">
      <c r="A81" s="26" t="s">
        <v>373</v>
      </c>
      <c r="B81" s="65">
        <v>0.439843094325852</v>
      </c>
      <c r="C81" s="65">
        <v>0.223040571360204</v>
      </c>
    </row>
    <row r="82">
      <c r="A82" s="26" t="s">
        <v>375</v>
      </c>
      <c r="B82" s="65">
        <v>0.445713124678641</v>
      </c>
      <c r="C82" s="65">
        <v>0.208666013456234</v>
      </c>
    </row>
    <row r="83">
      <c r="A83" s="26" t="s">
        <v>376</v>
      </c>
      <c r="B83" s="65">
        <v>0.509166019166019</v>
      </c>
      <c r="C83" s="65">
        <v>0.230269562016003</v>
      </c>
    </row>
    <row r="84">
      <c r="A84" s="26" t="s">
        <v>377</v>
      </c>
      <c r="B84" s="65">
        <v>0.511211993625786</v>
      </c>
      <c r="C84" s="65">
        <v>0.226323832686061</v>
      </c>
    </row>
    <row r="85">
      <c r="A85" s="26" t="s">
        <v>379</v>
      </c>
      <c r="B85" s="65">
        <v>0.363246645291533</v>
      </c>
      <c r="C85" s="65">
        <v>0.118010709157841</v>
      </c>
    </row>
    <row r="86">
      <c r="A86" s="26" t="s">
        <v>380</v>
      </c>
      <c r="B86" s="65">
        <v>0.383448125717452</v>
      </c>
      <c r="C86" s="65">
        <v>0.141808537818512</v>
      </c>
    </row>
    <row r="87">
      <c r="A87" s="26" t="s">
        <v>381</v>
      </c>
      <c r="B87" s="65">
        <v>0.395747643877319</v>
      </c>
      <c r="C87" s="65">
        <v>0.131412708198684</v>
      </c>
    </row>
    <row r="88">
      <c r="A88" s="26" t="s">
        <v>383</v>
      </c>
      <c r="B88" s="65">
        <v>0.406416318511081</v>
      </c>
      <c r="C88" s="65">
        <v>0.144240800680583</v>
      </c>
    </row>
    <row r="89">
      <c r="A89" s="26" t="s">
        <v>384</v>
      </c>
      <c r="B89" s="65">
        <v>0.445585992954414</v>
      </c>
      <c r="C89" s="65">
        <v>0.26677124045545</v>
      </c>
    </row>
    <row r="90">
      <c r="A90" s="26" t="s">
        <v>386</v>
      </c>
      <c r="B90" s="65">
        <v>0.481231925968768</v>
      </c>
      <c r="C90" s="65">
        <v>0.270836945330872</v>
      </c>
    </row>
    <row r="91">
      <c r="A91" s="26" t="s">
        <v>387</v>
      </c>
      <c r="B91" s="65">
        <v>0.464364582785635</v>
      </c>
      <c r="C91" s="65">
        <v>0.27088219922228</v>
      </c>
    </row>
    <row r="92">
      <c r="A92" s="26" t="s">
        <v>388</v>
      </c>
      <c r="B92" s="65">
        <v>0.500070689544373</v>
      </c>
      <c r="C92" s="65">
        <v>0.276499321641022</v>
      </c>
    </row>
    <row r="93">
      <c r="A93" s="26" t="s">
        <v>391</v>
      </c>
      <c r="B93" s="65">
        <v>0.472293875848921</v>
      </c>
      <c r="C93" s="65">
        <v>0.30532982562799</v>
      </c>
    </row>
    <row r="94">
      <c r="A94" s="26" t="s">
        <v>392</v>
      </c>
      <c r="B94" s="65">
        <v>0.495297172246713</v>
      </c>
      <c r="C94" s="65">
        <v>0.339917689344294</v>
      </c>
    </row>
    <row r="95">
      <c r="A95" s="26" t="s">
        <v>393</v>
      </c>
      <c r="B95" s="65">
        <v>0.495974489323113</v>
      </c>
      <c r="C95" s="65">
        <v>0.306455593186569</v>
      </c>
    </row>
    <row r="96">
      <c r="A96" s="26" t="s">
        <v>395</v>
      </c>
      <c r="B96" s="65">
        <v>0.498598458116806</v>
      </c>
      <c r="C96" s="65">
        <v>0.328676737905016</v>
      </c>
    </row>
    <row r="97">
      <c r="A97" s="26" t="s">
        <v>396</v>
      </c>
      <c r="B97" s="65">
        <v>0.442050865800865</v>
      </c>
      <c r="C97" s="65">
        <v>0.160932855023764</v>
      </c>
    </row>
    <row r="98">
      <c r="A98" s="26" t="s">
        <v>397</v>
      </c>
      <c r="B98" s="65">
        <v>0.440316312475403</v>
      </c>
      <c r="C98" s="65">
        <v>0.1603891184573</v>
      </c>
    </row>
    <row r="99">
      <c r="A99" s="26" t="s">
        <v>399</v>
      </c>
      <c r="B99" s="65">
        <v>0.461604430922612</v>
      </c>
      <c r="C99" s="65">
        <v>0.173044441778786</v>
      </c>
    </row>
    <row r="100">
      <c r="A100" s="26" t="s">
        <v>400</v>
      </c>
      <c r="B100" s="65">
        <v>0.46087727928637</v>
      </c>
      <c r="C100" s="65">
        <v>0.166413042542721</v>
      </c>
    </row>
    <row r="101">
      <c r="A101" s="26" t="s">
        <v>401</v>
      </c>
      <c r="B101" s="65">
        <v>0.45451609692989</v>
      </c>
      <c r="C101" s="65">
        <v>0.211868808075704</v>
      </c>
    </row>
    <row r="102">
      <c r="A102" s="26" t="s">
        <v>402</v>
      </c>
      <c r="B102" s="65">
        <v>0.447805145046524</v>
      </c>
      <c r="C102" s="65">
        <v>0.208444119549596</v>
      </c>
    </row>
    <row r="103">
      <c r="A103" s="26" t="s">
        <v>404</v>
      </c>
      <c r="B103" s="65">
        <v>0.514609362540397</v>
      </c>
      <c r="C103" s="65">
        <v>0.234317389094265</v>
      </c>
    </row>
    <row r="104">
      <c r="A104" s="26" t="s">
        <v>405</v>
      </c>
      <c r="B104" s="65">
        <v>0.509334726576105</v>
      </c>
      <c r="C104" s="65">
        <v>0.226757384303023</v>
      </c>
    </row>
    <row r="105">
      <c r="A105" s="26" t="s">
        <v>406</v>
      </c>
      <c r="B105" s="65">
        <v>0.364273839211495</v>
      </c>
      <c r="C105" s="65">
        <v>0.120993511891267</v>
      </c>
    </row>
    <row r="106">
      <c r="A106" s="26" t="s">
        <v>408</v>
      </c>
      <c r="B106" s="65">
        <v>0.375840161501009</v>
      </c>
      <c r="C106" s="65">
        <v>0.127138682874343</v>
      </c>
    </row>
    <row r="107">
      <c r="A107" s="26" t="s">
        <v>409</v>
      </c>
      <c r="B107" s="65">
        <v>0.388839561657516</v>
      </c>
      <c r="C107" s="65">
        <v>0.136364632873361</v>
      </c>
    </row>
    <row r="108">
      <c r="A108" s="26" t="s">
        <v>410</v>
      </c>
      <c r="B108" s="65">
        <v>0.419176265684993</v>
      </c>
      <c r="C108" s="65">
        <v>0.14385559023963</v>
      </c>
    </row>
    <row r="109">
      <c r="A109" s="26" t="s">
        <v>411</v>
      </c>
      <c r="B109" s="65">
        <v>0.36799048904312</v>
      </c>
      <c r="C109" s="65">
        <v>0.228800439326755</v>
      </c>
    </row>
    <row r="110">
      <c r="A110" s="26" t="s">
        <v>413</v>
      </c>
      <c r="B110" s="65">
        <v>0.439685752843647</v>
      </c>
      <c r="C110" s="65">
        <v>0.240783755156224</v>
      </c>
    </row>
    <row r="111">
      <c r="A111" s="26" t="s">
        <v>414</v>
      </c>
      <c r="B111" s="65">
        <v>0.414318430107903</v>
      </c>
      <c r="C111" s="65">
        <v>0.247441335093156</v>
      </c>
    </row>
    <row r="112">
      <c r="A112" s="26" t="s">
        <v>415</v>
      </c>
      <c r="B112" s="65">
        <v>0.445890366942998</v>
      </c>
      <c r="C112" s="65">
        <v>0.264374655801185</v>
      </c>
    </row>
    <row r="113">
      <c r="A113" s="26" t="s">
        <v>416</v>
      </c>
      <c r="B113" s="65">
        <v>0.455715741954274</v>
      </c>
      <c r="C113" s="65">
        <v>0.284128295252148</v>
      </c>
    </row>
    <row r="114">
      <c r="A114" s="26" t="s">
        <v>418</v>
      </c>
      <c r="B114" s="65">
        <v>0.505880396362047</v>
      </c>
      <c r="C114" s="65">
        <v>0.309997087520023</v>
      </c>
    </row>
    <row r="115">
      <c r="A115" s="26" t="s">
        <v>419</v>
      </c>
      <c r="B115" s="65">
        <v>0.461045580311635</v>
      </c>
      <c r="C115" s="65">
        <v>0.278284113949251</v>
      </c>
    </row>
    <row r="116">
      <c r="A116" s="26" t="s">
        <v>420</v>
      </c>
      <c r="B116" s="65">
        <v>0.511213047910295</v>
      </c>
      <c r="C116" s="65">
        <v>0.298543801549595</v>
      </c>
    </row>
    <row r="117">
      <c r="A117" s="26" t="s">
        <v>422</v>
      </c>
      <c r="B117" s="65">
        <v>0.341686999868818</v>
      </c>
      <c r="C117" s="65">
        <v>0.046787404514677</v>
      </c>
    </row>
    <row r="118">
      <c r="A118" s="26" t="s">
        <v>423</v>
      </c>
      <c r="B118" s="65">
        <v>0.341686999868818</v>
      </c>
      <c r="C118" s="65">
        <v>0.046787404514677</v>
      </c>
    </row>
    <row r="119">
      <c r="A119" s="26" t="s">
        <v>424</v>
      </c>
      <c r="B119" s="65">
        <v>0.302107747050928</v>
      </c>
      <c r="C119" s="65">
        <v>0.063166292630772</v>
      </c>
    </row>
    <row r="120">
      <c r="A120" s="26" t="s">
        <v>426</v>
      </c>
      <c r="B120" s="65">
        <v>0.302107747050928</v>
      </c>
      <c r="C120" s="65">
        <v>0.063166292630772</v>
      </c>
    </row>
    <row r="121">
      <c r="A121" s="26" t="s">
        <v>427</v>
      </c>
      <c r="B121" s="65">
        <v>0.172284254698047</v>
      </c>
      <c r="C121" s="65">
        <v>0.071496243220381</v>
      </c>
    </row>
    <row r="122">
      <c r="A122" s="26" t="s">
        <v>428</v>
      </c>
      <c r="B122" s="65">
        <v>0.172284254698047</v>
      </c>
      <c r="C122" s="65">
        <v>0.071496243220381</v>
      </c>
    </row>
    <row r="123">
      <c r="A123" s="26" t="s">
        <v>430</v>
      </c>
      <c r="B123" s="65">
        <v>0.27431355099712</v>
      </c>
      <c r="C123" s="65">
        <v>0.094292237471549</v>
      </c>
    </row>
    <row r="124">
      <c r="A124" s="26" t="s">
        <v>431</v>
      </c>
      <c r="B124" s="65">
        <v>0.27431355099712</v>
      </c>
      <c r="C124" s="65">
        <v>0.094292237471549</v>
      </c>
    </row>
    <row r="125">
      <c r="A125" s="26" t="s">
        <v>433</v>
      </c>
      <c r="B125" s="65">
        <v>0.230857380358627</v>
      </c>
      <c r="C125" s="65">
        <v>0.035225663779279</v>
      </c>
    </row>
    <row r="126">
      <c r="A126" s="26" t="s">
        <v>434</v>
      </c>
      <c r="B126" s="65">
        <v>0.230857380358627</v>
      </c>
      <c r="C126" s="65">
        <v>0.035225663779279</v>
      </c>
    </row>
    <row r="127">
      <c r="A127" s="26" t="s">
        <v>435</v>
      </c>
      <c r="B127" s="65">
        <v>0.239716516267785</v>
      </c>
      <c r="C127" s="65">
        <v>0.066438210670509</v>
      </c>
    </row>
    <row r="128">
      <c r="A128" s="26" t="s">
        <v>437</v>
      </c>
      <c r="B128" s="65">
        <v>0.239716516267785</v>
      </c>
      <c r="C128" s="65">
        <v>0.066438210670509</v>
      </c>
    </row>
    <row r="129">
      <c r="A129" s="26" t="s">
        <v>438</v>
      </c>
      <c r="B129" s="65">
        <v>0.154472720262193</v>
      </c>
      <c r="C129" s="65">
        <v>0.06678234046655</v>
      </c>
    </row>
    <row r="130">
      <c r="A130" s="26" t="s">
        <v>439</v>
      </c>
      <c r="B130" s="65">
        <v>0.154472720262193</v>
      </c>
      <c r="C130" s="65">
        <v>0.06678234046655</v>
      </c>
    </row>
    <row r="131">
      <c r="A131" s="26" t="s">
        <v>441</v>
      </c>
      <c r="B131" s="65">
        <v>0.275002752533116</v>
      </c>
      <c r="C131" s="65">
        <v>0.111373635700848</v>
      </c>
    </row>
    <row r="132">
      <c r="A132" s="26" t="s">
        <v>442</v>
      </c>
      <c r="B132" s="65">
        <v>0.275002752533116</v>
      </c>
      <c r="C132" s="65">
        <v>0.111373635700848</v>
      </c>
    </row>
    <row r="133">
      <c r="A133" s="26" t="s">
        <v>443</v>
      </c>
      <c r="B133" s="65">
        <v>0.141448230668414</v>
      </c>
      <c r="C133" s="65">
        <v>0.058360637833114</v>
      </c>
    </row>
    <row r="134">
      <c r="A134" s="26" t="s">
        <v>445</v>
      </c>
      <c r="B134" s="65">
        <v>0.141448230668414</v>
      </c>
      <c r="C134" s="65">
        <v>0.058360637833114</v>
      </c>
    </row>
    <row r="135">
      <c r="A135" s="26" t="s">
        <v>446</v>
      </c>
      <c r="B135" s="65">
        <v>0.227010120358744</v>
      </c>
      <c r="C135" s="65">
        <v>0.093500392646933</v>
      </c>
    </row>
    <row r="136">
      <c r="A136" s="26" t="s">
        <v>448</v>
      </c>
      <c r="B136" s="65">
        <v>0.227010120358744</v>
      </c>
      <c r="C136" s="65">
        <v>0.093500392646933</v>
      </c>
    </row>
    <row r="137">
      <c r="A137" s="26" t="s">
        <v>449</v>
      </c>
      <c r="B137" s="65">
        <v>0.330252525252525</v>
      </c>
      <c r="C137" s="65">
        <v>0.038286322263594</v>
      </c>
    </row>
    <row r="138">
      <c r="A138" s="26" t="s">
        <v>450</v>
      </c>
      <c r="B138" s="65">
        <v>0.330252525252525</v>
      </c>
      <c r="C138" s="65">
        <v>0.038286322263594</v>
      </c>
    </row>
    <row r="139">
      <c r="A139" s="26" t="s">
        <v>452</v>
      </c>
      <c r="B139" s="65">
        <v>0.296080384262202</v>
      </c>
      <c r="C139" s="65">
        <v>0.062478147330994</v>
      </c>
    </row>
    <row r="140">
      <c r="A140" s="26" t="s">
        <v>453</v>
      </c>
      <c r="B140" s="65">
        <v>0.296080384262202</v>
      </c>
      <c r="C140" s="65">
        <v>0.062478147330994</v>
      </c>
    </row>
    <row r="141">
      <c r="A141" s="26" t="s">
        <v>454</v>
      </c>
      <c r="B141" s="65">
        <v>0.191907747424988</v>
      </c>
      <c r="C141" s="65">
        <v>0.06150652667894</v>
      </c>
    </row>
    <row r="142">
      <c r="A142" s="26" t="s">
        <v>456</v>
      </c>
      <c r="B142" s="65">
        <v>0.191907747424988</v>
      </c>
      <c r="C142" s="65">
        <v>0.06150652667894</v>
      </c>
    </row>
    <row r="143">
      <c r="A143" s="26" t="s">
        <v>457</v>
      </c>
      <c r="B143" s="65">
        <v>0.292541473251412</v>
      </c>
      <c r="C143" s="65">
        <v>0.088203850558121</v>
      </c>
    </row>
    <row r="144">
      <c r="A144" s="26" t="s">
        <v>458</v>
      </c>
      <c r="B144" s="65">
        <v>0.292541473251412</v>
      </c>
      <c r="C144" s="65">
        <v>0.088203850558121</v>
      </c>
    </row>
    <row r="145">
      <c r="A145" s="26" t="s">
        <v>459</v>
      </c>
      <c r="B145" s="65">
        <v>0.272295451846574</v>
      </c>
      <c r="C145" s="65">
        <v>0.058756067983</v>
      </c>
    </row>
    <row r="146">
      <c r="A146" s="26" t="s">
        <v>461</v>
      </c>
      <c r="B146" s="65">
        <v>0.272295451846574</v>
      </c>
      <c r="C146" s="65">
        <v>0.058756067983</v>
      </c>
    </row>
    <row r="147">
      <c r="A147" s="26" t="s">
        <v>462</v>
      </c>
      <c r="B147" s="65">
        <v>0.260855672451682</v>
      </c>
      <c r="C147" s="65">
        <v>0.064594562596808</v>
      </c>
    </row>
    <row r="148">
      <c r="A148" s="26" t="s">
        <v>463</v>
      </c>
      <c r="B148" s="65">
        <v>0.260855672451682</v>
      </c>
      <c r="C148" s="65">
        <v>0.064594562596808</v>
      </c>
    </row>
    <row r="149">
      <c r="A149" s="26" t="s">
        <v>465</v>
      </c>
      <c r="B149" s="65">
        <v>0.168894555736661</v>
      </c>
      <c r="C149" s="65">
        <v>0.074248738216349</v>
      </c>
    </row>
    <row r="150">
      <c r="A150" s="26" t="s">
        <v>466</v>
      </c>
      <c r="B150" s="65">
        <v>0.168894555736661</v>
      </c>
      <c r="C150" s="65">
        <v>0.074248738216349</v>
      </c>
    </row>
    <row r="151">
      <c r="A151" s="26" t="s">
        <v>468</v>
      </c>
      <c r="B151" s="65">
        <v>0.301960297911714</v>
      </c>
      <c r="C151" s="65">
        <v>0.104695564031272</v>
      </c>
    </row>
    <row r="152">
      <c r="A152" s="26" t="s">
        <v>469</v>
      </c>
      <c r="B152" s="65">
        <v>0.301960297911714</v>
      </c>
      <c r="C152" s="65">
        <v>0.104695564031272</v>
      </c>
    </row>
    <row r="153">
      <c r="A153" s="26" t="s">
        <v>470</v>
      </c>
      <c r="B153" s="65">
        <v>0.166586573467307</v>
      </c>
      <c r="C153" s="65">
        <v>0.07394240570846</v>
      </c>
    </row>
    <row r="154">
      <c r="A154" s="26" t="s">
        <v>471</v>
      </c>
      <c r="B154" s="65">
        <v>0.166586573467307</v>
      </c>
      <c r="C154" s="65">
        <v>0.07394240570846</v>
      </c>
    </row>
    <row r="155">
      <c r="A155" s="26" t="s">
        <v>473</v>
      </c>
      <c r="B155" s="65">
        <v>0.256839548066612</v>
      </c>
      <c r="C155" s="65">
        <v>0.10721481512334</v>
      </c>
    </row>
    <row r="156">
      <c r="A156" s="26" t="s">
        <v>475</v>
      </c>
      <c r="B156" s="65">
        <v>0.256839548066612</v>
      </c>
      <c r="C156" s="65">
        <v>0.10721481512334</v>
      </c>
    </row>
    <row r="157">
      <c r="A157" s="26" t="s">
        <v>476</v>
      </c>
      <c r="B157" s="65">
        <v>0.27935606060606</v>
      </c>
      <c r="C157" s="65">
        <v>0.023730158730158</v>
      </c>
    </row>
    <row r="158">
      <c r="A158" s="26" t="s">
        <v>477</v>
      </c>
      <c r="B158" s="65">
        <v>0.287683982683982</v>
      </c>
      <c r="C158" s="65">
        <v>0.035509149940968</v>
      </c>
    </row>
    <row r="159">
      <c r="A159" s="26" t="s">
        <v>479</v>
      </c>
      <c r="B159" s="65">
        <v>0.204599617554163</v>
      </c>
      <c r="C159" s="65">
        <v>0.051609062702397</v>
      </c>
    </row>
    <row r="160">
      <c r="A160" s="26" t="s">
        <v>480</v>
      </c>
      <c r="B160" s="65">
        <v>0.228593792571065</v>
      </c>
      <c r="C160" s="65">
        <v>0.05023981993514</v>
      </c>
    </row>
    <row r="161">
      <c r="A161" s="26" t="s">
        <v>481</v>
      </c>
      <c r="B161" s="65">
        <v>0.166834519248312</v>
      </c>
      <c r="C161" s="65">
        <v>0.027015143222039</v>
      </c>
    </row>
    <row r="162">
      <c r="A162" s="26" t="s">
        <v>482</v>
      </c>
      <c r="B162" s="65">
        <v>0.142357234081372</v>
      </c>
      <c r="C162" s="65">
        <v>0.033999601930636</v>
      </c>
    </row>
    <row r="163">
      <c r="A163" s="26" t="s">
        <v>484</v>
      </c>
      <c r="B163" s="65">
        <v>0.291233804509666</v>
      </c>
      <c r="C163" s="65">
        <v>0.086344087920934</v>
      </c>
    </row>
    <row r="164">
      <c r="A164" s="26" t="s">
        <v>485</v>
      </c>
      <c r="B164" s="65">
        <v>0.282822987995401</v>
      </c>
      <c r="C164" s="65">
        <v>0.086184423883074</v>
      </c>
    </row>
    <row r="165">
      <c r="A165" s="26" t="s">
        <v>486</v>
      </c>
      <c r="B165" s="65">
        <v>0.225301824803071</v>
      </c>
      <c r="C165" s="65">
        <v>0.035708348177176</v>
      </c>
    </row>
    <row r="166">
      <c r="A166" s="26" t="s">
        <v>488</v>
      </c>
      <c r="B166" s="65">
        <v>0.188914618216363</v>
      </c>
      <c r="C166" s="65">
        <v>0.04103036060642</v>
      </c>
    </row>
    <row r="167">
      <c r="A167" s="26" t="s">
        <v>489</v>
      </c>
      <c r="B167" s="65">
        <v>0.210123030197843</v>
      </c>
      <c r="C167" s="65">
        <v>0.067980636247158</v>
      </c>
    </row>
    <row r="168">
      <c r="A168" s="26" t="s">
        <v>491</v>
      </c>
      <c r="B168" s="65">
        <v>0.224203242033665</v>
      </c>
      <c r="C168" s="65">
        <v>0.072861480286592</v>
      </c>
    </row>
    <row r="169">
      <c r="A169" s="26" t="s">
        <v>492</v>
      </c>
      <c r="B169" s="65">
        <v>0.177964141122035</v>
      </c>
      <c r="C169" s="65">
        <v>0.029059829059829</v>
      </c>
    </row>
    <row r="170">
      <c r="A170" s="26" t="s">
        <v>493</v>
      </c>
      <c r="B170" s="65">
        <v>0.094148833622517</v>
      </c>
      <c r="C170" s="65">
        <v>0.032427221900906</v>
      </c>
    </row>
    <row r="171">
      <c r="A171" s="26" t="s">
        <v>495</v>
      </c>
      <c r="B171" s="65">
        <v>0.30437108999862</v>
      </c>
      <c r="C171" s="65">
        <v>0.094054192266472</v>
      </c>
    </row>
    <row r="172">
      <c r="A172" s="26" t="s">
        <v>496</v>
      </c>
      <c r="B172" s="65">
        <v>0.259918264371705</v>
      </c>
      <c r="C172" s="65">
        <v>0.081314029301569</v>
      </c>
    </row>
    <row r="173">
      <c r="A173" s="26" t="s">
        <v>498</v>
      </c>
      <c r="B173" s="65">
        <v>0.205045871559633</v>
      </c>
      <c r="C173" s="65">
        <v>0.04068370467453</v>
      </c>
    </row>
    <row r="174">
      <c r="A174" s="26" t="s">
        <v>499</v>
      </c>
      <c r="B174" s="65">
        <v>0.151769331585845</v>
      </c>
      <c r="C174" s="65">
        <v>0.056405635648754</v>
      </c>
    </row>
    <row r="175">
      <c r="A175" s="26" t="s">
        <v>500</v>
      </c>
      <c r="B175" s="65">
        <v>0.262481905199795</v>
      </c>
      <c r="C175" s="65">
        <v>0.098030413844022</v>
      </c>
    </row>
    <row r="176">
      <c r="A176" s="26" t="s">
        <v>502</v>
      </c>
      <c r="B176" s="65">
        <v>0.257553455718593</v>
      </c>
      <c r="C176" s="65">
        <v>0.092447545165646</v>
      </c>
    </row>
    <row r="177">
      <c r="A177" s="26" t="s">
        <v>503</v>
      </c>
      <c r="B177" s="65">
        <v>0.254334415584415</v>
      </c>
      <c r="C177" s="65">
        <v>0.02702922077922</v>
      </c>
    </row>
    <row r="178">
      <c r="A178" s="26" t="s">
        <v>504</v>
      </c>
      <c r="B178" s="65">
        <v>0.272002164502164</v>
      </c>
      <c r="C178" s="65">
        <v>0.027413583890856</v>
      </c>
    </row>
    <row r="179">
      <c r="A179" s="26" t="s">
        <v>506</v>
      </c>
      <c r="B179" s="65">
        <v>0.21818215875034</v>
      </c>
      <c r="C179" s="65">
        <v>0.050610362758547</v>
      </c>
    </row>
    <row r="180">
      <c r="A180" s="26" t="s">
        <v>507</v>
      </c>
      <c r="B180" s="65">
        <v>0.216928689996871</v>
      </c>
      <c r="C180" s="65">
        <v>0.046913827373907</v>
      </c>
    </row>
    <row r="181">
      <c r="A181" s="26" t="s">
        <v>508</v>
      </c>
      <c r="B181" s="65">
        <v>0.122864440795475</v>
      </c>
      <c r="C181" s="65">
        <v>0.035573685573685</v>
      </c>
    </row>
    <row r="182">
      <c r="A182" s="26" t="s">
        <v>509</v>
      </c>
      <c r="B182" s="65">
        <v>0.14671592775041</v>
      </c>
      <c r="C182" s="65">
        <v>0.034904214559386</v>
      </c>
    </row>
    <row r="183">
      <c r="A183" s="26" t="s">
        <v>511</v>
      </c>
      <c r="B183" s="65">
        <v>0.263581514271169</v>
      </c>
      <c r="C183" s="65">
        <v>0.069369403132741</v>
      </c>
    </row>
    <row r="184">
      <c r="A184" s="26" t="s">
        <v>512</v>
      </c>
      <c r="B184" s="65">
        <v>0.288908562701666</v>
      </c>
      <c r="C184" s="65">
        <v>0.084957614270925</v>
      </c>
    </row>
    <row r="185">
      <c r="A185" s="26" t="s">
        <v>513</v>
      </c>
      <c r="B185" s="65">
        <v>0.215217907611922</v>
      </c>
      <c r="C185" s="65">
        <v>0.032943614988502</v>
      </c>
    </row>
    <row r="186">
      <c r="A186" s="26" t="s">
        <v>514</v>
      </c>
      <c r="B186" s="65">
        <v>0.232707912757788</v>
      </c>
      <c r="C186" s="65">
        <v>0.055029093931837</v>
      </c>
    </row>
    <row r="187">
      <c r="A187" s="26" t="s">
        <v>515</v>
      </c>
      <c r="B187" s="65">
        <v>0.207831016309819</v>
      </c>
      <c r="C187" s="65">
        <v>0.066627400995505</v>
      </c>
    </row>
    <row r="188">
      <c r="A188" s="26" t="s">
        <v>517</v>
      </c>
      <c r="B188" s="65">
        <v>0.220883176120083</v>
      </c>
      <c r="C188" s="65">
        <v>0.072449140424435</v>
      </c>
    </row>
    <row r="189">
      <c r="A189" s="26" t="s">
        <v>518</v>
      </c>
      <c r="B189" s="65">
        <v>0.135916714864083</v>
      </c>
      <c r="C189" s="65">
        <v>0.044418739155581</v>
      </c>
    </row>
    <row r="190">
      <c r="A190" s="26" t="s">
        <v>519</v>
      </c>
      <c r="B190" s="65">
        <v>0.133487565066512</v>
      </c>
      <c r="C190" s="65">
        <v>0.042699203630377</v>
      </c>
    </row>
    <row r="191">
      <c r="A191" s="26" t="s">
        <v>521</v>
      </c>
      <c r="B191" s="65">
        <v>0.281831910779279</v>
      </c>
      <c r="C191" s="65">
        <v>0.090241311223865</v>
      </c>
    </row>
    <row r="192">
      <c r="A192" s="26" t="s">
        <v>522</v>
      </c>
      <c r="B192" s="65">
        <v>0.322560076001371</v>
      </c>
      <c r="C192" s="65">
        <v>0.105979946885608</v>
      </c>
    </row>
    <row r="193">
      <c r="A193" s="26" t="s">
        <v>523</v>
      </c>
      <c r="B193" s="65">
        <v>0.13610747051114</v>
      </c>
      <c r="C193" s="65">
        <v>0.042627785058977</v>
      </c>
    </row>
    <row r="194">
      <c r="A194" s="26" t="s">
        <v>525</v>
      </c>
      <c r="B194" s="65">
        <v>0.132273918741808</v>
      </c>
      <c r="C194" s="65">
        <v>0.047724625018202</v>
      </c>
    </row>
    <row r="195">
      <c r="A195" s="26" t="s">
        <v>526</v>
      </c>
      <c r="B195" s="65">
        <v>0.257389386861863</v>
      </c>
      <c r="C195" s="65">
        <v>0.087062709479475</v>
      </c>
    </row>
    <row r="196">
      <c r="A196" s="26" t="s">
        <v>527</v>
      </c>
      <c r="B196" s="65">
        <v>0.252542284423018</v>
      </c>
      <c r="C196" s="65">
        <v>0.099474422437424</v>
      </c>
    </row>
    <row r="197">
      <c r="A197" s="26" t="s">
        <v>529</v>
      </c>
      <c r="B197" s="65">
        <v>0.250795454545454</v>
      </c>
      <c r="C197" s="65">
        <v>0.030407647907647</v>
      </c>
    </row>
    <row r="198">
      <c r="A198" s="26" t="s">
        <v>530</v>
      </c>
      <c r="B198" s="65">
        <v>0.251177849927849</v>
      </c>
      <c r="C198" s="65">
        <v>0.036004853732126</v>
      </c>
    </row>
    <row r="199">
      <c r="A199" s="26" t="s">
        <v>532</v>
      </c>
      <c r="B199" s="65">
        <v>0.183819778706142</v>
      </c>
      <c r="C199" s="65">
        <v>0.05207667098358</v>
      </c>
    </row>
    <row r="200">
      <c r="A200" s="26" t="s">
        <v>533</v>
      </c>
      <c r="B200" s="65">
        <v>0.194501228866202</v>
      </c>
      <c r="C200" s="65">
        <v>0.04400265704498</v>
      </c>
    </row>
    <row r="201">
      <c r="A201" s="26" t="s">
        <v>534</v>
      </c>
      <c r="B201" s="65">
        <v>0.125176062762269</v>
      </c>
      <c r="C201" s="65">
        <v>0.035763546798029</v>
      </c>
    </row>
    <row r="202">
      <c r="A202" s="26" t="s">
        <v>536</v>
      </c>
      <c r="B202" s="65">
        <v>0.143320561941251</v>
      </c>
      <c r="C202" s="65">
        <v>0.036898376208721</v>
      </c>
    </row>
    <row r="203">
      <c r="A203" s="26" t="s">
        <v>537</v>
      </c>
      <c r="B203" s="65">
        <v>0.278368885265436</v>
      </c>
      <c r="C203" s="65">
        <v>0.068591371143299</v>
      </c>
    </row>
    <row r="204">
      <c r="A204" s="26" t="s">
        <v>538</v>
      </c>
      <c r="B204" s="65">
        <v>0.282467577122749</v>
      </c>
      <c r="C204" s="65">
        <v>0.079106414121104</v>
      </c>
    </row>
    <row r="205">
      <c r="A205" s="26" t="s">
        <v>540</v>
      </c>
      <c r="B205" s="65">
        <v>0.230400190001187</v>
      </c>
      <c r="C205" s="65">
        <v>0.036464394569132</v>
      </c>
    </row>
    <row r="206">
      <c r="A206" s="26" t="s">
        <v>541</v>
      </c>
      <c r="B206" s="65">
        <v>0.230528836638562</v>
      </c>
      <c r="C206" s="65">
        <v>0.049167125476352</v>
      </c>
    </row>
    <row r="207">
      <c r="A207" s="26" t="s">
        <v>543</v>
      </c>
      <c r="B207" s="65">
        <v>0.195585185111369</v>
      </c>
      <c r="C207" s="65">
        <v>0.068670662498668</v>
      </c>
    </row>
    <row r="208">
      <c r="A208" s="26" t="s">
        <v>544</v>
      </c>
      <c r="B208" s="65">
        <v>0.226684751934128</v>
      </c>
      <c r="C208" s="65">
        <v>0.083418106583297</v>
      </c>
    </row>
    <row r="209">
      <c r="A209" s="26" t="s">
        <v>545</v>
      </c>
      <c r="B209" s="65">
        <v>0.135858877964141</v>
      </c>
      <c r="C209" s="65">
        <v>0.041584731058415</v>
      </c>
    </row>
    <row r="210">
      <c r="A210" s="26" t="s">
        <v>546</v>
      </c>
      <c r="B210" s="65">
        <v>0.096385193753614</v>
      </c>
      <c r="C210" s="65">
        <v>0.04249405565195</v>
      </c>
    </row>
    <row r="211">
      <c r="A211" s="26" t="s">
        <v>548</v>
      </c>
      <c r="B211" s="65">
        <v>0.276177016865276</v>
      </c>
      <c r="C211" s="65">
        <v>0.05322079446119</v>
      </c>
    </row>
    <row r="212">
      <c r="A212" s="26" t="s">
        <v>549</v>
      </c>
      <c r="B212" s="65">
        <v>0.250973071013556</v>
      </c>
      <c r="C212" s="65">
        <v>0.085504026189587</v>
      </c>
    </row>
    <row r="213">
      <c r="A213" s="26" t="s">
        <v>550</v>
      </c>
      <c r="B213" s="65">
        <v>0.119839449541284</v>
      </c>
      <c r="C213" s="65">
        <v>0.030810397553516</v>
      </c>
    </row>
    <row r="214">
      <c r="A214" s="26" t="s">
        <v>552</v>
      </c>
      <c r="B214" s="65">
        <v>0.135528615115771</v>
      </c>
      <c r="C214" s="65">
        <v>0.042882627056938</v>
      </c>
    </row>
    <row r="215">
      <c r="A215" s="26" t="s">
        <v>553</v>
      </c>
      <c r="B215" s="65">
        <v>0.243776254326713</v>
      </c>
      <c r="C215" s="65">
        <v>0.071882075811831</v>
      </c>
    </row>
    <row r="216">
      <c r="A216" s="26" t="s">
        <v>554</v>
      </c>
      <c r="B216" s="65">
        <v>0.251302816629314</v>
      </c>
      <c r="C216" s="65">
        <v>0.080626413159148</v>
      </c>
    </row>
    <row r="217">
      <c r="A217" s="26" t="s">
        <v>556</v>
      </c>
      <c r="B217" s="65">
        <v>0.335797914207005</v>
      </c>
      <c r="C217" s="65">
        <v>0.106780851724033</v>
      </c>
    </row>
    <row r="218">
      <c r="A218" s="26" t="s">
        <v>557</v>
      </c>
      <c r="B218" s="65">
        <v>0.335797914207005</v>
      </c>
      <c r="C218" s="65">
        <v>0.106780851724033</v>
      </c>
    </row>
    <row r="219">
      <c r="A219" s="26" t="s">
        <v>558</v>
      </c>
      <c r="B219" s="65">
        <v>0.368754263413354</v>
      </c>
      <c r="C219" s="65">
        <v>0.124264001592835</v>
      </c>
    </row>
    <row r="220">
      <c r="A220" s="26" t="s">
        <v>560</v>
      </c>
      <c r="B220" s="65">
        <v>0.368754263413354</v>
      </c>
      <c r="C220" s="65">
        <v>0.124264001592835</v>
      </c>
    </row>
    <row r="221">
      <c r="A221" s="26" t="s">
        <v>561</v>
      </c>
      <c r="B221" s="65">
        <v>0.444495530012771</v>
      </c>
      <c r="C221" s="65">
        <v>0.207410826721171</v>
      </c>
    </row>
    <row r="222">
      <c r="A222" s="26" t="s">
        <v>562</v>
      </c>
      <c r="B222" s="65">
        <v>0.444495530012771</v>
      </c>
      <c r="C222" s="65">
        <v>0.207410826721171</v>
      </c>
    </row>
    <row r="223">
      <c r="A223" s="26" t="s">
        <v>564</v>
      </c>
      <c r="B223" s="65">
        <v>0.467233277578105</v>
      </c>
      <c r="C223" s="65">
        <v>0.205654961201305</v>
      </c>
    </row>
    <row r="224">
      <c r="A224" s="26" t="s">
        <v>565</v>
      </c>
      <c r="B224" s="65">
        <v>0.467233277578105</v>
      </c>
      <c r="C224" s="65">
        <v>0.205654961201305</v>
      </c>
    </row>
    <row r="225">
      <c r="A225" s="26" t="s">
        <v>566</v>
      </c>
      <c r="B225" s="65">
        <v>0.328963306020662</v>
      </c>
      <c r="C225" s="65">
        <v>0.115448032156261</v>
      </c>
    </row>
    <row r="226">
      <c r="A226" s="26" t="s">
        <v>568</v>
      </c>
      <c r="B226" s="65">
        <v>0.328963306020662</v>
      </c>
      <c r="C226" s="65">
        <v>0.115448032156261</v>
      </c>
    </row>
    <row r="227">
      <c r="A227" s="26" t="s">
        <v>569</v>
      </c>
      <c r="B227" s="65">
        <v>0.350826618657042</v>
      </c>
      <c r="C227" s="65">
        <v>0.119695449072663</v>
      </c>
    </row>
    <row r="228">
      <c r="A228" s="26" t="s">
        <v>570</v>
      </c>
      <c r="B228" s="65">
        <v>0.350826618657042</v>
      </c>
      <c r="C228" s="65">
        <v>0.119695449072663</v>
      </c>
    </row>
    <row r="229">
      <c r="A229" s="26" t="s">
        <v>572</v>
      </c>
      <c r="B229" s="65">
        <v>0.323484994537626</v>
      </c>
      <c r="C229" s="65">
        <v>0.164776833602744</v>
      </c>
    </row>
    <row r="230">
      <c r="A230" s="26" t="s">
        <v>573</v>
      </c>
      <c r="B230" s="65">
        <v>0.323484994537626</v>
      </c>
      <c r="C230" s="65">
        <v>0.164776833602744</v>
      </c>
    </row>
    <row r="231">
      <c r="A231" s="26" t="s">
        <v>575</v>
      </c>
      <c r="B231" s="65">
        <v>0.340219137587558</v>
      </c>
      <c r="C231" s="65">
        <v>0.161722486020877</v>
      </c>
    </row>
    <row r="232">
      <c r="A232" s="26" t="s">
        <v>576</v>
      </c>
      <c r="B232" s="65">
        <v>0.340219137587558</v>
      </c>
      <c r="C232" s="65">
        <v>0.161722486020877</v>
      </c>
    </row>
    <row r="233">
      <c r="A233" s="26" t="s">
        <v>579</v>
      </c>
      <c r="B233" s="65">
        <v>0.424153560506771</v>
      </c>
      <c r="C233" s="65">
        <v>0.263181123158187</v>
      </c>
    </row>
    <row r="234">
      <c r="A234" s="26" t="s">
        <v>580</v>
      </c>
      <c r="B234" s="65">
        <v>0.424153560506771</v>
      </c>
      <c r="C234" s="65">
        <v>0.263181123158187</v>
      </c>
    </row>
    <row r="235">
      <c r="A235" s="26" t="s">
        <v>582</v>
      </c>
      <c r="B235" s="65">
        <v>0.412593700896453</v>
      </c>
      <c r="C235" s="65">
        <v>0.234544994940299</v>
      </c>
    </row>
    <row r="236">
      <c r="A236" s="26" t="s">
        <v>583</v>
      </c>
      <c r="B236" s="65">
        <v>0.412593700896453</v>
      </c>
      <c r="C236" s="65">
        <v>0.234544994940299</v>
      </c>
    </row>
    <row r="237">
      <c r="A237" s="26" t="s">
        <v>584</v>
      </c>
      <c r="B237" s="65">
        <v>0.341596459096459</v>
      </c>
      <c r="C237" s="65">
        <v>0.101487901386226</v>
      </c>
    </row>
    <row r="238">
      <c r="A238" s="26" t="s">
        <v>586</v>
      </c>
      <c r="B238" s="65">
        <v>0.341596459096459</v>
      </c>
      <c r="C238" s="65">
        <v>0.101487901386226</v>
      </c>
    </row>
    <row r="239">
      <c r="A239" s="26" t="s">
        <v>587</v>
      </c>
      <c r="B239" s="65">
        <v>0.357764470378106</v>
      </c>
      <c r="C239" s="65">
        <v>0.119527140522953</v>
      </c>
    </row>
    <row r="240">
      <c r="A240" s="26" t="s">
        <v>588</v>
      </c>
      <c r="B240" s="65">
        <v>0.357764470378106</v>
      </c>
      <c r="C240" s="65">
        <v>0.119527140522953</v>
      </c>
    </row>
    <row r="241">
      <c r="A241" s="26" t="s">
        <v>590</v>
      </c>
      <c r="B241" s="65">
        <v>0.443163656267104</v>
      </c>
      <c r="C241" s="65">
        <v>0.189217959562787</v>
      </c>
    </row>
    <row r="242">
      <c r="A242" s="26" t="s">
        <v>591</v>
      </c>
      <c r="B242" s="65">
        <v>0.443163656267104</v>
      </c>
      <c r="C242" s="65">
        <v>0.189217959562787</v>
      </c>
    </row>
    <row r="243">
      <c r="A243" s="26" t="s">
        <v>592</v>
      </c>
      <c r="B243" s="65">
        <v>0.468245343417757</v>
      </c>
      <c r="C243" s="65">
        <v>0.187616174635497</v>
      </c>
    </row>
    <row r="244">
      <c r="A244" s="26" t="s">
        <v>594</v>
      </c>
      <c r="B244" s="65">
        <v>0.468245343417757</v>
      </c>
      <c r="C244" s="65">
        <v>0.187616174635497</v>
      </c>
    </row>
    <row r="245">
      <c r="A245" s="26" t="s">
        <v>595</v>
      </c>
      <c r="B245" s="65">
        <v>0.358555990974943</v>
      </c>
      <c r="C245" s="65">
        <v>0.124191685288942</v>
      </c>
    </row>
    <row r="246">
      <c r="A246" s="26" t="s">
        <v>596</v>
      </c>
      <c r="B246" s="65">
        <v>0.358555990974943</v>
      </c>
      <c r="C246" s="65">
        <v>0.124191685288942</v>
      </c>
    </row>
    <row r="247">
      <c r="A247" s="26" t="s">
        <v>597</v>
      </c>
      <c r="B247" s="65">
        <v>0.377879975386209</v>
      </c>
      <c r="C247" s="65">
        <v>0.121263168725395</v>
      </c>
    </row>
    <row r="248">
      <c r="A248" s="26" t="s">
        <v>599</v>
      </c>
      <c r="B248" s="65">
        <v>0.377879975386209</v>
      </c>
      <c r="C248" s="65">
        <v>0.121263168725395</v>
      </c>
    </row>
    <row r="249">
      <c r="A249" s="26" t="s">
        <v>600</v>
      </c>
      <c r="B249" s="65">
        <v>0.281996658312447</v>
      </c>
      <c r="C249" s="65">
        <v>0.114075398285924</v>
      </c>
    </row>
    <row r="250">
      <c r="A250" s="26" t="s">
        <v>601</v>
      </c>
      <c r="B250" s="65">
        <v>0.281996658312447</v>
      </c>
      <c r="C250" s="65">
        <v>0.114075398285924</v>
      </c>
    </row>
    <row r="251">
      <c r="A251" s="26" t="s">
        <v>602</v>
      </c>
      <c r="B251" s="65">
        <v>0.32624509992931</v>
      </c>
      <c r="C251" s="65">
        <v>0.136365001064929</v>
      </c>
    </row>
    <row r="252">
      <c r="A252" s="26" t="s">
        <v>604</v>
      </c>
      <c r="B252" s="65">
        <v>0.32624509992931</v>
      </c>
      <c r="C252" s="65">
        <v>0.136365001064929</v>
      </c>
    </row>
    <row r="253">
      <c r="A253" s="26" t="s">
        <v>605</v>
      </c>
      <c r="B253" s="65">
        <v>0.422542595019659</v>
      </c>
      <c r="C253" s="65">
        <v>0.250058580563167</v>
      </c>
    </row>
    <row r="254">
      <c r="A254" s="26" t="s">
        <v>606</v>
      </c>
      <c r="B254" s="65">
        <v>0.422542595019659</v>
      </c>
      <c r="C254" s="65">
        <v>0.250058580563167</v>
      </c>
    </row>
    <row r="255">
      <c r="A255" s="26" t="s">
        <v>607</v>
      </c>
      <c r="B255" s="65">
        <v>0.40623998835008</v>
      </c>
      <c r="C255" s="65">
        <v>0.22415330591936</v>
      </c>
    </row>
    <row r="256">
      <c r="A256" s="26" t="s">
        <v>609</v>
      </c>
      <c r="B256" s="65">
        <v>0.40623998835008</v>
      </c>
      <c r="C256" s="65">
        <v>0.22415330591936</v>
      </c>
    </row>
    <row r="257">
      <c r="A257" s="26" t="s">
        <v>610</v>
      </c>
      <c r="B257" s="65">
        <v>0.281390692640692</v>
      </c>
      <c r="C257" s="65">
        <v>0.080144237076055</v>
      </c>
    </row>
    <row r="258">
      <c r="A258" s="26" t="s">
        <v>611</v>
      </c>
      <c r="B258" s="65">
        <v>0.268463203463203</v>
      </c>
      <c r="C258" s="65">
        <v>0.082980453889544</v>
      </c>
    </row>
    <row r="259">
      <c r="A259" s="26" t="s">
        <v>612</v>
      </c>
      <c r="B259" s="65">
        <v>0.289989770330679</v>
      </c>
      <c r="C259" s="65">
        <v>0.098683747062581</v>
      </c>
    </row>
    <row r="260">
      <c r="A260" s="26" t="s">
        <v>614</v>
      </c>
      <c r="B260" s="65">
        <v>0.269100911714548</v>
      </c>
      <c r="C260" s="65">
        <v>0.090895953129804</v>
      </c>
    </row>
    <row r="261">
      <c r="A261" s="26" t="s">
        <v>615</v>
      </c>
      <c r="B261" s="65">
        <v>0.400758985586571</v>
      </c>
      <c r="C261" s="65">
        <v>0.169948404086335</v>
      </c>
    </row>
    <row r="262">
      <c r="A262" s="26" t="s">
        <v>616</v>
      </c>
      <c r="B262" s="65">
        <v>0.433085203430031</v>
      </c>
      <c r="C262" s="65">
        <v>0.181783184886633</v>
      </c>
    </row>
    <row r="263">
      <c r="A263" s="26" t="s">
        <v>618</v>
      </c>
      <c r="B263" s="65">
        <v>0.40272445306928</v>
      </c>
      <c r="C263" s="65">
        <v>0.154118184027439</v>
      </c>
    </row>
    <row r="264">
      <c r="A264" s="26" t="s">
        <v>619</v>
      </c>
      <c r="B264" s="65">
        <v>0.442726443416098</v>
      </c>
      <c r="C264" s="65">
        <v>0.182445294169432</v>
      </c>
    </row>
    <row r="265">
      <c r="A265" s="26" t="s">
        <v>620</v>
      </c>
      <c r="B265" s="65">
        <v>0.289146182163638</v>
      </c>
      <c r="C265" s="65">
        <v>0.081170090646399</v>
      </c>
    </row>
    <row r="266">
      <c r="A266" s="26" t="s">
        <v>621</v>
      </c>
      <c r="B266" s="65">
        <v>0.273294937260024</v>
      </c>
      <c r="C266" s="65">
        <v>0.084625917169558</v>
      </c>
    </row>
    <row r="267">
      <c r="A267" s="26" t="s">
        <v>623</v>
      </c>
      <c r="B267" s="65">
        <v>0.313675047590259</v>
      </c>
      <c r="C267" s="65">
        <v>0.095188345874131</v>
      </c>
    </row>
    <row r="268">
      <c r="A268" s="26" t="s">
        <v>624</v>
      </c>
      <c r="B268" s="65">
        <v>0.304307773135703</v>
      </c>
      <c r="C268" s="65">
        <v>0.098992090145784</v>
      </c>
    </row>
    <row r="269">
      <c r="A269" s="26" t="s">
        <v>625</v>
      </c>
      <c r="B269" s="65">
        <v>0.26823468928732</v>
      </c>
      <c r="C269" s="65">
        <v>0.107937676358728</v>
      </c>
    </row>
    <row r="270">
      <c r="A270" s="26" t="s">
        <v>626</v>
      </c>
      <c r="B270" s="65">
        <v>0.305070368228262</v>
      </c>
      <c r="C270" s="65">
        <v>0.141568170920397</v>
      </c>
    </row>
    <row r="271">
      <c r="A271" s="26" t="s">
        <v>627</v>
      </c>
      <c r="B271" s="65">
        <v>0.288226977700661</v>
      </c>
      <c r="C271" s="65">
        <v>0.115896204560172</v>
      </c>
    </row>
    <row r="272">
      <c r="A272" s="26" t="s">
        <v>629</v>
      </c>
      <c r="B272" s="65">
        <v>0.331226375963218</v>
      </c>
      <c r="C272" s="65">
        <v>0.158116912195264</v>
      </c>
    </row>
    <row r="273">
      <c r="A273" s="26" t="s">
        <v>630</v>
      </c>
      <c r="B273" s="65">
        <v>0.359223460026212</v>
      </c>
      <c r="C273" s="65">
        <v>0.199810688801514</v>
      </c>
    </row>
    <row r="274">
      <c r="A274" s="26" t="s">
        <v>631</v>
      </c>
      <c r="B274" s="65">
        <v>0.373449104412407</v>
      </c>
      <c r="C274" s="65">
        <v>0.220715013834279</v>
      </c>
    </row>
    <row r="275">
      <c r="A275" s="26" t="s">
        <v>632</v>
      </c>
      <c r="B275" s="65">
        <v>0.345332750837338</v>
      </c>
      <c r="C275" s="65">
        <v>0.1761675315001</v>
      </c>
    </row>
    <row r="276">
      <c r="A276" s="26" t="s">
        <v>633</v>
      </c>
      <c r="B276" s="65">
        <v>0.368287230099156</v>
      </c>
      <c r="C276" s="65">
        <v>0.200501982726753</v>
      </c>
    </row>
    <row r="277">
      <c r="A277" s="26" t="s">
        <v>634</v>
      </c>
      <c r="B277" s="65">
        <v>0.35336284927194</v>
      </c>
      <c r="C277" s="65">
        <v>0.117585432244523</v>
      </c>
    </row>
    <row r="278">
      <c r="A278" s="26" t="s">
        <v>635</v>
      </c>
      <c r="B278" s="65">
        <v>0.33967056932966</v>
      </c>
      <c r="C278" s="65">
        <v>0.104366984026074</v>
      </c>
    </row>
    <row r="279">
      <c r="A279" s="26" t="s">
        <v>636</v>
      </c>
      <c r="B279" s="65">
        <v>0.330618005731642</v>
      </c>
      <c r="C279" s="65">
        <v>0.115391988980153</v>
      </c>
    </row>
    <row r="280">
      <c r="A280" s="26" t="s">
        <v>638</v>
      </c>
      <c r="B280" s="65">
        <v>0.338732214754942</v>
      </c>
      <c r="C280" s="65">
        <v>0.114452870342435</v>
      </c>
    </row>
    <row r="281">
      <c r="A281" s="26" t="s">
        <v>640</v>
      </c>
      <c r="B281" s="65">
        <v>0.420518153621601</v>
      </c>
      <c r="C281" s="65">
        <v>0.171748404851853</v>
      </c>
    </row>
    <row r="282">
      <c r="A282" s="26" t="s">
        <v>641</v>
      </c>
      <c r="B282" s="65">
        <v>0.41839627805145</v>
      </c>
      <c r="C282" s="65">
        <v>0.16654983586018</v>
      </c>
    </row>
    <row r="283">
      <c r="A283" s="26" t="s">
        <v>642</v>
      </c>
      <c r="B283" s="65">
        <v>0.406718913270637</v>
      </c>
      <c r="C283" s="65">
        <v>0.156259674001747</v>
      </c>
    </row>
    <row r="284">
      <c r="A284" s="26" t="s">
        <v>643</v>
      </c>
      <c r="B284" s="65">
        <v>0.437654707999535</v>
      </c>
      <c r="C284" s="65">
        <v>0.172809031709426</v>
      </c>
    </row>
    <row r="285">
      <c r="A285" s="26" t="s">
        <v>645</v>
      </c>
      <c r="B285" s="65">
        <v>0.334123025768911</v>
      </c>
      <c r="C285" s="65">
        <v>0.113145707160669</v>
      </c>
    </row>
    <row r="286">
      <c r="A286" s="26" t="s">
        <v>646</v>
      </c>
      <c r="B286" s="65">
        <v>0.336021058464948</v>
      </c>
      <c r="C286" s="65">
        <v>0.111918976008751</v>
      </c>
    </row>
    <row r="287">
      <c r="A287" s="26" t="s">
        <v>647</v>
      </c>
      <c r="B287" s="65">
        <v>0.334976231859024</v>
      </c>
      <c r="C287" s="65">
        <v>0.107054918716168</v>
      </c>
    </row>
    <row r="288">
      <c r="A288" s="26" t="s">
        <v>649</v>
      </c>
      <c r="B288" s="65">
        <v>0.328147164556142</v>
      </c>
      <c r="C288" s="65">
        <v>0.114260688269744</v>
      </c>
    </row>
    <row r="289">
      <c r="A289" s="26" t="s">
        <v>650</v>
      </c>
      <c r="B289" s="65">
        <v>0.282141250562303</v>
      </c>
      <c r="C289" s="65">
        <v>0.121891558733664</v>
      </c>
    </row>
    <row r="290">
      <c r="A290" s="26" t="s">
        <v>651</v>
      </c>
      <c r="B290" s="65">
        <v>0.306329927382558</v>
      </c>
      <c r="C290" s="65">
        <v>0.105314658351095</v>
      </c>
    </row>
    <row r="291">
      <c r="A291" s="26" t="s">
        <v>653</v>
      </c>
      <c r="B291" s="65">
        <v>0.301659451659451</v>
      </c>
      <c r="C291" s="65">
        <v>0.125813469032092</v>
      </c>
    </row>
    <row r="292">
      <c r="A292" s="26" t="s">
        <v>654</v>
      </c>
      <c r="B292" s="65">
        <v>0.329326521431784</v>
      </c>
      <c r="C292" s="65">
        <v>0.139962004733378</v>
      </c>
    </row>
    <row r="293">
      <c r="A293" s="26" t="s">
        <v>655</v>
      </c>
      <c r="B293" s="65">
        <v>0.432792704237658</v>
      </c>
      <c r="C293" s="65">
        <v>0.249164482306684</v>
      </c>
    </row>
    <row r="294">
      <c r="A294" s="26" t="s">
        <v>657</v>
      </c>
      <c r="B294" s="65">
        <v>0.399268239405854</v>
      </c>
      <c r="C294" s="65">
        <v>0.214675423964414</v>
      </c>
    </row>
    <row r="295">
      <c r="A295" s="26" t="s">
        <v>658</v>
      </c>
      <c r="B295" s="65">
        <v>0.382691429365741</v>
      </c>
      <c r="C295" s="65">
        <v>0.202876769599651</v>
      </c>
    </row>
    <row r="296">
      <c r="A296" s="26" t="s">
        <v>659</v>
      </c>
      <c r="B296" s="65">
        <v>0.398012232415902</v>
      </c>
      <c r="C296" s="65">
        <v>0.194040153271804</v>
      </c>
    </row>
    <row r="297">
      <c r="A297" s="26" t="s">
        <v>661</v>
      </c>
      <c r="B297" s="65">
        <v>0.273207726616817</v>
      </c>
      <c r="C297" s="65">
        <v>0.087904027790391</v>
      </c>
    </row>
    <row r="298">
      <c r="A298" s="26" t="s">
        <v>662</v>
      </c>
      <c r="B298" s="65">
        <v>0.331645021645021</v>
      </c>
      <c r="C298" s="65">
        <v>0.082184835366653</v>
      </c>
    </row>
    <row r="299">
      <c r="A299" s="26" t="s">
        <v>664</v>
      </c>
      <c r="B299" s="65">
        <v>0.285368455816316</v>
      </c>
      <c r="C299" s="65">
        <v>0.098018587944354</v>
      </c>
    </row>
    <row r="300">
      <c r="A300" s="26" t="s">
        <v>665</v>
      </c>
      <c r="B300" s="65">
        <v>0.275453485908031</v>
      </c>
      <c r="C300" s="65">
        <v>0.101756735403477</v>
      </c>
    </row>
    <row r="301">
      <c r="A301" s="26" t="s">
        <v>667</v>
      </c>
      <c r="B301" s="65">
        <v>0.410279146141215</v>
      </c>
      <c r="C301" s="65">
        <v>0.170525502594468</v>
      </c>
    </row>
    <row r="302">
      <c r="A302" s="26" t="s">
        <v>668</v>
      </c>
      <c r="B302" s="65">
        <v>0.300966976829045</v>
      </c>
      <c r="C302" s="65">
        <v>0.11808296428986</v>
      </c>
    </row>
    <row r="303">
      <c r="A303" s="26" t="s">
        <v>670</v>
      </c>
      <c r="B303" s="65">
        <v>0.421437859713721</v>
      </c>
      <c r="C303" s="65">
        <v>0.167432658026765</v>
      </c>
    </row>
    <row r="304">
      <c r="A304" s="26" t="s">
        <v>671</v>
      </c>
      <c r="B304" s="65">
        <v>0.408299172092275</v>
      </c>
      <c r="C304" s="65">
        <v>0.155002687193356</v>
      </c>
    </row>
    <row r="305">
      <c r="A305" s="26" t="s">
        <v>673</v>
      </c>
      <c r="B305" s="65">
        <v>0.309072556703479</v>
      </c>
      <c r="C305" s="65">
        <v>0.126335316110877</v>
      </c>
    </row>
    <row r="306">
      <c r="A306" s="26" t="s">
        <v>675</v>
      </c>
      <c r="B306" s="65">
        <v>0.247737798361239</v>
      </c>
      <c r="C306" s="65">
        <v>0.046279323336679</v>
      </c>
    </row>
    <row r="307">
      <c r="A307" s="26" t="s">
        <v>677</v>
      </c>
      <c r="B307" s="65">
        <v>0.334191148280923</v>
      </c>
      <c r="C307" s="65">
        <v>0.120402456246669</v>
      </c>
    </row>
    <row r="308">
      <c r="A308" s="26" t="s">
        <v>679</v>
      </c>
      <c r="B308" s="65">
        <v>0.281202297287085</v>
      </c>
      <c r="C308" s="65">
        <v>0.076900327655019</v>
      </c>
    </row>
    <row r="309">
      <c r="A309" s="26" t="s">
        <v>681</v>
      </c>
      <c r="B309" s="65">
        <v>0.243146327356853</v>
      </c>
      <c r="C309" s="65">
        <v>0.121699645383855</v>
      </c>
    </row>
    <row r="310">
      <c r="A310" s="26" t="s">
        <v>682</v>
      </c>
      <c r="B310" s="65">
        <v>0.235135916714864</v>
      </c>
      <c r="C310" s="65">
        <v>0.106860391070917</v>
      </c>
    </row>
    <row r="311">
      <c r="A311" s="26" t="s">
        <v>684</v>
      </c>
      <c r="B311" s="65">
        <v>0.292752434250409</v>
      </c>
      <c r="C311" s="65">
        <v>0.130128237510947</v>
      </c>
    </row>
    <row r="312">
      <c r="A312" s="26" t="s">
        <v>685</v>
      </c>
      <c r="B312" s="65">
        <v>0.346771941508783</v>
      </c>
      <c r="C312" s="65">
        <v>0.154839948980157</v>
      </c>
    </row>
    <row r="313">
      <c r="A313" s="26" t="s">
        <v>687</v>
      </c>
      <c r="B313" s="65">
        <v>0.377877894276976</v>
      </c>
      <c r="C313" s="65">
        <v>0.209937017620503</v>
      </c>
    </row>
    <row r="314">
      <c r="A314" s="26" t="s">
        <v>689</v>
      </c>
      <c r="B314" s="65">
        <v>0.332459589340323</v>
      </c>
      <c r="C314" s="65">
        <v>0.147304135721566</v>
      </c>
    </row>
    <row r="315">
      <c r="A315" s="26" t="s">
        <v>690</v>
      </c>
      <c r="B315" s="65">
        <v>0.375262950606987</v>
      </c>
      <c r="C315" s="65">
        <v>0.201705858451676</v>
      </c>
    </row>
    <row r="316">
      <c r="A316" s="26" t="s">
        <v>691</v>
      </c>
      <c r="B316" s="65">
        <v>0.355832406635158</v>
      </c>
      <c r="C316" s="65">
        <v>0.178156959518265</v>
      </c>
    </row>
    <row r="317">
      <c r="A317" s="26" t="s">
        <v>693</v>
      </c>
      <c r="B317" s="65">
        <v>0.359881444313262</v>
      </c>
      <c r="C317" s="65">
        <v>0.173578365363722</v>
      </c>
    </row>
    <row r="318">
      <c r="A318" s="26" t="s">
        <v>695</v>
      </c>
      <c r="B318" s="65">
        <v>0.359881444313262</v>
      </c>
      <c r="C318" s="65">
        <v>0.173578365363722</v>
      </c>
    </row>
    <row r="319">
      <c r="A319" s="26" t="s">
        <v>697</v>
      </c>
      <c r="B319" s="65">
        <v>0.374750823671278</v>
      </c>
      <c r="C319" s="65">
        <v>0.166966991425471</v>
      </c>
    </row>
    <row r="320">
      <c r="A320" s="26" t="s">
        <v>698</v>
      </c>
      <c r="B320" s="65">
        <v>0.374750823671278</v>
      </c>
      <c r="C320" s="65">
        <v>0.166966991425471</v>
      </c>
    </row>
    <row r="321">
      <c r="A321" s="26" t="s">
        <v>700</v>
      </c>
      <c r="B321" s="65">
        <v>0.507085800534076</v>
      </c>
      <c r="C321" s="65">
        <v>0.218658218128699</v>
      </c>
    </row>
    <row r="322">
      <c r="A322" s="26" t="s">
        <v>701</v>
      </c>
      <c r="B322" s="65">
        <v>0.507085800534076</v>
      </c>
      <c r="C322" s="65">
        <v>0.218658218128699</v>
      </c>
    </row>
    <row r="323">
      <c r="A323" s="26" t="s">
        <v>703</v>
      </c>
      <c r="B323" s="65">
        <v>0.503220789427686</v>
      </c>
      <c r="C323" s="65">
        <v>0.204553868928731</v>
      </c>
    </row>
    <row r="324">
      <c r="A324" s="26" t="s">
        <v>704</v>
      </c>
      <c r="B324" s="65">
        <v>0.503220789427686</v>
      </c>
      <c r="C324" s="65">
        <v>0.204553868928731</v>
      </c>
    </row>
    <row r="325">
      <c r="A325" s="26" t="s">
        <v>706</v>
      </c>
      <c r="B325" s="65">
        <v>0.315704245878809</v>
      </c>
      <c r="C325" s="65">
        <v>0.176954880563506</v>
      </c>
    </row>
    <row r="326">
      <c r="A326" s="26" t="s">
        <v>707</v>
      </c>
      <c r="B326" s="65">
        <v>0.315704245878809</v>
      </c>
      <c r="C326" s="65">
        <v>0.176954880563506</v>
      </c>
    </row>
    <row r="327">
      <c r="A327" s="26" t="s">
        <v>709</v>
      </c>
      <c r="B327" s="65">
        <v>0.314510704036888</v>
      </c>
      <c r="C327" s="65">
        <v>0.165125054724585</v>
      </c>
    </row>
    <row r="328">
      <c r="A328" s="26" t="s">
        <v>710</v>
      </c>
      <c r="B328" s="65">
        <v>0.314510704036888</v>
      </c>
      <c r="C328" s="65">
        <v>0.165125054724585</v>
      </c>
    </row>
    <row r="329">
      <c r="A329" s="26" t="s">
        <v>712</v>
      </c>
      <c r="B329" s="65">
        <v>0.407992749490725</v>
      </c>
      <c r="C329" s="65">
        <v>0.215943611885055</v>
      </c>
    </row>
    <row r="330">
      <c r="A330" s="26" t="s">
        <v>713</v>
      </c>
      <c r="B330" s="65">
        <v>0.407992749490725</v>
      </c>
      <c r="C330" s="65">
        <v>0.215943611885055</v>
      </c>
    </row>
    <row r="331">
      <c r="A331" s="26" t="s">
        <v>714</v>
      </c>
      <c r="B331" s="65">
        <v>0.391872949362827</v>
      </c>
      <c r="C331" s="65">
        <v>0.199987658436434</v>
      </c>
    </row>
    <row r="332">
      <c r="A332" s="26" t="s">
        <v>716</v>
      </c>
      <c r="B332" s="65">
        <v>0.391872949362827</v>
      </c>
      <c r="C332" s="65">
        <v>0.199987658436434</v>
      </c>
    </row>
    <row r="333">
      <c r="A333" s="26" t="s">
        <v>717</v>
      </c>
      <c r="B333" s="65">
        <v>0.306982594367915</v>
      </c>
      <c r="C333" s="65">
        <v>0.158619275560076</v>
      </c>
    </row>
    <row r="334">
      <c r="A334" s="26" t="s">
        <v>719</v>
      </c>
      <c r="B334" s="65">
        <v>0.306982594367915</v>
      </c>
      <c r="C334" s="65">
        <v>0.158619275560076</v>
      </c>
    </row>
    <row r="335">
      <c r="A335" s="26" t="s">
        <v>720</v>
      </c>
      <c r="B335" s="65">
        <v>0.296457365264704</v>
      </c>
      <c r="C335" s="65">
        <v>0.144126816606374</v>
      </c>
    </row>
    <row r="336">
      <c r="A336" s="26" t="s">
        <v>722</v>
      </c>
      <c r="B336" s="65">
        <v>0.296457365264704</v>
      </c>
      <c r="C336" s="65">
        <v>0.144126816606374</v>
      </c>
    </row>
    <row r="337">
      <c r="A337" s="26" t="s">
        <v>724</v>
      </c>
      <c r="B337" s="65">
        <v>0.37949062301335</v>
      </c>
      <c r="C337" s="65">
        <v>0.191190705910339</v>
      </c>
    </row>
    <row r="338">
      <c r="A338" s="26" t="s">
        <v>725</v>
      </c>
      <c r="B338" s="65">
        <v>0.37949062301335</v>
      </c>
      <c r="C338" s="65">
        <v>0.191190705910339</v>
      </c>
    </row>
    <row r="339">
      <c r="A339" s="26" t="s">
        <v>727</v>
      </c>
      <c r="B339" s="65">
        <v>0.407239036216308</v>
      </c>
      <c r="C339" s="65">
        <v>0.180534800065788</v>
      </c>
    </row>
    <row r="340">
      <c r="A340" s="26" t="s">
        <v>728</v>
      </c>
      <c r="B340" s="65">
        <v>0.407239036216308</v>
      </c>
      <c r="C340" s="65">
        <v>0.180534800065788</v>
      </c>
    </row>
    <row r="341">
      <c r="A341" s="26" t="s">
        <v>729</v>
      </c>
      <c r="B341" s="65">
        <v>0.115095785440613</v>
      </c>
      <c r="C341" s="65">
        <v>0.026764627454282</v>
      </c>
    </row>
    <row r="342">
      <c r="A342" s="26" t="s">
        <v>731</v>
      </c>
      <c r="B342" s="65">
        <v>0.115095785440613</v>
      </c>
      <c r="C342" s="65">
        <v>0.026764627454282</v>
      </c>
    </row>
    <row r="343">
      <c r="A343" s="26" t="s">
        <v>732</v>
      </c>
      <c r="B343" s="65">
        <v>0.138157934020002</v>
      </c>
      <c r="C343" s="65">
        <v>0.036880022914505</v>
      </c>
    </row>
    <row r="344">
      <c r="A344" s="26" t="s">
        <v>733</v>
      </c>
      <c r="B344" s="65">
        <v>0.138157934020002</v>
      </c>
      <c r="C344" s="65">
        <v>0.036880022914505</v>
      </c>
    </row>
    <row r="345">
      <c r="A345" s="26" t="s">
        <v>735</v>
      </c>
      <c r="B345" s="65">
        <v>0.330685731558549</v>
      </c>
      <c r="C345" s="65">
        <v>0.176513598025221</v>
      </c>
    </row>
    <row r="346">
      <c r="A346" s="26" t="s">
        <v>736</v>
      </c>
      <c r="B346" s="65">
        <v>0.330685731558549</v>
      </c>
      <c r="C346" s="65">
        <v>0.176513598025221</v>
      </c>
    </row>
    <row r="347">
      <c r="A347" s="26" t="s">
        <v>737</v>
      </c>
      <c r="B347" s="65">
        <v>0.326098714253327</v>
      </c>
      <c r="C347" s="65">
        <v>0.172311049991847</v>
      </c>
    </row>
    <row r="348">
      <c r="A348" s="26" t="s">
        <v>738</v>
      </c>
      <c r="B348" s="65">
        <v>0.326098714253327</v>
      </c>
      <c r="C348" s="65">
        <v>0.172311049991847</v>
      </c>
    </row>
    <row r="349">
      <c r="A349" s="26" t="s">
        <v>740</v>
      </c>
      <c r="B349" s="65">
        <v>0.410005783689994</v>
      </c>
      <c r="C349" s="65">
        <v>0.236429749402136</v>
      </c>
    </row>
    <row r="350">
      <c r="A350" s="26" t="s">
        <v>741</v>
      </c>
      <c r="B350" s="65">
        <v>0.410005783689994</v>
      </c>
      <c r="C350" s="65">
        <v>0.236429749402136</v>
      </c>
    </row>
    <row r="351">
      <c r="A351" s="26" t="s">
        <v>742</v>
      </c>
      <c r="B351" s="65">
        <v>0.375564853500076</v>
      </c>
      <c r="C351" s="65">
        <v>0.21217810856358</v>
      </c>
    </row>
    <row r="352">
      <c r="A352" s="26" t="s">
        <v>744</v>
      </c>
      <c r="B352" s="65">
        <v>0.375564853500076</v>
      </c>
      <c r="C352" s="65">
        <v>0.21217810856358</v>
      </c>
    </row>
    <row r="353">
      <c r="A353" s="26" t="s">
        <v>745</v>
      </c>
      <c r="B353" s="65">
        <v>0.49202460383653</v>
      </c>
      <c r="C353" s="65">
        <v>0.299049691089626</v>
      </c>
    </row>
    <row r="354">
      <c r="A354" s="26" t="s">
        <v>746</v>
      </c>
      <c r="B354" s="65">
        <v>0.49202460383653</v>
      </c>
      <c r="C354" s="65">
        <v>0.299049691089626</v>
      </c>
    </row>
    <row r="355">
      <c r="A355" s="26" t="s">
        <v>747</v>
      </c>
      <c r="B355" s="65">
        <v>0.474218556672685</v>
      </c>
      <c r="C355" s="65">
        <v>0.27501178944996</v>
      </c>
    </row>
    <row r="356">
      <c r="A356" s="26" t="s">
        <v>748</v>
      </c>
      <c r="B356" s="65">
        <v>0.474218556672685</v>
      </c>
      <c r="C356" s="65">
        <v>0.27501178944996</v>
      </c>
    </row>
    <row r="357">
      <c r="A357" s="26" t="s">
        <v>750</v>
      </c>
      <c r="B357" s="65">
        <v>0.297843532729896</v>
      </c>
      <c r="C357" s="65">
        <v>0.134401167385793</v>
      </c>
    </row>
    <row r="358">
      <c r="A358" s="26" t="s">
        <v>751</v>
      </c>
      <c r="B358" s="65">
        <v>0.338290535222353</v>
      </c>
      <c r="C358" s="65">
        <v>0.110658858001772</v>
      </c>
    </row>
    <row r="359">
      <c r="A359" s="26" t="s">
        <v>752</v>
      </c>
      <c r="B359" s="65">
        <v>0.337100223009313</v>
      </c>
      <c r="C359" s="65">
        <v>0.13692064610279</v>
      </c>
    </row>
    <row r="360">
      <c r="A360" s="26" t="s">
        <v>753</v>
      </c>
      <c r="B360" s="65">
        <v>0.391128126923581</v>
      </c>
      <c r="C360" s="65">
        <v>0.134032488590249</v>
      </c>
    </row>
    <row r="361">
      <c r="A361" s="26" t="s">
        <v>755</v>
      </c>
      <c r="B361" s="65">
        <v>0.426126453367832</v>
      </c>
      <c r="C361" s="65">
        <v>0.169758438225396</v>
      </c>
    </row>
    <row r="362">
      <c r="A362" s="26" t="s">
        <v>756</v>
      </c>
      <c r="B362" s="65">
        <v>0.09719759168035</v>
      </c>
      <c r="C362" s="65">
        <v>0.014442619959861</v>
      </c>
    </row>
    <row r="363">
      <c r="A363" s="26" t="s">
        <v>757</v>
      </c>
      <c r="B363" s="65">
        <v>0.420280281659591</v>
      </c>
      <c r="C363" s="65">
        <v>0.169746638345976</v>
      </c>
    </row>
    <row r="364">
      <c r="A364" s="26" t="s">
        <v>758</v>
      </c>
      <c r="B364" s="65">
        <v>0.114294836708629</v>
      </c>
      <c r="C364" s="65">
        <v>0.021698831181589</v>
      </c>
    </row>
    <row r="365">
      <c r="A365" s="26" t="s">
        <v>760</v>
      </c>
      <c r="B365" s="65">
        <v>0.269295016427186</v>
      </c>
      <c r="C365" s="65">
        <v>0.114409475257355</v>
      </c>
    </row>
    <row r="366">
      <c r="A366" s="26" t="s">
        <v>761</v>
      </c>
      <c r="B366" s="65">
        <v>0.271860032458536</v>
      </c>
      <c r="C366" s="65">
        <v>0.09457276298262</v>
      </c>
    </row>
    <row r="367">
      <c r="A367" s="26" t="s">
        <v>762</v>
      </c>
      <c r="B367" s="65">
        <v>0.298470385253427</v>
      </c>
      <c r="C367" s="65">
        <v>0.120846135811624</v>
      </c>
    </row>
    <row r="368">
      <c r="A368" s="26" t="s">
        <v>763</v>
      </c>
      <c r="B368" s="65">
        <v>0.314928047845753</v>
      </c>
      <c r="C368" s="65">
        <v>0.12414902913656</v>
      </c>
    </row>
    <row r="369">
      <c r="A369" s="26" t="s">
        <v>765</v>
      </c>
      <c r="B369" s="65">
        <v>0.232647469489574</v>
      </c>
      <c r="C369" s="65">
        <v>0.116016799215179</v>
      </c>
    </row>
    <row r="370">
      <c r="A370" s="26" t="s">
        <v>766</v>
      </c>
      <c r="B370" s="65">
        <v>0.171939464044727</v>
      </c>
      <c r="C370" s="65">
        <v>0.071831429928595</v>
      </c>
    </row>
    <row r="371">
      <c r="A371" s="26" t="s">
        <v>767</v>
      </c>
      <c r="B371" s="65">
        <v>0.276084217177334</v>
      </c>
      <c r="C371" s="65">
        <v>0.138731787091672</v>
      </c>
    </row>
    <row r="372">
      <c r="A372" s="26" t="s">
        <v>768</v>
      </c>
      <c r="B372" s="65">
        <v>0.303056749817883</v>
      </c>
      <c r="C372" s="65">
        <v>0.129793698006367</v>
      </c>
    </row>
    <row r="373">
      <c r="A373" s="26" t="s">
        <v>769</v>
      </c>
      <c r="B373" s="65">
        <v>0.347260448521916</v>
      </c>
      <c r="C373" s="65">
        <v>0.169927587702817</v>
      </c>
    </row>
    <row r="374">
      <c r="A374" s="26" t="s">
        <v>770</v>
      </c>
      <c r="B374" s="65">
        <v>0.252967088976263</v>
      </c>
      <c r="C374" s="65">
        <v>0.127691879985457</v>
      </c>
    </row>
    <row r="375">
      <c r="A375" s="26" t="s">
        <v>771</v>
      </c>
      <c r="B375" s="65">
        <v>0.370884632696559</v>
      </c>
      <c r="C375" s="65">
        <v>0.192960103306589</v>
      </c>
    </row>
    <row r="376">
      <c r="A376" s="26" t="s">
        <v>772</v>
      </c>
      <c r="B376" s="65">
        <v>0.38085127156228</v>
      </c>
      <c r="C376" s="65">
        <v>0.198247844630666</v>
      </c>
    </row>
    <row r="377">
      <c r="A377" s="26" t="s">
        <v>773</v>
      </c>
      <c r="B377" s="65">
        <v>0.341367571822117</v>
      </c>
      <c r="C377" s="65">
        <v>0.136765823849978</v>
      </c>
    </row>
    <row r="378">
      <c r="A378" s="26" t="s">
        <v>775</v>
      </c>
      <c r="B378" s="65">
        <v>0.357767447199265</v>
      </c>
      <c r="C378" s="65">
        <v>0.143200345581959</v>
      </c>
    </row>
    <row r="379">
      <c r="A379" s="26" t="s">
        <v>776</v>
      </c>
      <c r="B379" s="65">
        <v>0.358643830916558</v>
      </c>
      <c r="C379" s="65">
        <v>0.14821750980643</v>
      </c>
    </row>
    <row r="380">
      <c r="A380" s="26" t="s">
        <v>777</v>
      </c>
      <c r="B380" s="65">
        <v>0.392445471195471</v>
      </c>
      <c r="C380" s="65">
        <v>0.159230814203716</v>
      </c>
    </row>
    <row r="381">
      <c r="A381" s="26" t="s">
        <v>778</v>
      </c>
      <c r="B381" s="65">
        <v>0.423974722595412</v>
      </c>
      <c r="C381" s="65">
        <v>0.191895029674468</v>
      </c>
    </row>
    <row r="382">
      <c r="A382" s="26" t="s">
        <v>779</v>
      </c>
      <c r="B382" s="65">
        <v>0.412124197641439</v>
      </c>
      <c r="C382" s="65">
        <v>0.178949594466835</v>
      </c>
    </row>
    <row r="383">
      <c r="A383" s="26" t="s">
        <v>780</v>
      </c>
      <c r="B383" s="65">
        <v>0.428677121090914</v>
      </c>
      <c r="C383" s="65">
        <v>0.190711940446247</v>
      </c>
    </row>
    <row r="384">
      <c r="A384" s="26" t="s">
        <v>782</v>
      </c>
      <c r="B384" s="65">
        <v>0.419120279465107</v>
      </c>
      <c r="C384" s="65">
        <v>0.183638254255801</v>
      </c>
    </row>
    <row r="385">
      <c r="A385" s="26" t="s">
        <v>783</v>
      </c>
      <c r="B385" s="65">
        <v>0.299038118988243</v>
      </c>
      <c r="C385" s="65">
        <v>0.13271766536399</v>
      </c>
    </row>
    <row r="386">
      <c r="A386" s="26" t="s">
        <v>784</v>
      </c>
      <c r="B386" s="65">
        <v>0.27768475636306</v>
      </c>
      <c r="C386" s="65">
        <v>0.13419275711108</v>
      </c>
    </row>
    <row r="387">
      <c r="A387" s="26" t="s">
        <v>785</v>
      </c>
      <c r="B387" s="65">
        <v>0.321901595218303</v>
      </c>
      <c r="C387" s="65">
        <v>0.142913812920298</v>
      </c>
    </row>
    <row r="388">
      <c r="A388" s="26" t="s">
        <v>786</v>
      </c>
      <c r="B388" s="65">
        <v>0.305649089065547</v>
      </c>
      <c r="C388" s="65">
        <v>0.134720262271932</v>
      </c>
    </row>
    <row r="389">
      <c r="A389" s="26" t="s">
        <v>787</v>
      </c>
      <c r="B389" s="65">
        <v>0.225991260201786</v>
      </c>
      <c r="C389" s="65">
        <v>0.116412287667348</v>
      </c>
    </row>
    <row r="390">
      <c r="A390" s="26" t="s">
        <v>788</v>
      </c>
      <c r="B390" s="65">
        <v>0.282812801233853</v>
      </c>
      <c r="C390" s="65">
        <v>0.144395751477951</v>
      </c>
    </row>
    <row r="391">
      <c r="A391" s="26" t="s">
        <v>789</v>
      </c>
      <c r="B391" s="65">
        <v>0.295837945230657</v>
      </c>
      <c r="C391" s="65">
        <v>0.156231965864585</v>
      </c>
    </row>
    <row r="392">
      <c r="A392" s="26" t="s">
        <v>790</v>
      </c>
      <c r="B392" s="65">
        <v>0.323402530892409</v>
      </c>
      <c r="C392" s="65">
        <v>0.162130264506456</v>
      </c>
    </row>
    <row r="393">
      <c r="A393" s="26" t="s">
        <v>791</v>
      </c>
      <c r="B393" s="65">
        <v>0.278386585381998</v>
      </c>
      <c r="C393" s="65">
        <v>0.148618907850559</v>
      </c>
    </row>
    <row r="394">
      <c r="A394" s="26" t="s">
        <v>792</v>
      </c>
      <c r="B394" s="65">
        <v>0.364030872287753</v>
      </c>
      <c r="C394" s="65">
        <v>0.203841634919616</v>
      </c>
    </row>
    <row r="395">
      <c r="A395" s="26" t="s">
        <v>794</v>
      </c>
      <c r="B395" s="65">
        <v>0.396096373045914</v>
      </c>
      <c r="C395" s="65">
        <v>0.224681993308793</v>
      </c>
    </row>
    <row r="396">
      <c r="A396" s="26" t="s">
        <v>796</v>
      </c>
      <c r="B396" s="65">
        <v>0.400228619494674</v>
      </c>
      <c r="C396" s="65">
        <v>0.228586118324132</v>
      </c>
    </row>
    <row r="397">
      <c r="A397" s="26" t="s">
        <v>797</v>
      </c>
      <c r="B397" s="65">
        <v>0.339781910009182</v>
      </c>
      <c r="C397" s="65">
        <v>0.057053566117561</v>
      </c>
    </row>
    <row r="398">
      <c r="A398" s="26" t="s">
        <v>798</v>
      </c>
      <c r="B398" s="65">
        <v>0.409090909090909</v>
      </c>
      <c r="C398" s="65">
        <v>0.025</v>
      </c>
    </row>
    <row r="399">
      <c r="A399" s="26" t="s">
        <v>799</v>
      </c>
      <c r="B399" s="65">
        <v>0.366459071231798</v>
      </c>
      <c r="C399" s="65">
        <v>0.068352941623016</v>
      </c>
    </row>
    <row r="400">
      <c r="A400" s="26" t="s">
        <v>800</v>
      </c>
      <c r="B400" s="65">
        <v>0.409090909090909</v>
      </c>
      <c r="C400" s="65">
        <v>0.025</v>
      </c>
    </row>
    <row r="401">
      <c r="A401" s="26" t="s">
        <v>802</v>
      </c>
      <c r="B401" s="65">
        <v>0.093059660645867</v>
      </c>
      <c r="C401" s="65">
        <v>0.010272706783862</v>
      </c>
    </row>
    <row r="402">
      <c r="A402" s="26" t="s">
        <v>803</v>
      </c>
      <c r="B402" s="65">
        <v>0.064367816091954</v>
      </c>
      <c r="C402" s="65">
        <v>0.002298850574712</v>
      </c>
    </row>
    <row r="403">
      <c r="A403" s="26" t="s">
        <v>804</v>
      </c>
      <c r="B403" s="65">
        <v>0.112598563633046</v>
      </c>
      <c r="C403" s="65">
        <v>0.01929674412433</v>
      </c>
    </row>
    <row r="404">
      <c r="A404" s="26" t="s">
        <v>805</v>
      </c>
      <c r="B404" s="65">
        <v>0.066206896551724</v>
      </c>
      <c r="C404" s="65">
        <v>0.003831417624521</v>
      </c>
    </row>
    <row r="405">
      <c r="A405" s="26" t="s">
        <v>806</v>
      </c>
      <c r="B405" s="65">
        <v>0.268459802873767</v>
      </c>
      <c r="C405" s="65">
        <v>0.103541992048666</v>
      </c>
    </row>
    <row r="406">
      <c r="A406" s="26" t="s">
        <v>808</v>
      </c>
      <c r="B406" s="65">
        <v>0.249376558603491</v>
      </c>
      <c r="C406" s="65">
        <v>0.004987531172069</v>
      </c>
    </row>
    <row r="407">
      <c r="A407" s="26" t="s">
        <v>809</v>
      </c>
      <c r="B407" s="65">
        <v>0.319672139996329</v>
      </c>
      <c r="C407" s="65">
        <v>0.133192267967751</v>
      </c>
    </row>
    <row r="408">
      <c r="A408" s="26" t="s">
        <v>810</v>
      </c>
      <c r="B408" s="65">
        <v>0.249376558603491</v>
      </c>
      <c r="C408" s="65">
        <v>0.004987531172069</v>
      </c>
    </row>
    <row r="409">
      <c r="A409" s="26" t="s">
        <v>811</v>
      </c>
      <c r="B409" s="65">
        <v>0.185709027814291</v>
      </c>
      <c r="C409" s="65">
        <v>0.08525487108483</v>
      </c>
    </row>
    <row r="410">
      <c r="A410" s="26" t="s">
        <v>812</v>
      </c>
      <c r="B410" s="65">
        <v>0.032388663967611</v>
      </c>
      <c r="C410" s="65">
        <v>0.016194331983805</v>
      </c>
    </row>
    <row r="411">
      <c r="A411" s="26" t="s">
        <v>814</v>
      </c>
      <c r="B411" s="65">
        <v>0.261104684788895</v>
      </c>
      <c r="C411" s="65">
        <v>0.122412269268663</v>
      </c>
    </row>
    <row r="412">
      <c r="A412" s="26" t="s">
        <v>815</v>
      </c>
      <c r="B412" s="65">
        <v>0.032388663967611</v>
      </c>
      <c r="C412" s="65">
        <v>0.016194331983805</v>
      </c>
    </row>
    <row r="413">
      <c r="A413" s="26" t="s">
        <v>816</v>
      </c>
      <c r="B413" s="65">
        <v>0.275453916623641</v>
      </c>
      <c r="C413" s="65">
        <v>0.142775312098706</v>
      </c>
    </row>
    <row r="414">
      <c r="A414" s="26" t="s">
        <v>817</v>
      </c>
      <c r="B414" s="65">
        <v>0.082568807339449</v>
      </c>
      <c r="C414" s="65">
        <v>0.013761467889908</v>
      </c>
    </row>
    <row r="415">
      <c r="A415" s="26" t="s">
        <v>818</v>
      </c>
      <c r="B415" s="65">
        <v>0.351122463163747</v>
      </c>
      <c r="C415" s="65">
        <v>0.189575573816456</v>
      </c>
    </row>
    <row r="416">
      <c r="A416" s="26" t="s">
        <v>820</v>
      </c>
      <c r="B416" s="65">
        <v>0.082568807339449</v>
      </c>
      <c r="C416" s="65">
        <v>0.013761467889908</v>
      </c>
    </row>
    <row r="417">
      <c r="A417" s="26" t="s">
        <v>821</v>
      </c>
      <c r="B417" s="65">
        <v>0.376455627705627</v>
      </c>
      <c r="C417" s="65">
        <v>0.166641401527765</v>
      </c>
    </row>
    <row r="418">
      <c r="A418" s="26" t="s">
        <v>822</v>
      </c>
      <c r="B418" s="65">
        <v>0.376455627705627</v>
      </c>
      <c r="C418" s="65">
        <v>0.166641401527765</v>
      </c>
    </row>
    <row r="419">
      <c r="A419" s="26" t="s">
        <v>823</v>
      </c>
      <c r="B419" s="65">
        <v>0.385067886658795</v>
      </c>
      <c r="C419" s="65">
        <v>0.175834758675667</v>
      </c>
    </row>
    <row r="420">
      <c r="A420" s="26" t="s">
        <v>824</v>
      </c>
      <c r="B420" s="65">
        <v>0.385067886658795</v>
      </c>
      <c r="C420" s="65">
        <v>0.175834758675667</v>
      </c>
    </row>
    <row r="421">
      <c r="A421" s="26" t="s">
        <v>826</v>
      </c>
      <c r="B421" s="65">
        <v>0.425187009669768</v>
      </c>
      <c r="C421" s="65">
        <v>0.220876913635534</v>
      </c>
    </row>
    <row r="422">
      <c r="A422" s="26" t="s">
        <v>827</v>
      </c>
      <c r="B422" s="65">
        <v>0.425187009669768</v>
      </c>
      <c r="C422" s="65">
        <v>0.220876913635534</v>
      </c>
    </row>
    <row r="423">
      <c r="A423" s="26" t="s">
        <v>828</v>
      </c>
      <c r="B423" s="65">
        <v>0.465729545039889</v>
      </c>
      <c r="C423" s="65">
        <v>0.227222687912343</v>
      </c>
    </row>
    <row r="424">
      <c r="A424" s="26" t="s">
        <v>829</v>
      </c>
      <c r="B424" s="65">
        <v>0.465729545039889</v>
      </c>
      <c r="C424" s="65">
        <v>0.227222687912343</v>
      </c>
    </row>
    <row r="425">
      <c r="A425" s="26" t="s">
        <v>831</v>
      </c>
      <c r="B425" s="65">
        <v>0.345010489648893</v>
      </c>
      <c r="C425" s="65">
        <v>0.157005684811171</v>
      </c>
    </row>
    <row r="426">
      <c r="A426" s="26" t="s">
        <v>832</v>
      </c>
      <c r="B426" s="65">
        <v>0.345010489648893</v>
      </c>
      <c r="C426" s="65">
        <v>0.157005684811171</v>
      </c>
    </row>
    <row r="427">
      <c r="A427" s="26" t="s">
        <v>833</v>
      </c>
      <c r="B427" s="65">
        <v>0.352566538476762</v>
      </c>
      <c r="C427" s="65">
        <v>0.163513434610652</v>
      </c>
    </row>
    <row r="428">
      <c r="A428" s="26" t="s">
        <v>834</v>
      </c>
      <c r="B428" s="65">
        <v>0.352566538476762</v>
      </c>
      <c r="C428" s="65">
        <v>0.163513434610652</v>
      </c>
    </row>
    <row r="429">
      <c r="A429" s="26" t="s">
        <v>835</v>
      </c>
      <c r="B429" s="65">
        <v>0.5296992481203</v>
      </c>
      <c r="C429" s="65">
        <v>0.33095781860964</v>
      </c>
    </row>
    <row r="430">
      <c r="A430" s="26" t="s">
        <v>837</v>
      </c>
      <c r="B430" s="65">
        <v>0.5296992481203</v>
      </c>
      <c r="C430" s="65">
        <v>0.33095781860964</v>
      </c>
    </row>
    <row r="431">
      <c r="A431" s="26" t="s">
        <v>838</v>
      </c>
      <c r="B431" s="65">
        <v>0.558733371891266</v>
      </c>
      <c r="C431" s="65">
        <v>0.322183876428934</v>
      </c>
    </row>
    <row r="432">
      <c r="A432" s="26" t="s">
        <v>839</v>
      </c>
      <c r="B432" s="65">
        <v>0.558733371891266</v>
      </c>
      <c r="C432" s="65">
        <v>0.322183876428934</v>
      </c>
    </row>
    <row r="433">
      <c r="A433" s="26" t="s">
        <v>840</v>
      </c>
      <c r="B433" s="65">
        <v>0.505635648754914</v>
      </c>
      <c r="C433" s="65">
        <v>0.293328600553371</v>
      </c>
    </row>
    <row r="434">
      <c r="A434" s="26" t="s">
        <v>841</v>
      </c>
      <c r="B434" s="65">
        <v>0.505635648754914</v>
      </c>
      <c r="C434" s="65">
        <v>0.293328600553371</v>
      </c>
    </row>
    <row r="435">
      <c r="A435" s="26" t="s">
        <v>842</v>
      </c>
      <c r="B435" s="65">
        <v>0.506542158147662</v>
      </c>
      <c r="C435" s="65">
        <v>0.267785260101773</v>
      </c>
    </row>
    <row r="436">
      <c r="A436" s="26" t="s">
        <v>844</v>
      </c>
      <c r="B436" s="65">
        <v>0.506542158147662</v>
      </c>
      <c r="C436" s="65">
        <v>0.267785260101773</v>
      </c>
    </row>
    <row r="437">
      <c r="A437" s="26" t="s">
        <v>845</v>
      </c>
      <c r="B437" s="65">
        <v>0.402900432900432</v>
      </c>
      <c r="C437" s="65">
        <v>0.162532467532467</v>
      </c>
    </row>
    <row r="438">
      <c r="A438" s="26" t="s">
        <v>846</v>
      </c>
      <c r="B438" s="65">
        <v>0.402900432900432</v>
      </c>
      <c r="C438" s="65">
        <v>0.162532467532467</v>
      </c>
    </row>
    <row r="439">
      <c r="A439" s="26" t="s">
        <v>847</v>
      </c>
      <c r="B439" s="65">
        <v>0.408550603436967</v>
      </c>
      <c r="C439" s="65">
        <v>0.180465434743509</v>
      </c>
    </row>
    <row r="440">
      <c r="A440" s="26" t="s">
        <v>848</v>
      </c>
      <c r="B440" s="65">
        <v>0.408550603436967</v>
      </c>
      <c r="C440" s="65">
        <v>0.180465434743509</v>
      </c>
    </row>
    <row r="441">
      <c r="A441" s="26" t="s">
        <v>849</v>
      </c>
      <c r="B441" s="65">
        <v>0.374750957854406</v>
      </c>
      <c r="C441" s="65">
        <v>0.197441447441447</v>
      </c>
    </row>
    <row r="442">
      <c r="A442" s="26" t="s">
        <v>851</v>
      </c>
      <c r="B442" s="65">
        <v>0.374750957854406</v>
      </c>
      <c r="C442" s="65">
        <v>0.197441447441447</v>
      </c>
    </row>
    <row r="443">
      <c r="A443" s="26" t="s">
        <v>852</v>
      </c>
      <c r="B443" s="65">
        <v>0.447384518419001</v>
      </c>
      <c r="C443" s="65">
        <v>0.209344978138081</v>
      </c>
    </row>
    <row r="444">
      <c r="A444" s="26" t="s">
        <v>853</v>
      </c>
      <c r="B444" s="65">
        <v>0.447384518419001</v>
      </c>
      <c r="C444" s="65">
        <v>0.209344978138081</v>
      </c>
    </row>
    <row r="445">
      <c r="A445" s="26" t="s">
        <v>854</v>
      </c>
      <c r="B445" s="65">
        <v>0.333250207813798</v>
      </c>
      <c r="C445" s="65">
        <v>0.145250510088415</v>
      </c>
    </row>
    <row r="446">
      <c r="A446" s="26" t="s">
        <v>855</v>
      </c>
      <c r="B446" s="65">
        <v>0.333250207813798</v>
      </c>
      <c r="C446" s="65">
        <v>0.145250510088415</v>
      </c>
    </row>
    <row r="447">
      <c r="A447" s="26" t="s">
        <v>856</v>
      </c>
      <c r="B447" s="65">
        <v>0.360086256220919</v>
      </c>
      <c r="C447" s="65">
        <v>0.159167307355659</v>
      </c>
    </row>
    <row r="448">
      <c r="A448" s="26" t="s">
        <v>858</v>
      </c>
      <c r="B448" s="65">
        <v>0.360086256220919</v>
      </c>
      <c r="C448" s="65">
        <v>0.159167307355659</v>
      </c>
    </row>
    <row r="449">
      <c r="A449" s="26" t="s">
        <v>859</v>
      </c>
      <c r="B449" s="65">
        <v>0.503187455819034</v>
      </c>
      <c r="C449" s="65">
        <v>0.309478825268298</v>
      </c>
    </row>
    <row r="450">
      <c r="A450" s="26" t="s">
        <v>860</v>
      </c>
      <c r="B450" s="65">
        <v>0.503187455819034</v>
      </c>
      <c r="C450" s="65">
        <v>0.309478825268298</v>
      </c>
    </row>
    <row r="451">
      <c r="A451" s="26" t="s">
        <v>861</v>
      </c>
      <c r="B451" s="65">
        <v>0.539264828738513</v>
      </c>
      <c r="C451" s="65">
        <v>0.324278420634696</v>
      </c>
    </row>
    <row r="452">
      <c r="A452" s="26" t="s">
        <v>862</v>
      </c>
      <c r="B452" s="65">
        <v>0.539264828738513</v>
      </c>
      <c r="C452" s="65">
        <v>0.324278420634696</v>
      </c>
    </row>
    <row r="453">
      <c r="A453" s="26" t="s">
        <v>864</v>
      </c>
      <c r="B453" s="65">
        <v>0.515394276976845</v>
      </c>
      <c r="C453" s="65">
        <v>0.308457113732343</v>
      </c>
    </row>
    <row r="454">
      <c r="A454" s="26" t="s">
        <v>865</v>
      </c>
      <c r="B454" s="65">
        <v>0.515394276976845</v>
      </c>
      <c r="C454" s="65">
        <v>0.308457113732343</v>
      </c>
    </row>
    <row r="455">
      <c r="A455" s="26" t="s">
        <v>866</v>
      </c>
      <c r="B455" s="65">
        <v>0.541650283966797</v>
      </c>
      <c r="C455" s="65">
        <v>0.304944914921979</v>
      </c>
    </row>
    <row r="456">
      <c r="A456" s="26" t="s">
        <v>867</v>
      </c>
      <c r="B456" s="65">
        <v>0.541650283966797</v>
      </c>
      <c r="C456" s="65">
        <v>0.304944914921979</v>
      </c>
    </row>
    <row r="457">
      <c r="A457" s="26" t="s">
        <v>868</v>
      </c>
      <c r="B457" s="26"/>
      <c r="C457" s="26"/>
    </row>
    <row r="458">
      <c r="A458" s="26" t="s">
        <v>870</v>
      </c>
      <c r="B458" s="26"/>
      <c r="C458" s="26"/>
    </row>
    <row r="459">
      <c r="A459" s="26" t="s">
        <v>871</v>
      </c>
      <c r="B459" s="26"/>
      <c r="C459" s="26"/>
    </row>
    <row r="460">
      <c r="A460" s="26" t="s">
        <v>872</v>
      </c>
      <c r="B460" s="26"/>
      <c r="C460" s="26"/>
    </row>
    <row r="461">
      <c r="A461" s="26" t="s">
        <v>873</v>
      </c>
      <c r="B461" s="26"/>
      <c r="C461" s="26"/>
    </row>
    <row r="462">
      <c r="A462" s="26" t="s">
        <v>874</v>
      </c>
      <c r="B462" s="26"/>
      <c r="C462" s="26"/>
    </row>
    <row r="463">
      <c r="A463" s="26" t="s">
        <v>877</v>
      </c>
      <c r="B463" s="26"/>
      <c r="C463" s="26"/>
    </row>
    <row r="464">
      <c r="A464" s="26" t="s">
        <v>879</v>
      </c>
      <c r="B464" s="26"/>
      <c r="C464" s="26"/>
    </row>
    <row r="465">
      <c r="A465" s="26" t="s">
        <v>880</v>
      </c>
      <c r="B465" s="26"/>
      <c r="C465" s="26"/>
    </row>
    <row r="466">
      <c r="A466" s="26" t="s">
        <v>881</v>
      </c>
      <c r="B466" s="26"/>
      <c r="C466" s="26"/>
    </row>
    <row r="467">
      <c r="A467" s="26" t="s">
        <v>882</v>
      </c>
      <c r="B467" s="26"/>
      <c r="C467" s="26"/>
    </row>
    <row r="468">
      <c r="A468" s="26" t="s">
        <v>883</v>
      </c>
      <c r="B468" s="26"/>
      <c r="C468" s="26"/>
    </row>
    <row r="469">
      <c r="A469" s="26" t="s">
        <v>884</v>
      </c>
      <c r="B469" s="26"/>
      <c r="C469" s="26"/>
    </row>
    <row r="470">
      <c r="A470" s="26" t="s">
        <v>885</v>
      </c>
      <c r="B470" s="26"/>
      <c r="C470" s="26"/>
    </row>
    <row r="471">
      <c r="A471" s="26" t="s">
        <v>887</v>
      </c>
      <c r="B471" s="26"/>
      <c r="C471" s="26"/>
    </row>
    <row r="472">
      <c r="A472" s="26" t="s">
        <v>888</v>
      </c>
      <c r="B472" s="26"/>
      <c r="C472" s="26"/>
    </row>
    <row r="473">
      <c r="A473" s="26" t="s">
        <v>889</v>
      </c>
      <c r="B473" s="26"/>
      <c r="C473" s="26"/>
    </row>
    <row r="474">
      <c r="A474" s="26" t="s">
        <v>890</v>
      </c>
      <c r="B474" s="26"/>
      <c r="C474" s="26"/>
    </row>
    <row r="475">
      <c r="A475" s="26" t="s">
        <v>891</v>
      </c>
      <c r="B475" s="26"/>
      <c r="C475" s="26"/>
    </row>
    <row r="476">
      <c r="A476" s="26" t="s">
        <v>892</v>
      </c>
      <c r="B476" s="26"/>
      <c r="C476" s="26"/>
    </row>
    <row r="477">
      <c r="A477" s="26" t="s">
        <v>894</v>
      </c>
      <c r="B477" s="26"/>
      <c r="C477" s="26"/>
    </row>
    <row r="478">
      <c r="A478" s="26" t="s">
        <v>895</v>
      </c>
      <c r="B478" s="26"/>
      <c r="C478" s="26"/>
    </row>
    <row r="479">
      <c r="A479" s="26" t="s">
        <v>896</v>
      </c>
      <c r="B479" s="26"/>
      <c r="C479" s="26"/>
    </row>
    <row r="480">
      <c r="A480" s="26" t="s">
        <v>897</v>
      </c>
      <c r="B480" s="26"/>
      <c r="C480" s="26"/>
    </row>
    <row r="481">
      <c r="A481" s="26" t="s">
        <v>898</v>
      </c>
      <c r="B481" s="26"/>
      <c r="C481" s="26"/>
    </row>
    <row r="482">
      <c r="A482" s="26" t="s">
        <v>899</v>
      </c>
      <c r="B482" s="26"/>
      <c r="C482" s="26"/>
    </row>
    <row r="483">
      <c r="A483" s="26" t="s">
        <v>900</v>
      </c>
      <c r="B483" s="26"/>
      <c r="C483" s="26"/>
    </row>
    <row r="484">
      <c r="A484" s="26" t="s">
        <v>902</v>
      </c>
      <c r="B484" s="26"/>
      <c r="C484" s="26"/>
    </row>
    <row r="485">
      <c r="A485" s="26" t="s">
        <v>903</v>
      </c>
      <c r="B485" s="26"/>
      <c r="C485" s="26"/>
    </row>
    <row r="486">
      <c r="A486" s="26" t="s">
        <v>904</v>
      </c>
      <c r="B486" s="26"/>
      <c r="C486" s="26"/>
    </row>
    <row r="487">
      <c r="A487" s="26" t="s">
        <v>905</v>
      </c>
      <c r="B487" s="26"/>
      <c r="C487" s="26"/>
    </row>
    <row r="488">
      <c r="A488" s="26" t="s">
        <v>906</v>
      </c>
      <c r="B488" s="26"/>
      <c r="C488" s="26"/>
    </row>
    <row r="489">
      <c r="A489" s="26" t="s">
        <v>907</v>
      </c>
      <c r="B489" s="26"/>
      <c r="C489" s="26"/>
    </row>
    <row r="490">
      <c r="A490" s="26" t="s">
        <v>909</v>
      </c>
      <c r="B490" s="26"/>
      <c r="C490" s="26"/>
    </row>
    <row r="491">
      <c r="A491" s="26" t="s">
        <v>910</v>
      </c>
      <c r="B491" s="26"/>
      <c r="C491" s="26"/>
    </row>
    <row r="492">
      <c r="A492" s="26" t="s">
        <v>911</v>
      </c>
      <c r="B492" s="26"/>
      <c r="C492" s="26"/>
    </row>
    <row r="493">
      <c r="A493" s="26" t="s">
        <v>912</v>
      </c>
      <c r="B493" s="26"/>
      <c r="C493" s="26"/>
    </row>
    <row r="494">
      <c r="A494" s="26" t="s">
        <v>913</v>
      </c>
      <c r="B494" s="26"/>
      <c r="C494" s="26"/>
    </row>
    <row r="495">
      <c r="A495" s="26" t="s">
        <v>914</v>
      </c>
      <c r="B495" s="26"/>
      <c r="C495" s="26"/>
    </row>
    <row r="496">
      <c r="A496" s="26" t="s">
        <v>916</v>
      </c>
      <c r="B496" s="26"/>
      <c r="C496" s="26"/>
    </row>
    <row r="497">
      <c r="A497" s="26" t="s">
        <v>917</v>
      </c>
      <c r="B497" s="26"/>
      <c r="C497" s="26"/>
    </row>
    <row r="498">
      <c r="A498" s="26" t="s">
        <v>918</v>
      </c>
      <c r="B498" s="26"/>
      <c r="C498" s="26"/>
    </row>
    <row r="499">
      <c r="A499" s="26" t="s">
        <v>919</v>
      </c>
      <c r="B499" s="26"/>
      <c r="C499" s="26"/>
    </row>
    <row r="500">
      <c r="A500" s="26" t="s">
        <v>920</v>
      </c>
      <c r="B500" s="26"/>
      <c r="C500" s="26"/>
    </row>
    <row r="501">
      <c r="A501" s="26" t="s">
        <v>921</v>
      </c>
      <c r="B501" s="26"/>
      <c r="C501" s="26"/>
    </row>
    <row r="502">
      <c r="A502" s="26" t="s">
        <v>922</v>
      </c>
      <c r="B502" s="26"/>
      <c r="C502" s="26"/>
    </row>
    <row r="503">
      <c r="A503" s="26" t="s">
        <v>923</v>
      </c>
      <c r="B503" s="26"/>
      <c r="C503" s="26"/>
    </row>
    <row r="504">
      <c r="A504" s="26" t="s">
        <v>925</v>
      </c>
      <c r="B504" s="26"/>
      <c r="C504" s="26"/>
    </row>
    <row r="505">
      <c r="A505" s="26" t="s">
        <v>926</v>
      </c>
      <c r="B505" s="26"/>
      <c r="C505" s="26"/>
    </row>
    <row r="506">
      <c r="A506" s="26" t="s">
        <v>927</v>
      </c>
      <c r="B506" s="26"/>
      <c r="C506" s="26"/>
    </row>
    <row r="507">
      <c r="A507" s="26" t="s">
        <v>929</v>
      </c>
      <c r="B507" s="26"/>
      <c r="C507" s="26"/>
    </row>
    <row r="508">
      <c r="A508" s="26" t="s">
        <v>930</v>
      </c>
      <c r="B508" s="26"/>
      <c r="C508" s="26"/>
    </row>
    <row r="509">
      <c r="A509" s="26" t="s">
        <v>931</v>
      </c>
      <c r="B509" s="26"/>
      <c r="C509" s="26"/>
    </row>
    <row r="510">
      <c r="A510" s="26" t="s">
        <v>932</v>
      </c>
      <c r="B510" s="26"/>
      <c r="C510" s="26"/>
    </row>
    <row r="511">
      <c r="A511" s="26" t="s">
        <v>934</v>
      </c>
      <c r="B511" s="26"/>
      <c r="C511" s="26"/>
    </row>
    <row r="512">
      <c r="A512" s="26" t="s">
        <v>935</v>
      </c>
      <c r="B512" s="26"/>
      <c r="C512" s="26"/>
    </row>
    <row r="513">
      <c r="A513" s="26" t="s">
        <v>936</v>
      </c>
      <c r="B513" s="26"/>
      <c r="C513" s="26"/>
    </row>
    <row r="514">
      <c r="A514" s="26" t="s">
        <v>937</v>
      </c>
      <c r="B514" s="26"/>
      <c r="C514" s="26"/>
    </row>
    <row r="515">
      <c r="A515" s="26" t="s">
        <v>938</v>
      </c>
      <c r="B515" s="26"/>
      <c r="C515" s="26"/>
    </row>
    <row r="516">
      <c r="A516" s="26" t="s">
        <v>940</v>
      </c>
      <c r="B516" s="26"/>
      <c r="C516" s="26"/>
    </row>
    <row r="517">
      <c r="A517" s="26" t="s">
        <v>941</v>
      </c>
      <c r="B517" s="65">
        <v>0.200885642135642</v>
      </c>
      <c r="C517" s="65">
        <v>0.013722943722943</v>
      </c>
    </row>
    <row r="518">
      <c r="A518" s="26" t="s">
        <v>942</v>
      </c>
      <c r="B518" s="65">
        <v>0.200885642135642</v>
      </c>
      <c r="C518" s="65">
        <v>0.013722943722943</v>
      </c>
    </row>
    <row r="519">
      <c r="A519" s="26" t="s">
        <v>943</v>
      </c>
      <c r="B519" s="65">
        <v>0.128113275613275</v>
      </c>
      <c r="C519" s="65">
        <v>0.021841912380786</v>
      </c>
    </row>
    <row r="520">
      <c r="A520" s="26" t="s">
        <v>944</v>
      </c>
      <c r="B520" s="65">
        <v>0.128113275613275</v>
      </c>
      <c r="C520" s="65">
        <v>0.021841912380786</v>
      </c>
    </row>
    <row r="521">
      <c r="A521" s="26" t="s">
        <v>946</v>
      </c>
      <c r="B521" s="65">
        <v>0.105637657361795</v>
      </c>
      <c r="C521" s="65">
        <v>0.0067925561029</v>
      </c>
    </row>
    <row r="522">
      <c r="A522" s="26" t="s">
        <v>947</v>
      </c>
      <c r="B522" s="65">
        <v>0.105637657361795</v>
      </c>
      <c r="C522" s="65">
        <v>0.0067925561029</v>
      </c>
    </row>
    <row r="523">
      <c r="A523" s="26" t="s">
        <v>948</v>
      </c>
      <c r="B523" s="65">
        <v>0.186983961121892</v>
      </c>
      <c r="C523" s="65">
        <v>0.03739098418839</v>
      </c>
    </row>
    <row r="524">
      <c r="A524" s="26" t="s">
        <v>949</v>
      </c>
      <c r="B524" s="65">
        <v>0.186983961121892</v>
      </c>
      <c r="C524" s="65">
        <v>0.03739098418839</v>
      </c>
    </row>
    <row r="525">
      <c r="A525" s="26" t="s">
        <v>951</v>
      </c>
      <c r="B525" s="65">
        <v>0.127520484503028</v>
      </c>
      <c r="C525" s="65">
        <v>0.005153782211138</v>
      </c>
    </row>
    <row r="526">
      <c r="A526" s="26" t="s">
        <v>952</v>
      </c>
      <c r="B526" s="65">
        <v>0.127520484503028</v>
      </c>
      <c r="C526" s="65">
        <v>0.005153782211138</v>
      </c>
    </row>
    <row r="527">
      <c r="A527" s="26" t="s">
        <v>953</v>
      </c>
      <c r="B527" s="65">
        <v>0.145964315540375</v>
      </c>
      <c r="C527" s="65">
        <v>0.026929077798379</v>
      </c>
    </row>
    <row r="528">
      <c r="A528" s="26" t="s">
        <v>954</v>
      </c>
      <c r="B528" s="65">
        <v>0.145964315540375</v>
      </c>
      <c r="C528" s="65">
        <v>0.026929077798379</v>
      </c>
    </row>
    <row r="529">
      <c r="A529" s="26" t="s">
        <v>955</v>
      </c>
      <c r="B529" s="65">
        <v>0.147204549836128</v>
      </c>
      <c r="C529" s="65">
        <v>0.023099415204678</v>
      </c>
    </row>
    <row r="530">
      <c r="A530" s="26" t="s">
        <v>956</v>
      </c>
      <c r="B530" s="65">
        <v>0.147204549836128</v>
      </c>
      <c r="C530" s="65">
        <v>0.023099415204678</v>
      </c>
    </row>
    <row r="531">
      <c r="A531" s="26" t="s">
        <v>957</v>
      </c>
      <c r="B531" s="65">
        <v>0.274769528716897</v>
      </c>
      <c r="C531" s="65">
        <v>0.071595759354436</v>
      </c>
    </row>
    <row r="532">
      <c r="A532" s="26" t="s">
        <v>959</v>
      </c>
      <c r="B532" s="65">
        <v>0.274769528716897</v>
      </c>
      <c r="C532" s="65">
        <v>0.071595759354436</v>
      </c>
    </row>
    <row r="533">
      <c r="A533" s="26" t="s">
        <v>960</v>
      </c>
      <c r="B533" s="65">
        <v>0.135561380515508</v>
      </c>
      <c r="C533" s="65">
        <v>0.016131498470948</v>
      </c>
    </row>
    <row r="534">
      <c r="A534" s="26" t="s">
        <v>961</v>
      </c>
      <c r="B534" s="65">
        <v>0.135561380515508</v>
      </c>
      <c r="C534" s="65">
        <v>0.016131498470948</v>
      </c>
    </row>
    <row r="535">
      <c r="A535" s="26" t="s">
        <v>962</v>
      </c>
      <c r="B535" s="65">
        <v>0.199886479473635</v>
      </c>
      <c r="C535" s="65">
        <v>0.052141109029831</v>
      </c>
    </row>
    <row r="536">
      <c r="A536" s="26" t="s">
        <v>963</v>
      </c>
      <c r="B536" s="65">
        <v>0.199886479473635</v>
      </c>
      <c r="C536" s="65">
        <v>0.052141109029831</v>
      </c>
    </row>
    <row r="537">
      <c r="A537" s="26" t="s">
        <v>964</v>
      </c>
      <c r="B537" s="65">
        <v>0.233057359307359</v>
      </c>
      <c r="C537" s="65">
        <v>0.020654761904761</v>
      </c>
    </row>
    <row r="538">
      <c r="A538" s="26" t="s">
        <v>965</v>
      </c>
      <c r="B538" s="65">
        <v>0.233057359307359</v>
      </c>
      <c r="C538" s="65">
        <v>0.020654761904761</v>
      </c>
    </row>
    <row r="539">
      <c r="A539" s="26" t="s">
        <v>966</v>
      </c>
      <c r="B539" s="65">
        <v>0.172700052472779</v>
      </c>
      <c r="C539" s="65">
        <v>0.021452296960318</v>
      </c>
    </row>
    <row r="540">
      <c r="A540" s="26" t="s">
        <v>968</v>
      </c>
      <c r="B540" s="65">
        <v>0.172700052472779</v>
      </c>
      <c r="C540" s="65">
        <v>0.021452296960318</v>
      </c>
    </row>
    <row r="541">
      <c r="A541" s="26" t="s">
        <v>969</v>
      </c>
      <c r="B541" s="65">
        <v>0.081888341543513</v>
      </c>
      <c r="C541" s="65">
        <v>0.009501915708812</v>
      </c>
    </row>
    <row r="542">
      <c r="A542" s="26" t="s">
        <v>970</v>
      </c>
      <c r="B542" s="65">
        <v>0.081888341543513</v>
      </c>
      <c r="C542" s="65">
        <v>0.009501915708812</v>
      </c>
    </row>
    <row r="543">
      <c r="A543" s="26" t="s">
        <v>972</v>
      </c>
      <c r="B543" s="65">
        <v>0.201631484734933</v>
      </c>
      <c r="C543" s="65">
        <v>0.034082691306455</v>
      </c>
    </row>
    <row r="544">
      <c r="A544" s="26" t="s">
        <v>973</v>
      </c>
      <c r="B544" s="65">
        <v>0.201631484734933</v>
      </c>
      <c r="C544" s="65">
        <v>0.034082691306455</v>
      </c>
    </row>
    <row r="545">
      <c r="A545" s="26" t="s">
        <v>974</v>
      </c>
      <c r="B545" s="65">
        <v>0.166880418002612</v>
      </c>
      <c r="C545" s="65">
        <v>0.007330574662245</v>
      </c>
    </row>
    <row r="546">
      <c r="A546" s="26" t="s">
        <v>975</v>
      </c>
      <c r="B546" s="65">
        <v>0.166880418002612</v>
      </c>
      <c r="C546" s="65">
        <v>0.007330574662245</v>
      </c>
    </row>
    <row r="547">
      <c r="A547" s="26" t="s">
        <v>976</v>
      </c>
      <c r="B547" s="65">
        <v>0.177030838377471</v>
      </c>
      <c r="C547" s="65">
        <v>0.022350063600568</v>
      </c>
    </row>
    <row r="548">
      <c r="A548" s="26" t="s">
        <v>978</v>
      </c>
      <c r="B548" s="65">
        <v>0.177030838377471</v>
      </c>
      <c r="C548" s="65">
        <v>0.022350063600568</v>
      </c>
    </row>
    <row r="549">
      <c r="A549" s="26" t="s">
        <v>979</v>
      </c>
      <c r="B549" s="65">
        <v>0.15119208277103</v>
      </c>
      <c r="C549" s="65">
        <v>0.019568151147098</v>
      </c>
    </row>
    <row r="550">
      <c r="A550" s="26" t="s">
        <v>980</v>
      </c>
      <c r="B550" s="65">
        <v>0.15119208277103</v>
      </c>
      <c r="C550" s="65">
        <v>0.019568151147098</v>
      </c>
    </row>
    <row r="551">
      <c r="A551" s="26" t="s">
        <v>981</v>
      </c>
      <c r="B551" s="65">
        <v>0.260658662075666</v>
      </c>
      <c r="C551" s="65">
        <v>0.045702567175411</v>
      </c>
    </row>
    <row r="552">
      <c r="A552" s="26" t="s">
        <v>982</v>
      </c>
      <c r="B552" s="65">
        <v>0.260658662075666</v>
      </c>
      <c r="C552" s="65">
        <v>0.045702567175411</v>
      </c>
    </row>
    <row r="553">
      <c r="A553" s="26" t="s">
        <v>983</v>
      </c>
      <c r="B553" s="65">
        <v>0.118545216251638</v>
      </c>
      <c r="C553" s="65">
        <v>0.005351681957186</v>
      </c>
    </row>
    <row r="554">
      <c r="A554" s="26" t="s">
        <v>984</v>
      </c>
      <c r="B554" s="65">
        <v>0.118545216251638</v>
      </c>
      <c r="C554" s="65">
        <v>0.005351681957186</v>
      </c>
    </row>
    <row r="555">
      <c r="A555" s="26" t="s">
        <v>985</v>
      </c>
      <c r="B555" s="65">
        <v>0.177842646649986</v>
      </c>
      <c r="C555" s="65">
        <v>0.034128859088384</v>
      </c>
    </row>
    <row r="556">
      <c r="A556" s="26" t="s">
        <v>987</v>
      </c>
      <c r="B556" s="65">
        <v>0.177842646649986</v>
      </c>
      <c r="C556" s="65">
        <v>0.034128859088384</v>
      </c>
    </row>
    <row r="557">
      <c r="A557" s="26" t="s">
        <v>988</v>
      </c>
      <c r="B557" s="65">
        <v>0.270844155844155</v>
      </c>
      <c r="C557" s="65">
        <v>0.015151515151515</v>
      </c>
    </row>
    <row r="558">
      <c r="A558" s="26" t="s">
        <v>989</v>
      </c>
      <c r="B558" s="65">
        <v>0.255584415584415</v>
      </c>
      <c r="C558" s="65">
        <v>0.016325757575757</v>
      </c>
    </row>
    <row r="559">
      <c r="A559" s="26" t="s">
        <v>990</v>
      </c>
      <c r="B559" s="65">
        <v>0.129316201475292</v>
      </c>
      <c r="C559" s="65">
        <v>0.023962321355193</v>
      </c>
    </row>
    <row r="560">
      <c r="A560" s="26" t="s">
        <v>991</v>
      </c>
      <c r="B560" s="65">
        <v>0.13079414272596</v>
      </c>
      <c r="C560" s="65">
        <v>0.019981052815277</v>
      </c>
    </row>
    <row r="561">
      <c r="A561" s="26" t="s">
        <v>992</v>
      </c>
      <c r="B561" s="65">
        <v>0.107493158182813</v>
      </c>
      <c r="C561" s="65">
        <v>0.012393723773034</v>
      </c>
    </row>
    <row r="562">
      <c r="A562" s="26" t="s">
        <v>994</v>
      </c>
      <c r="B562" s="65">
        <v>0.092475825579273</v>
      </c>
      <c r="C562" s="65">
        <v>0.003218390804597</v>
      </c>
    </row>
    <row r="563">
      <c r="A563" s="26" t="s">
        <v>995</v>
      </c>
      <c r="B563" s="65">
        <v>0.170452676314745</v>
      </c>
      <c r="C563" s="65">
        <v>0.046516697561322</v>
      </c>
    </row>
    <row r="564">
      <c r="A564" s="26" t="s">
        <v>996</v>
      </c>
      <c r="B564" s="65">
        <v>0.166406696751524</v>
      </c>
      <c r="C564" s="65">
        <v>0.037957018447036</v>
      </c>
    </row>
    <row r="565">
      <c r="A565" s="26" t="s">
        <v>997</v>
      </c>
      <c r="B565" s="65">
        <v>0.174254839092744</v>
      </c>
      <c r="C565" s="65">
        <v>0.008031204041179</v>
      </c>
    </row>
    <row r="566">
      <c r="A566" s="26" t="s">
        <v>998</v>
      </c>
      <c r="B566" s="65">
        <v>0.190986818667616</v>
      </c>
      <c r="C566" s="65">
        <v>0.003491271820448</v>
      </c>
    </row>
    <row r="567">
      <c r="A567" s="26" t="s">
        <v>999</v>
      </c>
      <c r="B567" s="65">
        <v>0.142712828872429</v>
      </c>
      <c r="C567" s="65">
        <v>0.029193631728853</v>
      </c>
    </row>
    <row r="568">
      <c r="A568" s="26" t="s">
        <v>1001</v>
      </c>
      <c r="B568" s="65">
        <v>0.154184524259337</v>
      </c>
      <c r="C568" s="65">
        <v>0.025663743436069</v>
      </c>
    </row>
    <row r="569">
      <c r="A569" s="26" t="s">
        <v>1002</v>
      </c>
      <c r="B569" s="65">
        <v>0.14885290148448</v>
      </c>
      <c r="C569" s="65">
        <v>0.037728937728937</v>
      </c>
    </row>
    <row r="570">
      <c r="A570" s="26" t="s">
        <v>1003</v>
      </c>
      <c r="B570" s="65">
        <v>0.196356275303643</v>
      </c>
      <c r="C570" s="65">
        <v>0.014247156352419</v>
      </c>
    </row>
    <row r="571">
      <c r="A571" s="26" t="s">
        <v>1004</v>
      </c>
      <c r="B571" s="65">
        <v>0.282268900689953</v>
      </c>
      <c r="C571" s="65">
        <v>0.087848165039162</v>
      </c>
    </row>
    <row r="572">
      <c r="A572" s="26" t="s">
        <v>1006</v>
      </c>
      <c r="B572" s="65">
        <v>0.257725899831163</v>
      </c>
      <c r="C572" s="65">
        <v>0.073432485416228</v>
      </c>
    </row>
    <row r="573">
      <c r="A573" s="26" t="s">
        <v>1007</v>
      </c>
      <c r="B573" s="65">
        <v>0.124464831804281</v>
      </c>
      <c r="C573" s="65">
        <v>0.019724770642201</v>
      </c>
    </row>
    <row r="574">
      <c r="A574" s="26" t="s">
        <v>1008</v>
      </c>
      <c r="B574" s="65">
        <v>0.13677370030581</v>
      </c>
      <c r="C574" s="65">
        <v>0.015978593272171</v>
      </c>
    </row>
    <row r="575">
      <c r="A575" s="26" t="s">
        <v>1009</v>
      </c>
      <c r="B575" s="65">
        <v>0.161882752823119</v>
      </c>
      <c r="C575" s="65">
        <v>0.039588244525472</v>
      </c>
    </row>
    <row r="576">
      <c r="A576" s="26" t="s">
        <v>1010</v>
      </c>
      <c r="B576" s="65">
        <v>0.17287273124429</v>
      </c>
      <c r="C576" s="65">
        <v>0.032428319641622</v>
      </c>
    </row>
    <row r="577">
      <c r="A577" s="26" t="s">
        <v>1011</v>
      </c>
      <c r="B577" s="65">
        <v>0.233614718614718</v>
      </c>
      <c r="C577" s="65">
        <v>0.007727272727272</v>
      </c>
    </row>
    <row r="578">
      <c r="A578" s="26" t="s">
        <v>1013</v>
      </c>
      <c r="B578" s="65">
        <v>0.195508658008658</v>
      </c>
      <c r="C578" s="65">
        <v>0.00970238095238</v>
      </c>
    </row>
    <row r="579">
      <c r="A579" s="26" t="s">
        <v>1014</v>
      </c>
      <c r="B579" s="65">
        <v>0.125877115308933</v>
      </c>
      <c r="C579" s="65">
        <v>0.023679388793025</v>
      </c>
    </row>
    <row r="580">
      <c r="A580" s="26" t="s">
        <v>1015</v>
      </c>
      <c r="B580" s="65">
        <v>0.123429916043552</v>
      </c>
      <c r="C580" s="65">
        <v>0.022205269477996</v>
      </c>
    </row>
    <row r="581">
      <c r="A581" s="26" t="s">
        <v>1016</v>
      </c>
      <c r="B581" s="65">
        <v>0.089211822660098</v>
      </c>
      <c r="C581" s="65">
        <v>0.005363984674329</v>
      </c>
    </row>
    <row r="582">
      <c r="A582" s="26" t="s">
        <v>1017</v>
      </c>
      <c r="B582" s="65">
        <v>0.090943258529465</v>
      </c>
      <c r="C582" s="65">
        <v>0.0127969348659</v>
      </c>
    </row>
    <row r="583">
      <c r="A583" s="26" t="s">
        <v>1018</v>
      </c>
      <c r="B583" s="65">
        <v>0.184841646220956</v>
      </c>
      <c r="C583" s="65">
        <v>0.039971253982212</v>
      </c>
    </row>
    <row r="584">
      <c r="A584" s="26" t="s">
        <v>1019</v>
      </c>
      <c r="B584" s="65">
        <v>0.172056615160063</v>
      </c>
      <c r="C584" s="65">
        <v>0.038898844178015</v>
      </c>
    </row>
    <row r="585">
      <c r="A585" s="26" t="s">
        <v>1021</v>
      </c>
      <c r="B585" s="65">
        <v>0.174195463721648</v>
      </c>
      <c r="C585" s="65">
        <v>0.005818786367414</v>
      </c>
    </row>
    <row r="586">
      <c r="A586" s="26" t="s">
        <v>1022</v>
      </c>
      <c r="B586" s="65">
        <v>0.130477377983612</v>
      </c>
      <c r="C586" s="65">
        <v>0.004928155800973</v>
      </c>
    </row>
    <row r="587">
      <c r="A587" s="26" t="s">
        <v>1023</v>
      </c>
      <c r="B587" s="65">
        <v>0.136514953597247</v>
      </c>
      <c r="C587" s="65">
        <v>0.024153257382683</v>
      </c>
    </row>
    <row r="588">
      <c r="A588" s="26" t="s">
        <v>1024</v>
      </c>
      <c r="B588" s="65">
        <v>0.12434732073136</v>
      </c>
      <c r="C588" s="65">
        <v>0.022646648144629</v>
      </c>
    </row>
    <row r="589">
      <c r="A589" s="26" t="s">
        <v>1025</v>
      </c>
      <c r="B589" s="65">
        <v>0.118960863697705</v>
      </c>
      <c r="C589" s="65">
        <v>0.027549643339117</v>
      </c>
    </row>
    <row r="590">
      <c r="A590" s="26" t="s">
        <v>1027</v>
      </c>
      <c r="B590" s="65">
        <v>0.232735685367264</v>
      </c>
      <c r="C590" s="65">
        <v>0.019230769230769</v>
      </c>
    </row>
    <row r="591">
      <c r="A591" s="26" t="s">
        <v>1028</v>
      </c>
      <c r="B591" s="65">
        <v>0.288383254172727</v>
      </c>
      <c r="C591" s="65">
        <v>0.077140564048161</v>
      </c>
    </row>
    <row r="592">
      <c r="A592" s="26" t="s">
        <v>1029</v>
      </c>
      <c r="B592" s="65">
        <v>0.292021720969089</v>
      </c>
      <c r="C592" s="65">
        <v>0.039625871204818</v>
      </c>
    </row>
    <row r="593">
      <c r="A593" s="26" t="s">
        <v>1030</v>
      </c>
      <c r="B593" s="65">
        <v>0.131957186544342</v>
      </c>
      <c r="C593" s="65">
        <v>0.015945827872433</v>
      </c>
    </row>
    <row r="594">
      <c r="A594" s="26" t="s">
        <v>1031</v>
      </c>
      <c r="B594" s="65">
        <v>0.146253822629969</v>
      </c>
      <c r="C594" s="65">
        <v>0.012003058103975</v>
      </c>
    </row>
    <row r="595">
      <c r="A595" s="26" t="s">
        <v>1033</v>
      </c>
      <c r="B595" s="65">
        <v>0.169433560832643</v>
      </c>
      <c r="C595" s="65">
        <v>0.035638024055455</v>
      </c>
    </row>
    <row r="596">
      <c r="A596" s="26" t="s">
        <v>1034</v>
      </c>
      <c r="B596" s="65">
        <v>0.175706276394349</v>
      </c>
      <c r="C596" s="65">
        <v>0.034485837811525</v>
      </c>
    </row>
    <row r="597">
      <c r="A597" s="26" t="s">
        <v>1035</v>
      </c>
      <c r="B597" s="65">
        <v>0.294632034632034</v>
      </c>
      <c r="C597" s="65">
        <v>0.019065656565656</v>
      </c>
    </row>
    <row r="598">
      <c r="A598" s="26" t="s">
        <v>1036</v>
      </c>
      <c r="B598" s="65">
        <v>0.193576839826839</v>
      </c>
      <c r="C598" s="65">
        <v>0.019071067821067</v>
      </c>
    </row>
    <row r="599">
      <c r="A599" s="26" t="s">
        <v>1037</v>
      </c>
      <c r="B599" s="65">
        <v>0.108742293060474</v>
      </c>
      <c r="C599" s="65">
        <v>0.023734582860145</v>
      </c>
    </row>
    <row r="600">
      <c r="A600" s="26" t="s">
        <v>1038</v>
      </c>
      <c r="B600" s="65">
        <v>0.088445493900039</v>
      </c>
      <c r="C600" s="65">
        <v>0.022536501303212</v>
      </c>
    </row>
    <row r="601">
      <c r="A601" s="26" t="s">
        <v>1040</v>
      </c>
      <c r="B601" s="65">
        <v>0.078823207443897</v>
      </c>
      <c r="C601" s="65">
        <v>0.010421455938697</v>
      </c>
    </row>
    <row r="602">
      <c r="A602" s="26" t="s">
        <v>1041</v>
      </c>
      <c r="B602" s="65">
        <v>0.072213099799306</v>
      </c>
      <c r="C602" s="65">
        <v>0.024526546250684</v>
      </c>
    </row>
    <row r="603">
      <c r="A603" s="26" t="s">
        <v>1042</v>
      </c>
      <c r="B603" s="65">
        <v>0.185391785736613</v>
      </c>
      <c r="C603" s="65">
        <v>0.041208068844985</v>
      </c>
    </row>
    <row r="604">
      <c r="A604" s="26" t="s">
        <v>1043</v>
      </c>
      <c r="B604" s="65">
        <v>0.15013468013468</v>
      </c>
      <c r="C604" s="65">
        <v>0.038752212028074</v>
      </c>
    </row>
    <row r="605">
      <c r="A605" s="26" t="s">
        <v>1044</v>
      </c>
      <c r="B605" s="65">
        <v>0.195018406365039</v>
      </c>
      <c r="C605" s="65">
        <v>0.014546965918536</v>
      </c>
    </row>
    <row r="606">
      <c r="A606" s="26" t="s">
        <v>1046</v>
      </c>
      <c r="B606" s="65">
        <v>0.167337608360052</v>
      </c>
      <c r="C606" s="65">
        <v>0.022214485431443</v>
      </c>
    </row>
    <row r="607">
      <c r="A607" s="26" t="s">
        <v>1047</v>
      </c>
      <c r="B607" s="65">
        <v>0.123912676406441</v>
      </c>
      <c r="C607" s="65">
        <v>0.027851617014654</v>
      </c>
    </row>
    <row r="608">
      <c r="A608" s="26" t="s">
        <v>1048</v>
      </c>
      <c r="B608" s="65">
        <v>0.109134271104345</v>
      </c>
      <c r="C608" s="65">
        <v>0.030999560070265</v>
      </c>
    </row>
    <row r="609">
      <c r="A609" s="26" t="s">
        <v>1050</v>
      </c>
      <c r="B609" s="65">
        <v>0.120936957779063</v>
      </c>
      <c r="C609" s="65">
        <v>0.0110661268556</v>
      </c>
    </row>
    <row r="610">
      <c r="A610" s="26" t="s">
        <v>1051</v>
      </c>
      <c r="B610" s="65">
        <v>0.085029882398303</v>
      </c>
      <c r="C610" s="65">
        <v>0.035434740697898</v>
      </c>
    </row>
    <row r="611">
      <c r="A611" s="26" t="s">
        <v>1052</v>
      </c>
      <c r="B611" s="65">
        <v>0.311690940638309</v>
      </c>
      <c r="C611" s="65">
        <v>0.062029648264466</v>
      </c>
    </row>
    <row r="612">
      <c r="A612" s="26" t="s">
        <v>1053</v>
      </c>
      <c r="B612" s="65">
        <v>0.255758568916463</v>
      </c>
      <c r="C612" s="65">
        <v>0.063305949296661</v>
      </c>
    </row>
    <row r="613">
      <c r="A613" s="26" t="s">
        <v>1054</v>
      </c>
      <c r="B613" s="65">
        <v>0.089831804281345</v>
      </c>
      <c r="C613" s="65">
        <v>0.017354740061162</v>
      </c>
    </row>
    <row r="614">
      <c r="A614" s="26" t="s">
        <v>1056</v>
      </c>
      <c r="B614" s="65">
        <v>0.078593272171253</v>
      </c>
      <c r="C614" s="65">
        <v>0.016710353866317</v>
      </c>
    </row>
    <row r="615">
      <c r="A615" s="26" t="s">
        <v>1057</v>
      </c>
      <c r="B615" s="65">
        <v>0.167746931967115</v>
      </c>
      <c r="C615" s="65">
        <v>0.036041184186084</v>
      </c>
    </row>
    <row r="616">
      <c r="A616" s="26" t="s">
        <v>1058</v>
      </c>
      <c r="B616" s="65">
        <v>0.155599242755206</v>
      </c>
      <c r="C616" s="65">
        <v>0.035142813353822</v>
      </c>
    </row>
    <row r="617">
      <c r="A617" s="26" t="s">
        <v>1059</v>
      </c>
      <c r="B617" s="65">
        <v>0.352671356421356</v>
      </c>
      <c r="C617" s="65">
        <v>0.055345929323202</v>
      </c>
    </row>
    <row r="618">
      <c r="A618" s="26" t="s">
        <v>1060</v>
      </c>
      <c r="B618" s="65">
        <v>0.352671356421356</v>
      </c>
      <c r="C618" s="65">
        <v>0.055345929323202</v>
      </c>
    </row>
    <row r="619">
      <c r="A619" s="26" t="s">
        <v>1061</v>
      </c>
      <c r="B619" s="65">
        <v>0.317968092513547</v>
      </c>
      <c r="C619" s="65">
        <v>0.063165335657243</v>
      </c>
    </row>
    <row r="620">
      <c r="A620" s="26" t="s">
        <v>1063</v>
      </c>
      <c r="B620" s="65">
        <v>0.317968092513547</v>
      </c>
      <c r="C620" s="65">
        <v>0.063165335657243</v>
      </c>
    </row>
    <row r="621">
      <c r="A621" s="26" t="s">
        <v>1064</v>
      </c>
      <c r="B621" s="65">
        <v>0.179573070607553</v>
      </c>
      <c r="C621" s="65">
        <v>0.050602245774659</v>
      </c>
    </row>
    <row r="622">
      <c r="A622" s="26" t="s">
        <v>1065</v>
      </c>
      <c r="B622" s="65">
        <v>0.179573070607553</v>
      </c>
      <c r="C622" s="65">
        <v>0.050602245774659</v>
      </c>
    </row>
    <row r="623">
      <c r="A623" s="26" t="s">
        <v>1066</v>
      </c>
      <c r="B623" s="65">
        <v>0.321859175307451</v>
      </c>
      <c r="C623" s="65">
        <v>0.086926215171651</v>
      </c>
    </row>
    <row r="624">
      <c r="A624" s="26" t="s">
        <v>1067</v>
      </c>
      <c r="B624" s="65">
        <v>0.321859175307451</v>
      </c>
      <c r="C624" s="65">
        <v>0.086926215171651</v>
      </c>
    </row>
    <row r="625">
      <c r="A625" s="26" t="s">
        <v>1068</v>
      </c>
      <c r="B625" s="65">
        <v>0.273079206745042</v>
      </c>
      <c r="C625" s="65">
        <v>0.047896312609529</v>
      </c>
    </row>
    <row r="626">
      <c r="A626" s="26" t="s">
        <v>1069</v>
      </c>
      <c r="B626" s="65">
        <v>0.273079206745042</v>
      </c>
      <c r="C626" s="65">
        <v>0.047896312609529</v>
      </c>
    </row>
    <row r="627">
      <c r="A627" s="26" t="s">
        <v>1070</v>
      </c>
      <c r="B627" s="65">
        <v>0.259827274415803</v>
      </c>
      <c r="C627" s="65">
        <v>0.064641044496552</v>
      </c>
    </row>
    <row r="628">
      <c r="A628" s="26" t="s">
        <v>1072</v>
      </c>
      <c r="B628" s="65">
        <v>0.259827274415803</v>
      </c>
      <c r="C628" s="65">
        <v>0.064641044496552</v>
      </c>
    </row>
    <row r="629">
      <c r="A629" s="26" t="s">
        <v>1073</v>
      </c>
      <c r="B629" s="65">
        <v>0.215895508000771</v>
      </c>
      <c r="C629" s="65">
        <v>0.085200179937022</v>
      </c>
    </row>
    <row r="630">
      <c r="A630" s="26" t="s">
        <v>1074</v>
      </c>
      <c r="B630" s="65">
        <v>0.215895508000771</v>
      </c>
      <c r="C630" s="65">
        <v>0.085200179937022</v>
      </c>
    </row>
    <row r="631">
      <c r="A631" s="26" t="s">
        <v>1075</v>
      </c>
      <c r="B631" s="65">
        <v>0.319373608847293</v>
      </c>
      <c r="C631" s="65">
        <v>0.109289779756432</v>
      </c>
    </row>
    <row r="632">
      <c r="A632" s="26" t="s">
        <v>1076</v>
      </c>
      <c r="B632" s="65">
        <v>0.319373608847293</v>
      </c>
      <c r="C632" s="65">
        <v>0.109289779756432</v>
      </c>
    </row>
    <row r="633">
      <c r="A633" s="26" t="s">
        <v>1077</v>
      </c>
      <c r="B633" s="65">
        <v>0.231050677151594</v>
      </c>
      <c r="C633" s="65">
        <v>0.0774373816805</v>
      </c>
    </row>
    <row r="634">
      <c r="A634" s="26" t="s">
        <v>1079</v>
      </c>
      <c r="B634" s="65">
        <v>0.231050677151594</v>
      </c>
      <c r="C634" s="65">
        <v>0.0774373816805</v>
      </c>
    </row>
    <row r="635">
      <c r="A635" s="26" t="s">
        <v>1080</v>
      </c>
      <c r="B635" s="65">
        <v>0.319877013913711</v>
      </c>
      <c r="C635" s="65">
        <v>0.112291072841531</v>
      </c>
    </row>
    <row r="636">
      <c r="A636" s="26" t="s">
        <v>1081</v>
      </c>
      <c r="B636" s="65">
        <v>0.319877013913711</v>
      </c>
      <c r="C636" s="65">
        <v>0.112291072841531</v>
      </c>
    </row>
    <row r="637">
      <c r="A637" s="26" t="s">
        <v>1082</v>
      </c>
      <c r="B637" s="65">
        <v>0.304754689754689</v>
      </c>
      <c r="C637" s="65">
        <v>0.03503219003219</v>
      </c>
    </row>
    <row r="638">
      <c r="A638" s="26" t="s">
        <v>1083</v>
      </c>
      <c r="B638" s="65">
        <v>0.304754689754689</v>
      </c>
      <c r="C638" s="65">
        <v>0.03503219003219</v>
      </c>
    </row>
    <row r="639">
      <c r="A639" s="26" t="s">
        <v>1085</v>
      </c>
      <c r="B639" s="65">
        <v>0.260307091898001</v>
      </c>
      <c r="C639" s="65">
        <v>0.063139215582397</v>
      </c>
    </row>
    <row r="640">
      <c r="A640" s="26" t="s">
        <v>1086</v>
      </c>
      <c r="B640" s="65">
        <v>0.260307091898001</v>
      </c>
      <c r="C640" s="65">
        <v>0.063139215582397</v>
      </c>
    </row>
    <row r="641">
      <c r="A641" s="26" t="s">
        <v>1087</v>
      </c>
      <c r="B641" s="65">
        <v>0.168022258711913</v>
      </c>
      <c r="C641" s="65">
        <v>0.049102353585112</v>
      </c>
    </row>
    <row r="642">
      <c r="A642" s="26" t="s">
        <v>1088</v>
      </c>
      <c r="B642" s="65">
        <v>0.168022258711913</v>
      </c>
      <c r="C642" s="65">
        <v>0.049102353585112</v>
      </c>
    </row>
    <row r="643">
      <c r="A643" s="26" t="s">
        <v>1089</v>
      </c>
      <c r="B643" s="65">
        <v>0.308424512907271</v>
      </c>
      <c r="C643" s="65">
        <v>0.076748608989988</v>
      </c>
    </row>
    <row r="644">
      <c r="A644" s="26" t="s">
        <v>1091</v>
      </c>
      <c r="B644" s="65">
        <v>0.308424512907271</v>
      </c>
      <c r="C644" s="65">
        <v>0.076748608989988</v>
      </c>
    </row>
    <row r="645">
      <c r="A645" s="26" t="s">
        <v>1092</v>
      </c>
      <c r="B645" s="65">
        <v>0.197049044056525</v>
      </c>
      <c r="C645" s="65">
        <v>0.044478090488065</v>
      </c>
    </row>
    <row r="646">
      <c r="A646" s="26" t="s">
        <v>1093</v>
      </c>
      <c r="B646" s="65">
        <v>0.197049044056525</v>
      </c>
      <c r="C646" s="65">
        <v>0.044478090488065</v>
      </c>
    </row>
    <row r="647">
      <c r="A647" s="26" t="s">
        <v>1094</v>
      </c>
      <c r="B647" s="65">
        <v>0.231763442985388</v>
      </c>
      <c r="C647" s="65">
        <v>0.059718770228293</v>
      </c>
    </row>
    <row r="648">
      <c r="A648" s="26" t="s">
        <v>1096</v>
      </c>
      <c r="B648" s="65">
        <v>0.231763442985388</v>
      </c>
      <c r="C648" s="65">
        <v>0.059718770228293</v>
      </c>
    </row>
    <row r="649">
      <c r="A649" s="26" t="s">
        <v>1097</v>
      </c>
      <c r="B649" s="65">
        <v>0.129525737420474</v>
      </c>
      <c r="C649" s="65">
        <v>0.037539361223571</v>
      </c>
    </row>
    <row r="650">
      <c r="A650" s="26" t="s">
        <v>1098</v>
      </c>
      <c r="B650" s="65">
        <v>0.129525737420474</v>
      </c>
      <c r="C650" s="65">
        <v>0.037539361223571</v>
      </c>
    </row>
    <row r="651">
      <c r="A651" s="26" t="s">
        <v>1099</v>
      </c>
      <c r="B651" s="65">
        <v>0.318281718281718</v>
      </c>
      <c r="C651" s="65">
        <v>0.089269435018422</v>
      </c>
    </row>
    <row r="652">
      <c r="A652" s="26" t="s">
        <v>1100</v>
      </c>
      <c r="B652" s="65">
        <v>0.318281718281718</v>
      </c>
      <c r="C652" s="65">
        <v>0.089269435018422</v>
      </c>
    </row>
    <row r="653">
      <c r="A653" s="26" t="s">
        <v>1102</v>
      </c>
      <c r="B653" s="65">
        <v>0.193872870249017</v>
      </c>
      <c r="C653" s="65">
        <v>0.048165137614678</v>
      </c>
    </row>
    <row r="654">
      <c r="A654" s="26" t="s">
        <v>1103</v>
      </c>
      <c r="B654" s="65">
        <v>0.193872870249017</v>
      </c>
      <c r="C654" s="65">
        <v>0.048165137614678</v>
      </c>
    </row>
    <row r="655">
      <c r="A655" s="26" t="s">
        <v>1104</v>
      </c>
      <c r="B655" s="65">
        <v>0.294769718049534</v>
      </c>
      <c r="C655" s="65">
        <v>0.104703639812247</v>
      </c>
    </row>
    <row r="656">
      <c r="A656" s="26" t="s">
        <v>1105</v>
      </c>
      <c r="B656" s="65">
        <v>0.294769718049534</v>
      </c>
      <c r="C656" s="65">
        <v>0.104703639812247</v>
      </c>
    </row>
    <row r="657">
      <c r="A657" s="26" t="s">
        <v>1106</v>
      </c>
      <c r="B657" s="65">
        <v>0.126515151515151</v>
      </c>
      <c r="C657" s="65">
        <v>0.011179653679653</v>
      </c>
    </row>
    <row r="658">
      <c r="A658" s="26" t="s">
        <v>1108</v>
      </c>
      <c r="B658" s="65">
        <v>0.12304834054834</v>
      </c>
      <c r="C658" s="65">
        <v>0.013571428571428</v>
      </c>
    </row>
    <row r="659">
      <c r="A659" s="26" t="s">
        <v>1109</v>
      </c>
      <c r="B659" s="65">
        <v>0.168120629370629</v>
      </c>
      <c r="C659" s="65">
        <v>0.034039278828717</v>
      </c>
    </row>
    <row r="660">
      <c r="A660" s="26" t="s">
        <v>1110</v>
      </c>
      <c r="B660" s="65">
        <v>0.166800573164209</v>
      </c>
      <c r="C660" s="65">
        <v>0.02638152882471</v>
      </c>
    </row>
    <row r="661">
      <c r="A661" s="26" t="s">
        <v>1111</v>
      </c>
      <c r="B661" s="65">
        <v>0.135904032110928</v>
      </c>
      <c r="C661" s="65">
        <v>0.033493887976646</v>
      </c>
    </row>
    <row r="662">
      <c r="A662" s="26" t="s">
        <v>1112</v>
      </c>
      <c r="B662" s="65">
        <v>0.146675789089582</v>
      </c>
      <c r="C662" s="65">
        <v>0.030718846925743</v>
      </c>
    </row>
    <row r="663">
      <c r="A663" s="26" t="s">
        <v>1114</v>
      </c>
      <c r="B663" s="65">
        <v>0.253853273163618</v>
      </c>
      <c r="C663" s="65">
        <v>0.052594480870342</v>
      </c>
    </row>
    <row r="664">
      <c r="A664" s="26" t="s">
        <v>1115</v>
      </c>
      <c r="B664" s="65">
        <v>0.246071859175307</v>
      </c>
      <c r="C664" s="65">
        <v>0.055168241719965</v>
      </c>
    </row>
    <row r="665">
      <c r="A665" s="26" t="s">
        <v>1116</v>
      </c>
      <c r="B665" s="65">
        <v>0.14455527847049</v>
      </c>
      <c r="C665" s="65">
        <v>0.040244986379649</v>
      </c>
    </row>
    <row r="666">
      <c r="A666" s="26" t="s">
        <v>1117</v>
      </c>
      <c r="B666" s="65">
        <v>0.138415865099156</v>
      </c>
      <c r="C666" s="65">
        <v>0.038409927562047</v>
      </c>
    </row>
    <row r="667">
      <c r="A667" s="26" t="s">
        <v>1118</v>
      </c>
      <c r="B667" s="65">
        <v>0.195740612947595</v>
      </c>
      <c r="C667" s="65">
        <v>0.056225998179936</v>
      </c>
    </row>
    <row r="668">
      <c r="A668" s="26" t="s">
        <v>1120</v>
      </c>
      <c r="B668" s="65">
        <v>0.197149802262021</v>
      </c>
      <c r="C668" s="65">
        <v>0.05260757041599</v>
      </c>
    </row>
    <row r="669">
      <c r="A669" s="26" t="s">
        <v>1121</v>
      </c>
      <c r="B669" s="65">
        <v>0.265092217723796</v>
      </c>
      <c r="C669" s="65">
        <v>0.025785617890881</v>
      </c>
    </row>
    <row r="670">
      <c r="A670" s="26" t="s">
        <v>1122</v>
      </c>
      <c r="B670" s="65">
        <v>0.256660882976672</v>
      </c>
      <c r="C670" s="65">
        <v>0.032812801233853</v>
      </c>
    </row>
    <row r="671">
      <c r="A671" s="26" t="s">
        <v>1124</v>
      </c>
      <c r="B671" s="65">
        <v>0.294220848876719</v>
      </c>
      <c r="C671" s="65">
        <v>0.063357548883864</v>
      </c>
    </row>
    <row r="672">
      <c r="A672" s="26" t="s">
        <v>1125</v>
      </c>
      <c r="B672" s="65">
        <v>0.30201348359243</v>
      </c>
      <c r="C672" s="65">
        <v>0.062430675487355</v>
      </c>
    </row>
    <row r="673">
      <c r="A673" s="26" t="s">
        <v>1127</v>
      </c>
      <c r="B673" s="65">
        <v>0.165847531673219</v>
      </c>
      <c r="C673" s="65">
        <v>0.02741371778069</v>
      </c>
    </row>
    <row r="674">
      <c r="A674" s="26" t="s">
        <v>1128</v>
      </c>
      <c r="B674" s="65">
        <v>0.157590650939274</v>
      </c>
      <c r="C674" s="65">
        <v>0.022910295616717</v>
      </c>
    </row>
    <row r="675">
      <c r="A675" s="26" t="s">
        <v>1129</v>
      </c>
      <c r="B675" s="65">
        <v>0.238101360922461</v>
      </c>
      <c r="C675" s="65">
        <v>0.056626250241333</v>
      </c>
    </row>
    <row r="676">
      <c r="A676" s="26" t="s">
        <v>1130</v>
      </c>
      <c r="B676" s="65">
        <v>0.230920939407177</v>
      </c>
      <c r="C676" s="65">
        <v>0.053480349925304</v>
      </c>
    </row>
    <row r="677">
      <c r="A677" s="26" t="s">
        <v>1131</v>
      </c>
      <c r="B677" s="65">
        <v>0.160110028860028</v>
      </c>
      <c r="C677" s="65">
        <v>0.014917027417027</v>
      </c>
    </row>
    <row r="678">
      <c r="A678" s="26" t="s">
        <v>1133</v>
      </c>
      <c r="B678" s="65">
        <v>0.168914141414141</v>
      </c>
      <c r="C678" s="65">
        <v>0.013642102846648</v>
      </c>
    </row>
    <row r="679">
      <c r="A679" s="26" t="s">
        <v>1134</v>
      </c>
      <c r="B679" s="65">
        <v>0.189623558259921</v>
      </c>
      <c r="C679" s="65">
        <v>0.033212343212343</v>
      </c>
    </row>
    <row r="680">
      <c r="A680" s="26" t="s">
        <v>1135</v>
      </c>
      <c r="B680" s="65">
        <v>0.185231965004692</v>
      </c>
      <c r="C680" s="65">
        <v>0.035807095264244</v>
      </c>
    </row>
    <row r="681">
      <c r="A681" s="26" t="s">
        <v>1136</v>
      </c>
      <c r="B681" s="65">
        <v>0.137989417989418</v>
      </c>
      <c r="C681" s="65">
        <v>0.0358638934501</v>
      </c>
    </row>
    <row r="682">
      <c r="A682" s="26" t="s">
        <v>1137</v>
      </c>
      <c r="B682" s="65">
        <v>0.145413245758073</v>
      </c>
      <c r="C682" s="65">
        <v>0.042112753147235</v>
      </c>
    </row>
    <row r="683">
      <c r="A683" s="26" t="s">
        <v>1138</v>
      </c>
      <c r="B683" s="65">
        <v>0.239479728445245</v>
      </c>
      <c r="C683" s="65">
        <v>0.048213485110036</v>
      </c>
    </row>
    <row r="684">
      <c r="A684" s="26" t="s">
        <v>1139</v>
      </c>
      <c r="B684" s="65">
        <v>0.261635146462732</v>
      </c>
      <c r="C684" s="65">
        <v>0.050882214847732</v>
      </c>
    </row>
    <row r="685">
      <c r="A685" s="26" t="s">
        <v>1140</v>
      </c>
      <c r="B685" s="65">
        <v>0.13357479317579</v>
      </c>
      <c r="C685" s="65">
        <v>0.040074776982507</v>
      </c>
    </row>
    <row r="686">
      <c r="A686" s="26" t="s">
        <v>1141</v>
      </c>
      <c r="B686" s="65">
        <v>0.15664410402565</v>
      </c>
      <c r="C686" s="65">
        <v>0.037915492653647</v>
      </c>
    </row>
    <row r="687">
      <c r="A687" s="26" t="s">
        <v>1142</v>
      </c>
      <c r="B687" s="65">
        <v>0.193096775765104</v>
      </c>
      <c r="C687" s="65">
        <v>0.057375748955622</v>
      </c>
    </row>
    <row r="688">
      <c r="A688" s="26" t="s">
        <v>1143</v>
      </c>
      <c r="B688" s="65">
        <v>0.208639282579432</v>
      </c>
      <c r="C688" s="65">
        <v>0.055699473545917</v>
      </c>
    </row>
    <row r="689">
      <c r="A689" s="26" t="s">
        <v>1144</v>
      </c>
      <c r="B689" s="65">
        <v>0.240453698348435</v>
      </c>
      <c r="C689" s="65">
        <v>0.027867746288798</v>
      </c>
    </row>
    <row r="690">
      <c r="A690" s="26" t="s">
        <v>1146</v>
      </c>
      <c r="B690" s="65">
        <v>0.212116830537883</v>
      </c>
      <c r="C690" s="65">
        <v>0.043657219973009</v>
      </c>
    </row>
    <row r="691">
      <c r="A691" s="26" t="s">
        <v>1147</v>
      </c>
      <c r="B691" s="65">
        <v>0.322775537552865</v>
      </c>
      <c r="C691" s="65">
        <v>0.064382236006432</v>
      </c>
    </row>
    <row r="692">
      <c r="A692" s="26" t="s">
        <v>1148</v>
      </c>
      <c r="B692" s="65">
        <v>0.311155511155511</v>
      </c>
      <c r="C692" s="65">
        <v>0.070738849412343</v>
      </c>
    </row>
    <row r="693">
      <c r="A693" s="26" t="s">
        <v>1149</v>
      </c>
      <c r="B693" s="65">
        <v>0.161478811708169</v>
      </c>
      <c r="C693" s="65">
        <v>0.028254696373962</v>
      </c>
    </row>
    <row r="694">
      <c r="A694" s="26" t="s">
        <v>1150</v>
      </c>
      <c r="B694" s="65">
        <v>0.173525557011795</v>
      </c>
      <c r="C694" s="65">
        <v>0.043315858453473</v>
      </c>
    </row>
    <row r="695">
      <c r="A695" s="26" t="s">
        <v>1152</v>
      </c>
      <c r="B695" s="65">
        <v>0.238892962287457</v>
      </c>
      <c r="C695" s="65">
        <v>0.055734046789092</v>
      </c>
    </row>
    <row r="696">
      <c r="A696" s="26" t="s">
        <v>1153</v>
      </c>
      <c r="B696" s="65">
        <v>0.240796563273627</v>
      </c>
      <c r="C696" s="65">
        <v>0.070875569384743</v>
      </c>
    </row>
    <row r="697">
      <c r="A697" s="26" t="s">
        <v>1154</v>
      </c>
      <c r="B697" s="26"/>
      <c r="C697" s="26"/>
    </row>
    <row r="698">
      <c r="A698" s="26" t="s">
        <v>1155</v>
      </c>
      <c r="B698" s="26"/>
      <c r="C698" s="26"/>
    </row>
    <row r="699">
      <c r="A699" s="26" t="s">
        <v>1156</v>
      </c>
      <c r="B699" s="26"/>
      <c r="C699" s="26"/>
    </row>
    <row r="700">
      <c r="A700" s="26" t="s">
        <v>1157</v>
      </c>
      <c r="B700" s="26"/>
      <c r="C700" s="26"/>
    </row>
    <row r="701">
      <c r="A701" s="26" t="s">
        <v>1159</v>
      </c>
      <c r="B701" s="26"/>
      <c r="C701" s="26"/>
    </row>
    <row r="702">
      <c r="A702" s="26" t="s">
        <v>1160</v>
      </c>
      <c r="B702" s="26"/>
      <c r="C702" s="26"/>
    </row>
    <row r="703">
      <c r="A703" s="26" t="s">
        <v>1161</v>
      </c>
      <c r="B703" s="26"/>
      <c r="C703" s="26"/>
    </row>
    <row r="704">
      <c r="A704" s="26" t="s">
        <v>1162</v>
      </c>
      <c r="B704" s="26"/>
      <c r="C704" s="26"/>
    </row>
    <row r="705">
      <c r="A705" s="26" t="s">
        <v>1163</v>
      </c>
      <c r="B705" s="26"/>
      <c r="C705" s="26"/>
    </row>
    <row r="706">
      <c r="A706" s="26" t="s">
        <v>1164</v>
      </c>
      <c r="B706" s="26"/>
      <c r="C706" s="26"/>
    </row>
    <row r="707">
      <c r="A707" s="26" t="s">
        <v>1166</v>
      </c>
      <c r="B707" s="26"/>
      <c r="C707" s="26"/>
    </row>
    <row r="708">
      <c r="A708" s="26" t="s">
        <v>1167</v>
      </c>
      <c r="B708" s="26"/>
      <c r="C708" s="26"/>
    </row>
    <row r="709">
      <c r="A709" s="26" t="s">
        <v>1168</v>
      </c>
      <c r="B709" s="26"/>
      <c r="C709" s="26"/>
    </row>
    <row r="710">
      <c r="A710" s="26" t="s">
        <v>1169</v>
      </c>
      <c r="B710" s="26"/>
      <c r="C710" s="26"/>
    </row>
    <row r="711">
      <c r="A711" s="26" t="s">
        <v>1170</v>
      </c>
      <c r="B711" s="26"/>
      <c r="C711" s="26"/>
    </row>
    <row r="712">
      <c r="A712" s="26" t="s">
        <v>1171</v>
      </c>
      <c r="B712" s="26"/>
      <c r="C712" s="26"/>
    </row>
    <row r="713">
      <c r="A713" s="26" t="s">
        <v>1172</v>
      </c>
      <c r="B713" s="26"/>
      <c r="C713" s="26"/>
    </row>
    <row r="714">
      <c r="A714" s="26" t="s">
        <v>1174</v>
      </c>
      <c r="B714" s="26"/>
      <c r="C714" s="26"/>
    </row>
    <row r="715">
      <c r="A715" s="26" t="s">
        <v>1175</v>
      </c>
      <c r="B715" s="26"/>
      <c r="C715" s="26"/>
    </row>
    <row r="716">
      <c r="A716" s="26" t="s">
        <v>1176</v>
      </c>
      <c r="B716" s="26"/>
      <c r="C716" s="26"/>
    </row>
    <row r="717">
      <c r="A717" s="26" t="s">
        <v>1177</v>
      </c>
      <c r="B717" s="65">
        <v>0.266758658008658</v>
      </c>
      <c r="C717" s="65">
        <v>0.040786435786435</v>
      </c>
    </row>
    <row r="718">
      <c r="A718" s="26" t="s">
        <v>1179</v>
      </c>
      <c r="B718" s="65">
        <v>0.266758658008658</v>
      </c>
      <c r="C718" s="65">
        <v>0.040786435786435</v>
      </c>
    </row>
    <row r="719">
      <c r="A719" s="26" t="s">
        <v>1180</v>
      </c>
      <c r="B719" s="65">
        <v>0.283431719795356</v>
      </c>
      <c r="C719" s="65">
        <v>0.06067180294453</v>
      </c>
    </row>
    <row r="720">
      <c r="A720" s="26" t="s">
        <v>1181</v>
      </c>
      <c r="B720" s="65">
        <v>0.283431719795356</v>
      </c>
      <c r="C720" s="65">
        <v>0.06067180294453</v>
      </c>
    </row>
    <row r="721">
      <c r="A721" s="26" t="s">
        <v>1182</v>
      </c>
      <c r="B721" s="65">
        <v>0.192862616310892</v>
      </c>
      <c r="C721" s="65">
        <v>0.06847290640394</v>
      </c>
    </row>
    <row r="722">
      <c r="A722" s="26" t="s">
        <v>1184</v>
      </c>
      <c r="B722" s="65">
        <v>0.192862616310892</v>
      </c>
      <c r="C722" s="65">
        <v>0.06847290640394</v>
      </c>
    </row>
    <row r="723">
      <c r="A723" s="26" t="s">
        <v>1185</v>
      </c>
      <c r="B723" s="65">
        <v>0.227628170041963</v>
      </c>
      <c r="C723" s="65">
        <v>0.083990147783251</v>
      </c>
    </row>
    <row r="724">
      <c r="A724" s="26" t="s">
        <v>1186</v>
      </c>
      <c r="B724" s="65">
        <v>0.227628170041963</v>
      </c>
      <c r="C724" s="65">
        <v>0.083990147783251</v>
      </c>
    </row>
    <row r="725">
      <c r="A725" s="26" t="s">
        <v>1187</v>
      </c>
      <c r="B725" s="65">
        <v>0.220102521474092</v>
      </c>
      <c r="C725" s="65">
        <v>0.035993349958437</v>
      </c>
    </row>
    <row r="726">
      <c r="A726" s="26" t="s">
        <v>1188</v>
      </c>
      <c r="B726" s="65">
        <v>0.220102521474092</v>
      </c>
      <c r="C726" s="65">
        <v>0.035993349958437</v>
      </c>
    </row>
    <row r="727">
      <c r="A727" s="26" t="s">
        <v>1190</v>
      </c>
      <c r="B727" s="65">
        <v>0.235484880871414</v>
      </c>
      <c r="C727" s="65">
        <v>0.051702329258438</v>
      </c>
    </row>
    <row r="728">
      <c r="A728" s="26" t="s">
        <v>1191</v>
      </c>
      <c r="B728" s="65">
        <v>0.235484880871414</v>
      </c>
      <c r="C728" s="65">
        <v>0.051702329258438</v>
      </c>
    </row>
    <row r="729">
      <c r="A729" s="26" t="s">
        <v>1192</v>
      </c>
      <c r="B729" s="65">
        <v>0.119838056680161</v>
      </c>
      <c r="C729" s="65">
        <v>0.053653364179679</v>
      </c>
    </row>
    <row r="730">
      <c r="A730" s="26" t="s">
        <v>1193</v>
      </c>
      <c r="B730" s="65">
        <v>0.119838056680161</v>
      </c>
      <c r="C730" s="65">
        <v>0.053653364179679</v>
      </c>
    </row>
    <row r="731">
      <c r="A731" s="26" t="s">
        <v>1194</v>
      </c>
      <c r="B731" s="65">
        <v>0.130168369642053</v>
      </c>
      <c r="C731" s="65">
        <v>0.061834072360388</v>
      </c>
    </row>
    <row r="732">
      <c r="A732" s="26" t="s">
        <v>1196</v>
      </c>
      <c r="B732" s="65">
        <v>0.130168369642053</v>
      </c>
      <c r="C732" s="65">
        <v>0.061834072360388</v>
      </c>
    </row>
    <row r="733">
      <c r="A733" s="26" t="s">
        <v>1197</v>
      </c>
      <c r="B733" s="65">
        <v>0.162243337702053</v>
      </c>
      <c r="C733" s="65">
        <v>0.072924858016601</v>
      </c>
    </row>
    <row r="734">
      <c r="A734" s="26" t="s">
        <v>1198</v>
      </c>
      <c r="B734" s="65">
        <v>0.162243337702053</v>
      </c>
      <c r="C734" s="65">
        <v>0.072924858016601</v>
      </c>
    </row>
    <row r="735">
      <c r="A735" s="26" t="s">
        <v>1199</v>
      </c>
      <c r="B735" s="65">
        <v>0.213284549293723</v>
      </c>
      <c r="C735" s="65">
        <v>0.101983897855457</v>
      </c>
    </row>
    <row r="736">
      <c r="A736" s="26" t="s">
        <v>1200</v>
      </c>
      <c r="B736" s="65">
        <v>0.213284549293723</v>
      </c>
      <c r="C736" s="65">
        <v>0.101983897855457</v>
      </c>
    </row>
    <row r="737">
      <c r="A737" s="26" t="s">
        <v>1202</v>
      </c>
      <c r="B737" s="65">
        <v>0.386861471861471</v>
      </c>
      <c r="C737" s="65">
        <v>0.026515151515151</v>
      </c>
    </row>
    <row r="738">
      <c r="A738" s="26" t="s">
        <v>1203</v>
      </c>
      <c r="B738" s="65">
        <v>0.386861471861471</v>
      </c>
      <c r="C738" s="65">
        <v>0.026515151515151</v>
      </c>
    </row>
    <row r="739">
      <c r="A739" s="26" t="s">
        <v>1204</v>
      </c>
      <c r="B739" s="65">
        <v>0.381342155319428</v>
      </c>
      <c r="C739" s="65">
        <v>0.033111471861471</v>
      </c>
    </row>
    <row r="740">
      <c r="A740" s="26" t="s">
        <v>1206</v>
      </c>
      <c r="B740" s="65">
        <v>0.381342155319428</v>
      </c>
      <c r="C740" s="65">
        <v>0.033111471861471</v>
      </c>
    </row>
    <row r="741">
      <c r="A741" s="26" t="s">
        <v>1207</v>
      </c>
      <c r="B741" s="65">
        <v>0.072950191570881</v>
      </c>
      <c r="C741" s="65">
        <v>0.008560481663929</v>
      </c>
    </row>
    <row r="742">
      <c r="A742" s="26" t="s">
        <v>1208</v>
      </c>
      <c r="B742" s="65">
        <v>0.072950191570881</v>
      </c>
      <c r="C742" s="65">
        <v>0.008560481663929</v>
      </c>
    </row>
    <row r="743">
      <c r="A743" s="26" t="s">
        <v>1209</v>
      </c>
      <c r="B743" s="65">
        <v>0.151213282247764</v>
      </c>
      <c r="C743" s="65">
        <v>0.033736544426199</v>
      </c>
    </row>
    <row r="744">
      <c r="A744" s="26" t="s">
        <v>1211</v>
      </c>
      <c r="B744" s="65">
        <v>0.151213282247764</v>
      </c>
      <c r="C744" s="65">
        <v>0.033736544426199</v>
      </c>
    </row>
    <row r="745">
      <c r="A745" s="26" t="s">
        <v>1212</v>
      </c>
      <c r="B745" s="65">
        <v>0.242405890036812</v>
      </c>
      <c r="C745" s="65">
        <v>0.009891936824605</v>
      </c>
    </row>
    <row r="746">
      <c r="A746" s="26" t="s">
        <v>1213</v>
      </c>
      <c r="B746" s="65">
        <v>0.242405890036812</v>
      </c>
      <c r="C746" s="65">
        <v>0.009891936824605</v>
      </c>
    </row>
    <row r="747">
      <c r="A747" s="26" t="s">
        <v>1214</v>
      </c>
      <c r="B747" s="65">
        <v>0.25891224320152</v>
      </c>
      <c r="C747" s="65">
        <v>0.0333748960931</v>
      </c>
    </row>
    <row r="748">
      <c r="A748" s="26" t="s">
        <v>1216</v>
      </c>
      <c r="B748" s="65">
        <v>0.25891224320152</v>
      </c>
      <c r="C748" s="65">
        <v>0.0333748960931</v>
      </c>
    </row>
    <row r="749">
      <c r="A749" s="26" t="s">
        <v>1217</v>
      </c>
      <c r="B749" s="65">
        <v>0.039811066126855</v>
      </c>
      <c r="C749" s="65">
        <v>0.020242914979757</v>
      </c>
    </row>
    <row r="750">
      <c r="A750" s="26" t="s">
        <v>1218</v>
      </c>
      <c r="B750" s="65">
        <v>0.039811066126855</v>
      </c>
      <c r="C750" s="65">
        <v>0.020242914979757</v>
      </c>
    </row>
    <row r="751">
      <c r="A751" s="26" t="s">
        <v>1219</v>
      </c>
      <c r="B751" s="65">
        <v>0.094415525994473</v>
      </c>
      <c r="C751" s="65">
        <v>0.048452492177188</v>
      </c>
    </row>
    <row r="752">
      <c r="A752" s="26" t="s">
        <v>1221</v>
      </c>
      <c r="B752" s="65">
        <v>0.094415525994473</v>
      </c>
      <c r="C752" s="65">
        <v>0.048452492177188</v>
      </c>
    </row>
    <row r="753">
      <c r="A753" s="26" t="s">
        <v>1222</v>
      </c>
      <c r="B753" s="65">
        <v>0.09854740061162</v>
      </c>
      <c r="C753" s="65">
        <v>0.01980122324159</v>
      </c>
    </row>
    <row r="754">
      <c r="A754" s="26" t="s">
        <v>1223</v>
      </c>
      <c r="B754" s="65">
        <v>0.09854740061162</v>
      </c>
      <c r="C754" s="65">
        <v>0.01980122324159</v>
      </c>
    </row>
    <row r="755">
      <c r="A755" s="26" t="s">
        <v>1224</v>
      </c>
      <c r="B755" s="65">
        <v>0.174912625600698</v>
      </c>
      <c r="C755" s="65">
        <v>0.05639322451249</v>
      </c>
    </row>
    <row r="756">
      <c r="A756" s="26" t="s">
        <v>1225</v>
      </c>
      <c r="B756" s="65">
        <v>0.174912625600698</v>
      </c>
      <c r="C756" s="65">
        <v>0.05639322451249</v>
      </c>
    </row>
    <row r="757">
      <c r="A757" s="26" t="s">
        <v>1227</v>
      </c>
      <c r="B757" s="65">
        <v>0.378560606060606</v>
      </c>
      <c r="C757" s="65">
        <v>0.023484848484848</v>
      </c>
    </row>
    <row r="758">
      <c r="A758" s="26" t="s">
        <v>1228</v>
      </c>
      <c r="B758" s="65">
        <v>0.261785714285714</v>
      </c>
      <c r="C758" s="65">
        <v>0.031611078315623</v>
      </c>
    </row>
    <row r="759">
      <c r="A759" s="26" t="s">
        <v>1229</v>
      </c>
      <c r="B759" s="65">
        <v>0.365772005772005</v>
      </c>
      <c r="C759" s="65">
        <v>0.029450511609602</v>
      </c>
    </row>
    <row r="760">
      <c r="A760" s="26" t="s">
        <v>1230</v>
      </c>
      <c r="B760" s="65">
        <v>0.303328414010232</v>
      </c>
      <c r="C760" s="65">
        <v>0.058580119375573</v>
      </c>
    </row>
    <row r="761">
      <c r="A761" s="26" t="s">
        <v>1231</v>
      </c>
      <c r="B761" s="65">
        <v>0.067049808429118</v>
      </c>
      <c r="C761" s="65">
        <v>0.002298850574712</v>
      </c>
    </row>
    <row r="762">
      <c r="A762" s="26" t="s">
        <v>1233</v>
      </c>
      <c r="B762" s="65">
        <v>0.076825396825396</v>
      </c>
      <c r="C762" s="65">
        <v>0.003636363636363</v>
      </c>
    </row>
    <row r="763">
      <c r="A763" s="26" t="s">
        <v>1234</v>
      </c>
      <c r="B763" s="65">
        <v>0.079824849480021</v>
      </c>
      <c r="C763" s="65">
        <v>0.00762971383661</v>
      </c>
    </row>
    <row r="764">
      <c r="A764" s="26" t="s">
        <v>1235</v>
      </c>
      <c r="B764" s="65">
        <v>0.154401154401154</v>
      </c>
      <c r="C764" s="65">
        <v>0.033189530775737</v>
      </c>
    </row>
    <row r="765">
      <c r="A765" s="26" t="s">
        <v>1236</v>
      </c>
      <c r="B765" s="65">
        <v>0.256252226576416</v>
      </c>
      <c r="C765" s="65">
        <v>0.008728179551122</v>
      </c>
    </row>
    <row r="766">
      <c r="A766" s="26" t="s">
        <v>1238</v>
      </c>
      <c r="B766" s="65">
        <v>0.254945968412302</v>
      </c>
      <c r="C766" s="65">
        <v>0.017788861180382</v>
      </c>
    </row>
    <row r="767">
      <c r="A767" s="26" t="s">
        <v>1239</v>
      </c>
      <c r="B767" s="65">
        <v>0.269487176719096</v>
      </c>
      <c r="C767" s="65">
        <v>0.019805644618612</v>
      </c>
    </row>
    <row r="768">
      <c r="A768" s="26" t="s">
        <v>1240</v>
      </c>
      <c r="B768" s="65">
        <v>0.242336978621267</v>
      </c>
      <c r="C768" s="65">
        <v>0.025799064430427</v>
      </c>
    </row>
    <row r="769">
      <c r="A769" s="26" t="s">
        <v>1241</v>
      </c>
      <c r="B769" s="65">
        <v>0.032388663967611</v>
      </c>
      <c r="C769" s="65">
        <v>0.016194331983805</v>
      </c>
    </row>
    <row r="770">
      <c r="A770" s="26" t="s">
        <v>1242</v>
      </c>
      <c r="B770" s="65">
        <v>0.043454790823211</v>
      </c>
      <c r="C770" s="65">
        <v>0.023211875843454</v>
      </c>
    </row>
    <row r="771">
      <c r="A771" s="26" t="s">
        <v>1244</v>
      </c>
      <c r="B771" s="65">
        <v>0.053556969346443</v>
      </c>
      <c r="C771" s="65">
        <v>0.026200115673799</v>
      </c>
    </row>
    <row r="772">
      <c r="A772" s="26" t="s">
        <v>1245</v>
      </c>
      <c r="B772" s="65">
        <v>0.118883747831116</v>
      </c>
      <c r="C772" s="65">
        <v>0.056090108721687</v>
      </c>
    </row>
    <row r="773">
      <c r="A773" s="26" t="s">
        <v>1246</v>
      </c>
      <c r="B773" s="65">
        <v>0.082568807339449</v>
      </c>
      <c r="C773" s="65">
        <v>0.013761467889908</v>
      </c>
    </row>
    <row r="774">
      <c r="A774" s="26" t="s">
        <v>1247</v>
      </c>
      <c r="B774" s="65">
        <v>0.106269113149847</v>
      </c>
      <c r="C774" s="65">
        <v>0.026157710790738</v>
      </c>
    </row>
    <row r="775">
      <c r="A775" s="26" t="s">
        <v>1248</v>
      </c>
      <c r="B775" s="65">
        <v>0.106301878549584</v>
      </c>
      <c r="C775" s="65">
        <v>0.02506371049949</v>
      </c>
    </row>
    <row r="776">
      <c r="A776" s="26" t="s">
        <v>1250</v>
      </c>
      <c r="B776" s="65">
        <v>0.177462865880297</v>
      </c>
      <c r="C776" s="65">
        <v>0.059116227808888</v>
      </c>
    </row>
    <row r="777">
      <c r="A777" s="26" t="s">
        <v>1251</v>
      </c>
      <c r="B777" s="65">
        <v>0.367727272727272</v>
      </c>
      <c r="C777" s="65">
        <v>0.031022727272727</v>
      </c>
    </row>
    <row r="778">
      <c r="A778" s="26" t="s">
        <v>1252</v>
      </c>
      <c r="B778" s="65">
        <v>0.379090909090909</v>
      </c>
      <c r="C778" s="65">
        <v>0.024242424242424</v>
      </c>
    </row>
    <row r="779">
      <c r="A779" s="26" t="s">
        <v>1253</v>
      </c>
      <c r="B779" s="65">
        <v>0.365400924832743</v>
      </c>
      <c r="C779" s="65">
        <v>0.042771218680309</v>
      </c>
    </row>
    <row r="780">
      <c r="A780" s="26" t="s">
        <v>1254</v>
      </c>
      <c r="B780" s="65">
        <v>0.380977961432506</v>
      </c>
      <c r="C780" s="65">
        <v>0.030372325238635</v>
      </c>
    </row>
    <row r="781">
      <c r="A781" s="26" t="s">
        <v>1255</v>
      </c>
      <c r="B781" s="65">
        <v>0.079846743295019</v>
      </c>
      <c r="C781" s="65">
        <v>0.004750957854406</v>
      </c>
    </row>
    <row r="782">
      <c r="A782" s="26" t="s">
        <v>1257</v>
      </c>
      <c r="B782" s="65">
        <v>0.070114942528735</v>
      </c>
      <c r="C782" s="65">
        <v>0.004137931034482</v>
      </c>
    </row>
    <row r="783">
      <c r="A783" s="26" t="s">
        <v>1258</v>
      </c>
      <c r="B783" s="65">
        <v>0.123247582557927</v>
      </c>
      <c r="C783" s="65">
        <v>0.02072631072631</v>
      </c>
    </row>
    <row r="784">
      <c r="A784" s="26" t="s">
        <v>1259</v>
      </c>
      <c r="B784" s="65">
        <v>0.096489691662105</v>
      </c>
      <c r="C784" s="65">
        <v>0.015222657291622</v>
      </c>
    </row>
    <row r="785">
      <c r="A785" s="26" t="s">
        <v>1260</v>
      </c>
      <c r="B785" s="65">
        <v>0.251620947630922</v>
      </c>
      <c r="C785" s="65">
        <v>0.012433202707516</v>
      </c>
    </row>
    <row r="786">
      <c r="A786" s="26" t="s">
        <v>1261</v>
      </c>
      <c r="B786" s="65">
        <v>0.246882793017456</v>
      </c>
      <c r="C786" s="65">
        <v>0.004987531172069</v>
      </c>
    </row>
    <row r="787">
      <c r="A787" s="26" t="s">
        <v>1263</v>
      </c>
      <c r="B787" s="65">
        <v>0.257838088760782</v>
      </c>
      <c r="C787" s="65">
        <v>0.029312287145644</v>
      </c>
    </row>
    <row r="788">
      <c r="A788" s="26" t="s">
        <v>1264</v>
      </c>
      <c r="B788" s="65">
        <v>0.252529390808692</v>
      </c>
      <c r="C788" s="65">
        <v>0.018556782646558</v>
      </c>
    </row>
    <row r="789">
      <c r="A789" s="26" t="s">
        <v>1265</v>
      </c>
      <c r="B789" s="65">
        <v>0.041160593792172</v>
      </c>
      <c r="C789" s="65">
        <v>0.021187584345479</v>
      </c>
    </row>
    <row r="790">
      <c r="A790" s="26" t="s">
        <v>1266</v>
      </c>
      <c r="B790" s="65">
        <v>0.032388663967611</v>
      </c>
      <c r="C790" s="65">
        <v>0.016194331983805</v>
      </c>
    </row>
    <row r="791">
      <c r="A791" s="26" t="s">
        <v>1267</v>
      </c>
      <c r="B791" s="65">
        <v>0.08304736199473</v>
      </c>
      <c r="C791" s="65">
        <v>0.032980177717019</v>
      </c>
    </row>
    <row r="792">
      <c r="A792" s="26" t="s">
        <v>1268</v>
      </c>
      <c r="B792" s="65">
        <v>0.066888374783111</v>
      </c>
      <c r="C792" s="65">
        <v>0.034326200115673</v>
      </c>
    </row>
    <row r="793">
      <c r="A793" s="26" t="s">
        <v>1270</v>
      </c>
      <c r="B793" s="65">
        <v>0.096330275229357</v>
      </c>
      <c r="C793" s="65">
        <v>0.020948012232415</v>
      </c>
    </row>
    <row r="794">
      <c r="A794" s="26" t="s">
        <v>1271</v>
      </c>
      <c r="B794" s="65">
        <v>0.088073394495412</v>
      </c>
      <c r="C794" s="65">
        <v>0.013761467889908</v>
      </c>
    </row>
    <row r="795">
      <c r="A795" s="26" t="s">
        <v>1272</v>
      </c>
      <c r="B795" s="65">
        <v>0.145454710936362</v>
      </c>
      <c r="C795" s="65">
        <v>0.048363550313091</v>
      </c>
    </row>
    <row r="796">
      <c r="A796" s="26" t="s">
        <v>1273</v>
      </c>
      <c r="B796" s="65">
        <v>0.123585626911314</v>
      </c>
      <c r="C796" s="65">
        <v>0.030322557157419</v>
      </c>
    </row>
    <row r="797">
      <c r="A797" s="26" t="s">
        <v>1274</v>
      </c>
      <c r="B797" s="26"/>
      <c r="C797" s="26"/>
    </row>
    <row r="798">
      <c r="A798" s="26" t="s">
        <v>1275</v>
      </c>
      <c r="B798" s="26"/>
      <c r="C798" s="26"/>
    </row>
    <row r="799">
      <c r="A799" s="26" t="s">
        <v>1276</v>
      </c>
      <c r="B799" s="26"/>
      <c r="C799" s="26"/>
    </row>
    <row r="800">
      <c r="A800" s="26" t="s">
        <v>1278</v>
      </c>
      <c r="B800" s="26"/>
      <c r="C800" s="26"/>
    </row>
    <row r="801">
      <c r="A801" s="26" t="s">
        <v>1279</v>
      </c>
      <c r="B801" s="26"/>
      <c r="C801" s="26"/>
    </row>
    <row r="802">
      <c r="A802" s="26" t="s">
        <v>1280</v>
      </c>
      <c r="B802" s="26"/>
      <c r="C802" s="26"/>
    </row>
    <row r="803">
      <c r="A803" s="26" t="s">
        <v>1281</v>
      </c>
      <c r="B803" s="26"/>
      <c r="C803" s="26"/>
    </row>
    <row r="804">
      <c r="A804" s="26" t="s">
        <v>1282</v>
      </c>
      <c r="B804" s="26"/>
      <c r="C804" s="26"/>
    </row>
    <row r="805">
      <c r="A805" s="26" t="s">
        <v>1283</v>
      </c>
      <c r="B805" s="26"/>
      <c r="C805" s="26"/>
    </row>
    <row r="806">
      <c r="A806" s="26" t="s">
        <v>1284</v>
      </c>
      <c r="B806" s="26"/>
      <c r="C806" s="26"/>
    </row>
    <row r="807">
      <c r="A807" s="26" t="s">
        <v>1286</v>
      </c>
      <c r="B807" s="26"/>
      <c r="C807" s="26"/>
    </row>
    <row r="808">
      <c r="A808" s="26" t="s">
        <v>1287</v>
      </c>
      <c r="B808" s="26"/>
      <c r="C808" s="26"/>
    </row>
    <row r="809">
      <c r="A809" s="26" t="s">
        <v>1288</v>
      </c>
      <c r="B809" s="26"/>
      <c r="C809" s="26"/>
    </row>
    <row r="810">
      <c r="A810" s="26" t="s">
        <v>1289</v>
      </c>
      <c r="B810" s="26"/>
      <c r="C810" s="26"/>
    </row>
    <row r="811">
      <c r="A811" s="26" t="s">
        <v>1290</v>
      </c>
      <c r="B811" s="26"/>
      <c r="C811" s="26"/>
    </row>
    <row r="812">
      <c r="A812" s="26" t="s">
        <v>1291</v>
      </c>
      <c r="B812" s="26"/>
      <c r="C812" s="26"/>
    </row>
    <row r="813">
      <c r="A813" s="26" t="s">
        <v>1292</v>
      </c>
      <c r="B813" s="26"/>
      <c r="C813" s="26"/>
    </row>
    <row r="814">
      <c r="A814" s="26" t="s">
        <v>1293</v>
      </c>
      <c r="B814" s="26"/>
      <c r="C814" s="26"/>
    </row>
    <row r="815">
      <c r="A815" s="26" t="s">
        <v>1294</v>
      </c>
      <c r="B815" s="26"/>
      <c r="C815" s="26"/>
    </row>
    <row r="816">
      <c r="A816" s="26" t="s">
        <v>1296</v>
      </c>
      <c r="B816" s="26"/>
      <c r="C816" s="26"/>
    </row>
    <row r="817">
      <c r="A817" s="26" t="s">
        <v>1297</v>
      </c>
      <c r="B817" s="65">
        <v>0.426044372294372</v>
      </c>
      <c r="C817" s="65">
        <v>0.196891795073613</v>
      </c>
    </row>
    <row r="818">
      <c r="A818" s="26" t="s">
        <v>1298</v>
      </c>
      <c r="B818" s="65">
        <v>0.426044372294372</v>
      </c>
      <c r="C818" s="65">
        <v>0.196891795073613</v>
      </c>
    </row>
    <row r="819">
      <c r="A819" s="26" t="s">
        <v>1299</v>
      </c>
      <c r="B819" s="65">
        <v>0.439553338076065</v>
      </c>
      <c r="C819" s="65">
        <v>0.194877899214023</v>
      </c>
    </row>
    <row r="820">
      <c r="A820" s="26" t="s">
        <v>1300</v>
      </c>
      <c r="B820" s="65">
        <v>0.439553338076065</v>
      </c>
      <c r="C820" s="65">
        <v>0.194877899214023</v>
      </c>
    </row>
    <row r="821">
      <c r="A821" s="26" t="s">
        <v>1302</v>
      </c>
      <c r="B821" s="65">
        <v>0.518067870826491</v>
      </c>
      <c r="C821" s="65">
        <v>0.280322091701402</v>
      </c>
    </row>
    <row r="822">
      <c r="A822" s="26" t="s">
        <v>1303</v>
      </c>
      <c r="B822" s="65">
        <v>0.518067870826491</v>
      </c>
      <c r="C822" s="65">
        <v>0.280322091701402</v>
      </c>
    </row>
    <row r="823">
      <c r="A823" s="26" t="s">
        <v>1304</v>
      </c>
      <c r="B823" s="65">
        <v>0.545670663946526</v>
      </c>
      <c r="C823" s="65">
        <v>0.267038320286959</v>
      </c>
    </row>
    <row r="824">
      <c r="A824" s="26" t="s">
        <v>1305</v>
      </c>
      <c r="B824" s="65">
        <v>0.545670663946526</v>
      </c>
      <c r="C824" s="65">
        <v>0.267038320286959</v>
      </c>
    </row>
    <row r="825">
      <c r="A825" s="26" t="s">
        <v>1307</v>
      </c>
      <c r="B825" s="65">
        <v>0.36992637453984</v>
      </c>
      <c r="C825" s="65">
        <v>0.177009302695088</v>
      </c>
    </row>
    <row r="826">
      <c r="A826" s="26" t="s">
        <v>1308</v>
      </c>
      <c r="B826" s="65">
        <v>0.36992637453984</v>
      </c>
      <c r="C826" s="65">
        <v>0.177009302695088</v>
      </c>
    </row>
    <row r="827">
      <c r="A827" s="26" t="s">
        <v>1309</v>
      </c>
      <c r="B827" s="65">
        <v>0.416243122352848</v>
      </c>
      <c r="C827" s="65">
        <v>0.16381294399407</v>
      </c>
    </row>
    <row r="828">
      <c r="A828" s="26" t="s">
        <v>1310</v>
      </c>
      <c r="B828" s="65">
        <v>0.416243122352848</v>
      </c>
      <c r="C828" s="65">
        <v>0.16381294399407</v>
      </c>
    </row>
    <row r="829">
      <c r="A829" s="26" t="s">
        <v>1311</v>
      </c>
      <c r="B829" s="65">
        <v>0.531874558190347</v>
      </c>
      <c r="C829" s="65">
        <v>0.342842245473824</v>
      </c>
    </row>
    <row r="830">
      <c r="A830" s="26" t="s">
        <v>1312</v>
      </c>
      <c r="B830" s="65">
        <v>0.531874558190347</v>
      </c>
      <c r="C830" s="65">
        <v>0.342842245473824</v>
      </c>
    </row>
    <row r="831">
      <c r="A831" s="26" t="s">
        <v>1314</v>
      </c>
      <c r="B831" s="65">
        <v>0.563499366130945</v>
      </c>
      <c r="C831" s="65">
        <v>0.342174177599278</v>
      </c>
    </row>
    <row r="832">
      <c r="A832" s="26" t="s">
        <v>1315</v>
      </c>
      <c r="B832" s="65">
        <v>0.563499366130945</v>
      </c>
      <c r="C832" s="65">
        <v>0.342174177599278</v>
      </c>
    </row>
    <row r="833">
      <c r="A833" s="26" t="s">
        <v>1316</v>
      </c>
      <c r="B833" s="65">
        <v>0.580582860055337</v>
      </c>
      <c r="C833" s="65">
        <v>0.386395408872473</v>
      </c>
    </row>
    <row r="834">
      <c r="A834" s="26" t="s">
        <v>1317</v>
      </c>
      <c r="B834" s="65">
        <v>0.580582860055337</v>
      </c>
      <c r="C834" s="65">
        <v>0.386395408872473</v>
      </c>
    </row>
    <row r="835">
      <c r="A835" s="26" t="s">
        <v>1318</v>
      </c>
      <c r="B835" s="65">
        <v>0.558950415028396</v>
      </c>
      <c r="C835" s="65">
        <v>0.335878265465421</v>
      </c>
    </row>
    <row r="836">
      <c r="A836" s="26" t="s">
        <v>1319</v>
      </c>
      <c r="B836" s="65">
        <v>0.558950415028396</v>
      </c>
      <c r="C836" s="65">
        <v>0.335878265465421</v>
      </c>
    </row>
    <row r="837">
      <c r="A837" s="26" t="s">
        <v>1320</v>
      </c>
      <c r="B837" s="65">
        <v>0.45689836678473</v>
      </c>
      <c r="C837" s="65">
        <v>0.211896928828747</v>
      </c>
    </row>
    <row r="838">
      <c r="A838" s="26" t="s">
        <v>1322</v>
      </c>
      <c r="B838" s="65">
        <v>0.45689836678473</v>
      </c>
      <c r="C838" s="65">
        <v>0.211896928828747</v>
      </c>
    </row>
    <row r="839">
      <c r="A839" s="26" t="s">
        <v>1323</v>
      </c>
      <c r="B839" s="65">
        <v>0.459090909090909</v>
      </c>
      <c r="C839" s="65">
        <v>0.208082411010042</v>
      </c>
    </row>
    <row r="840">
      <c r="A840" s="26" t="s">
        <v>1324</v>
      </c>
      <c r="B840" s="65">
        <v>0.459090909090909</v>
      </c>
      <c r="C840" s="65">
        <v>0.208082411010042</v>
      </c>
    </row>
    <row r="841">
      <c r="A841" s="26" t="s">
        <v>1325</v>
      </c>
      <c r="B841" s="65">
        <v>0.472295201605546</v>
      </c>
      <c r="C841" s="65">
        <v>0.235703836393491</v>
      </c>
    </row>
    <row r="842">
      <c r="A842" s="26" t="s">
        <v>1326</v>
      </c>
      <c r="B842" s="65">
        <v>0.472295201605546</v>
      </c>
      <c r="C842" s="65">
        <v>0.235703836393491</v>
      </c>
    </row>
    <row r="843">
      <c r="A843" s="26" t="s">
        <v>1327</v>
      </c>
      <c r="B843" s="65">
        <v>0.526722983274707</v>
      </c>
      <c r="C843" s="65">
        <v>0.241998669456233</v>
      </c>
    </row>
    <row r="844">
      <c r="A844" s="26" t="s">
        <v>1328</v>
      </c>
      <c r="B844" s="65">
        <v>0.526722983274707</v>
      </c>
      <c r="C844" s="65">
        <v>0.241998669456233</v>
      </c>
    </row>
    <row r="845">
      <c r="A845" s="26" t="s">
        <v>1330</v>
      </c>
      <c r="B845" s="65">
        <v>0.388403990024937</v>
      </c>
      <c r="C845" s="65">
        <v>0.154509109621329</v>
      </c>
    </row>
    <row r="846">
      <c r="A846" s="26" t="s">
        <v>1331</v>
      </c>
      <c r="B846" s="65">
        <v>0.388403990024937</v>
      </c>
      <c r="C846" s="65">
        <v>0.154509109621329</v>
      </c>
    </row>
    <row r="847">
      <c r="A847" s="26" t="s">
        <v>1332</v>
      </c>
      <c r="B847" s="65">
        <v>0.416792074647436</v>
      </c>
      <c r="C847" s="65">
        <v>0.15307063521454</v>
      </c>
    </row>
    <row r="848">
      <c r="A848" s="26" t="s">
        <v>1333</v>
      </c>
      <c r="B848" s="65">
        <v>0.416792074647436</v>
      </c>
      <c r="C848" s="65">
        <v>0.15307063521454</v>
      </c>
    </row>
    <row r="849">
      <c r="A849" s="26" t="s">
        <v>1334</v>
      </c>
      <c r="B849" s="65">
        <v>0.518176852387378</v>
      </c>
      <c r="C849" s="65">
        <v>0.311915367583383</v>
      </c>
    </row>
    <row r="850">
      <c r="A850" s="26" t="s">
        <v>1335</v>
      </c>
      <c r="B850" s="65">
        <v>0.518176852387378</v>
      </c>
      <c r="C850" s="65">
        <v>0.311915367583383</v>
      </c>
    </row>
    <row r="851">
      <c r="A851" s="26" t="s">
        <v>1336</v>
      </c>
      <c r="B851" s="65">
        <v>0.527584988111303</v>
      </c>
      <c r="C851" s="65">
        <v>0.307092525108719</v>
      </c>
    </row>
    <row r="852">
      <c r="A852" s="26" t="s">
        <v>1338</v>
      </c>
      <c r="B852" s="65">
        <v>0.527584988111303</v>
      </c>
      <c r="C852" s="65">
        <v>0.307092525108719</v>
      </c>
    </row>
    <row r="853">
      <c r="A853" s="26" t="s">
        <v>1339</v>
      </c>
      <c r="B853" s="65">
        <v>0.582661642638706</v>
      </c>
      <c r="C853" s="65">
        <v>0.354538173345512</v>
      </c>
    </row>
    <row r="854">
      <c r="A854" s="26" t="s">
        <v>1340</v>
      </c>
      <c r="B854" s="65">
        <v>0.582661642638706</v>
      </c>
      <c r="C854" s="65">
        <v>0.354538173345512</v>
      </c>
    </row>
    <row r="855">
      <c r="A855" s="26" t="s">
        <v>1341</v>
      </c>
      <c r="B855" s="65">
        <v>0.571552351827581</v>
      </c>
      <c r="C855" s="65">
        <v>0.320167981865229</v>
      </c>
    </row>
    <row r="856">
      <c r="A856" s="26" t="s">
        <v>1342</v>
      </c>
      <c r="B856" s="65">
        <v>0.571552351827581</v>
      </c>
      <c r="C856" s="65">
        <v>0.320167981865229</v>
      </c>
    </row>
    <row r="857">
      <c r="A857" s="26" t="s">
        <v>1344</v>
      </c>
      <c r="B857" s="65">
        <v>0.378286435786435</v>
      </c>
      <c r="C857" s="65">
        <v>0.179025910957729</v>
      </c>
    </row>
    <row r="858">
      <c r="A858" s="26" t="s">
        <v>1345</v>
      </c>
      <c r="B858" s="65">
        <v>0.40656746031746</v>
      </c>
      <c r="C858" s="65">
        <v>0.167839105339105</v>
      </c>
    </row>
    <row r="859">
      <c r="A859" s="26" t="s">
        <v>1346</v>
      </c>
      <c r="B859" s="65">
        <v>0.394203397612488</v>
      </c>
      <c r="C859" s="65">
        <v>0.179364489179082</v>
      </c>
    </row>
    <row r="860">
      <c r="A860" s="26" t="s">
        <v>1348</v>
      </c>
      <c r="B860" s="65">
        <v>0.414478223796405</v>
      </c>
      <c r="C860" s="65">
        <v>0.174346495008259</v>
      </c>
    </row>
    <row r="861">
      <c r="A861" s="26" t="s">
        <v>1349</v>
      </c>
      <c r="B861" s="65">
        <v>0.415121328224776</v>
      </c>
      <c r="C861" s="65">
        <v>0.204812161019057</v>
      </c>
    </row>
    <row r="862">
      <c r="A862" s="26" t="s">
        <v>1350</v>
      </c>
      <c r="B862" s="65">
        <v>0.436294471811713</v>
      </c>
      <c r="C862" s="65">
        <v>0.220552321241976</v>
      </c>
    </row>
    <row r="863">
      <c r="A863" s="26" t="s">
        <v>1351</v>
      </c>
      <c r="B863" s="65">
        <v>0.489497603290706</v>
      </c>
      <c r="C863" s="65">
        <v>0.221357687818667</v>
      </c>
    </row>
    <row r="864">
      <c r="A864" s="26" t="s">
        <v>1352</v>
      </c>
      <c r="B864" s="65">
        <v>0.494663586732552</v>
      </c>
      <c r="C864" s="65">
        <v>0.228930979877387</v>
      </c>
    </row>
    <row r="865">
      <c r="A865" s="26" t="s">
        <v>1354</v>
      </c>
      <c r="B865" s="65">
        <v>0.357404108775679</v>
      </c>
      <c r="C865" s="65">
        <v>0.161709598243264</v>
      </c>
    </row>
    <row r="866">
      <c r="A866" s="26" t="s">
        <v>1356</v>
      </c>
      <c r="B866" s="65">
        <v>0.365336658354114</v>
      </c>
      <c r="C866" s="65">
        <v>0.16331069872217</v>
      </c>
    </row>
    <row r="867">
      <c r="A867" s="26" t="s">
        <v>1357</v>
      </c>
      <c r="B867" s="65">
        <v>0.39045369980532</v>
      </c>
      <c r="C867" s="65">
        <v>0.156234516954041</v>
      </c>
    </row>
    <row r="868">
      <c r="A868" s="26" t="s">
        <v>1358</v>
      </c>
      <c r="B868" s="65">
        <v>0.38571104705768</v>
      </c>
      <c r="C868" s="65">
        <v>0.173229101522725</v>
      </c>
    </row>
    <row r="869">
      <c r="A869" s="26" t="s">
        <v>1360</v>
      </c>
      <c r="B869" s="65">
        <v>0.507441681125891</v>
      </c>
      <c r="C869" s="65">
        <v>0.317826123494139</v>
      </c>
    </row>
    <row r="870">
      <c r="A870" s="26" t="s">
        <v>1361</v>
      </c>
      <c r="B870" s="65">
        <v>0.486446886446886</v>
      </c>
      <c r="C870" s="65">
        <v>0.30407008645875</v>
      </c>
    </row>
    <row r="871">
      <c r="A871" s="26" t="s">
        <v>1362</v>
      </c>
      <c r="B871" s="65">
        <v>0.524845622214043</v>
      </c>
      <c r="C871" s="65">
        <v>0.303132292808406</v>
      </c>
    </row>
    <row r="872">
      <c r="A872" s="26" t="s">
        <v>1363</v>
      </c>
      <c r="B872" s="65">
        <v>0.519135834925308</v>
      </c>
      <c r="C872" s="65">
        <v>0.298470861122682</v>
      </c>
    </row>
    <row r="873">
      <c r="A873" s="26" t="s">
        <v>1365</v>
      </c>
      <c r="B873" s="65">
        <v>0.535242828018057</v>
      </c>
      <c r="C873" s="65">
        <v>0.325862822193097</v>
      </c>
    </row>
    <row r="874">
      <c r="A874" s="26" t="s">
        <v>1366</v>
      </c>
      <c r="B874" s="65">
        <v>0.517922673656618</v>
      </c>
      <c r="C874" s="65">
        <v>0.318141440618504</v>
      </c>
    </row>
    <row r="875">
      <c r="A875" s="26" t="s">
        <v>1367</v>
      </c>
      <c r="B875" s="65">
        <v>0.532287488250791</v>
      </c>
      <c r="C875" s="65">
        <v>0.301550641000182</v>
      </c>
    </row>
    <row r="876">
      <c r="A876" s="26" t="s">
        <v>1368</v>
      </c>
      <c r="B876" s="65">
        <v>0.510163396745965</v>
      </c>
      <c r="C876" s="65">
        <v>0.295937192267467</v>
      </c>
    </row>
    <row r="877">
      <c r="A877" s="26" t="s">
        <v>1369</v>
      </c>
      <c r="B877" s="65">
        <v>0.445492424242424</v>
      </c>
      <c r="C877" s="65">
        <v>0.197240310194855</v>
      </c>
    </row>
    <row r="878">
      <c r="A878" s="26" t="s">
        <v>1371</v>
      </c>
      <c r="B878" s="65">
        <v>0.413371212121212</v>
      </c>
      <c r="C878" s="65">
        <v>0.184611688816234</v>
      </c>
    </row>
    <row r="879">
      <c r="A879" s="26" t="s">
        <v>1372</v>
      </c>
      <c r="B879" s="65">
        <v>0.431149317853863</v>
      </c>
      <c r="C879" s="65">
        <v>0.183156717020353</v>
      </c>
    </row>
    <row r="880">
      <c r="A880" s="26" t="s">
        <v>1373</v>
      </c>
      <c r="B880" s="65">
        <v>0.43892316017316</v>
      </c>
      <c r="C880" s="65">
        <v>0.179211351631137</v>
      </c>
    </row>
    <row r="881">
      <c r="A881" s="26" t="s">
        <v>1374</v>
      </c>
      <c r="B881" s="65">
        <v>0.445050173326035</v>
      </c>
      <c r="C881" s="65">
        <v>0.212716325819774</v>
      </c>
    </row>
    <row r="882">
      <c r="A882" s="26" t="s">
        <v>1375</v>
      </c>
      <c r="B882" s="65">
        <v>0.435211391418287</v>
      </c>
      <c r="C882" s="65">
        <v>0.21173588863244</v>
      </c>
    </row>
    <row r="883">
      <c r="A883" s="26" t="s">
        <v>1376</v>
      </c>
      <c r="B883" s="65">
        <v>0.519016602809706</v>
      </c>
      <c r="C883" s="65">
        <v>0.224665430355085</v>
      </c>
    </row>
    <row r="884">
      <c r="A884" s="26" t="s">
        <v>1378</v>
      </c>
      <c r="B884" s="65">
        <v>0.487092600885704</v>
      </c>
      <c r="C884" s="65">
        <v>0.211330359220825</v>
      </c>
    </row>
    <row r="885">
      <c r="A885" s="26" t="s">
        <v>1379</v>
      </c>
      <c r="B885" s="65">
        <v>0.376811938407948</v>
      </c>
      <c r="C885" s="65">
        <v>0.149620717326453</v>
      </c>
    </row>
    <row r="886">
      <c r="A886" s="26" t="s">
        <v>1380</v>
      </c>
      <c r="B886" s="65">
        <v>0.349214265922495</v>
      </c>
      <c r="C886" s="65">
        <v>0.146361639192063</v>
      </c>
    </row>
    <row r="887">
      <c r="A887" s="26" t="s">
        <v>1381</v>
      </c>
      <c r="B887" s="65">
        <v>0.40928774744236</v>
      </c>
      <c r="C887" s="65">
        <v>0.15206313395245</v>
      </c>
    </row>
    <row r="888">
      <c r="A888" s="26" t="s">
        <v>1382</v>
      </c>
      <c r="B888" s="65">
        <v>0.394207399693683</v>
      </c>
      <c r="C888" s="65">
        <v>0.154272529317116</v>
      </c>
    </row>
    <row r="889">
      <c r="A889" s="26" t="s">
        <v>1383</v>
      </c>
      <c r="B889" s="65">
        <v>0.495932138037401</v>
      </c>
      <c r="C889" s="65">
        <v>0.284237107921318</v>
      </c>
    </row>
    <row r="890">
      <c r="A890" s="26" t="s">
        <v>1385</v>
      </c>
      <c r="B890" s="65">
        <v>0.50664803033224</v>
      </c>
      <c r="C890" s="65">
        <v>0.317835762977463</v>
      </c>
    </row>
    <row r="891">
      <c r="A891" s="26" t="s">
        <v>1386</v>
      </c>
      <c r="B891" s="65">
        <v>0.524958082852819</v>
      </c>
      <c r="C891" s="65">
        <v>0.280268943831696</v>
      </c>
    </row>
    <row r="892">
      <c r="A892" s="26" t="s">
        <v>1387</v>
      </c>
      <c r="B892" s="65">
        <v>0.534146263093631</v>
      </c>
      <c r="C892" s="65">
        <v>0.289004450340482</v>
      </c>
    </row>
    <row r="893">
      <c r="A893" s="26" t="s">
        <v>1388</v>
      </c>
      <c r="B893" s="65">
        <v>0.546565093927479</v>
      </c>
      <c r="C893" s="65">
        <v>0.334347240425222</v>
      </c>
    </row>
    <row r="894">
      <c r="A894" s="26" t="s">
        <v>1389</v>
      </c>
      <c r="B894" s="65">
        <v>0.528740716470074</v>
      </c>
      <c r="C894" s="65">
        <v>0.305974555515839</v>
      </c>
    </row>
    <row r="895">
      <c r="A895" s="26" t="s">
        <v>1390</v>
      </c>
      <c r="B895" s="65">
        <v>0.541328918278459</v>
      </c>
      <c r="C895" s="65">
        <v>0.309134768137061</v>
      </c>
    </row>
    <row r="896">
      <c r="A896" s="26" t="s">
        <v>1391</v>
      </c>
      <c r="B896" s="65">
        <v>0.53679372360565</v>
      </c>
      <c r="C896" s="65">
        <v>0.292880475793319</v>
      </c>
    </row>
    <row r="897">
      <c r="A897" s="26" t="s">
        <v>1393</v>
      </c>
      <c r="B897" s="65">
        <v>0.420524891774891</v>
      </c>
      <c r="C897" s="65">
        <v>0.167276662731208</v>
      </c>
    </row>
    <row r="898">
      <c r="A898" s="26" t="s">
        <v>1394</v>
      </c>
      <c r="B898" s="65">
        <v>0.418667027417027</v>
      </c>
      <c r="C898" s="65">
        <v>0.157231013935559</v>
      </c>
    </row>
    <row r="899">
      <c r="A899" s="26" t="s">
        <v>1395</v>
      </c>
      <c r="B899" s="65">
        <v>0.439462027871118</v>
      </c>
      <c r="C899" s="65">
        <v>0.174812610966917</v>
      </c>
    </row>
    <row r="900">
      <c r="A900" s="26" t="s">
        <v>1396</v>
      </c>
      <c r="B900" s="65">
        <v>0.433172143513052</v>
      </c>
      <c r="C900" s="65">
        <v>0.168001816763778</v>
      </c>
    </row>
    <row r="901">
      <c r="A901" s="26" t="s">
        <v>1397</v>
      </c>
      <c r="B901" s="65">
        <v>0.418368910782703</v>
      </c>
      <c r="C901" s="65">
        <v>0.193903567696671</v>
      </c>
    </row>
    <row r="902">
      <c r="A902" s="26" t="s">
        <v>1399</v>
      </c>
      <c r="B902" s="65">
        <v>0.430675059295748</v>
      </c>
      <c r="C902" s="65">
        <v>0.188097049821187</v>
      </c>
    </row>
    <row r="903">
      <c r="A903" s="26" t="s">
        <v>1400</v>
      </c>
      <c r="B903" s="65">
        <v>0.476036900519659</v>
      </c>
      <c r="C903" s="65">
        <v>0.208858376616997</v>
      </c>
    </row>
    <row r="904">
      <c r="A904" s="26" t="s">
        <v>1401</v>
      </c>
      <c r="B904" s="65">
        <v>0.489979598945116</v>
      </c>
      <c r="C904" s="65">
        <v>0.201753220564472</v>
      </c>
    </row>
    <row r="905">
      <c r="A905" s="26" t="s">
        <v>1402</v>
      </c>
      <c r="B905" s="65">
        <v>0.354708466927918</v>
      </c>
      <c r="C905" s="65">
        <v>0.134823655147844</v>
      </c>
    </row>
    <row r="906">
      <c r="A906" s="26" t="s">
        <v>1403</v>
      </c>
      <c r="B906" s="65">
        <v>0.351282508015675</v>
      </c>
      <c r="C906" s="65">
        <v>0.131188263108462</v>
      </c>
    </row>
    <row r="907">
      <c r="A907" s="26" t="s">
        <v>1404</v>
      </c>
      <c r="B907" s="65">
        <v>0.366898950315409</v>
      </c>
      <c r="C907" s="65">
        <v>0.13867695165399</v>
      </c>
    </row>
    <row r="908">
      <c r="A908" s="26" t="s">
        <v>1406</v>
      </c>
      <c r="B908" s="65">
        <v>0.378532564692165</v>
      </c>
      <c r="C908" s="65">
        <v>0.148759836727417</v>
      </c>
    </row>
    <row r="909">
      <c r="A909" s="26" t="s">
        <v>1407</v>
      </c>
      <c r="B909" s="65">
        <v>0.501661204292783</v>
      </c>
      <c r="C909" s="65">
        <v>0.303534477218687</v>
      </c>
    </row>
    <row r="910">
      <c r="A910" s="26" t="s">
        <v>1408</v>
      </c>
      <c r="B910" s="65">
        <v>0.480727459674828</v>
      </c>
      <c r="C910" s="65">
        <v>0.27905048168206</v>
      </c>
    </row>
    <row r="911">
      <c r="A911" s="26" t="s">
        <v>1409</v>
      </c>
      <c r="B911" s="65">
        <v>0.524787493208545</v>
      </c>
      <c r="C911" s="65">
        <v>0.27080165673283</v>
      </c>
    </row>
    <row r="912">
      <c r="A912" s="26" t="s">
        <v>1410</v>
      </c>
      <c r="B912" s="65">
        <v>0.504200769990243</v>
      </c>
      <c r="C912" s="65">
        <v>0.27062473262759</v>
      </c>
    </row>
    <row r="913">
      <c r="A913" s="26" t="s">
        <v>1411</v>
      </c>
      <c r="B913" s="65">
        <v>0.533846657929226</v>
      </c>
      <c r="C913" s="65">
        <v>0.292868064657055</v>
      </c>
    </row>
    <row r="914">
      <c r="A914" s="26" t="s">
        <v>1412</v>
      </c>
      <c r="B914" s="65">
        <v>0.561271297509829</v>
      </c>
      <c r="C914" s="65">
        <v>0.292917212756662</v>
      </c>
    </row>
    <row r="915">
      <c r="A915" s="26" t="s">
        <v>1414</v>
      </c>
      <c r="B915" s="65">
        <v>0.536541529316758</v>
      </c>
      <c r="C915" s="65">
        <v>0.284075519281941</v>
      </c>
    </row>
    <row r="916">
      <c r="A916" s="26" t="s">
        <v>1415</v>
      </c>
      <c r="B916" s="65">
        <v>0.55177115188583</v>
      </c>
      <c r="C916" s="65">
        <v>0.302401599419948</v>
      </c>
    </row>
    <row r="917">
      <c r="A917" s="26" t="s">
        <v>1416</v>
      </c>
      <c r="B917" s="65">
        <v>0.308809523809523</v>
      </c>
      <c r="C917" s="65">
        <v>0.026858028335301</v>
      </c>
    </row>
    <row r="918">
      <c r="A918" s="26" t="s">
        <v>1417</v>
      </c>
      <c r="B918" s="65">
        <v>0.308809523809523</v>
      </c>
      <c r="C918" s="65">
        <v>0.026858028335301</v>
      </c>
    </row>
    <row r="919">
      <c r="A919" s="26" t="s">
        <v>1418</v>
      </c>
      <c r="B919" s="65">
        <v>0.216430892339983</v>
      </c>
      <c r="C919" s="65">
        <v>0.047983663106446</v>
      </c>
    </row>
    <row r="920">
      <c r="A920" s="26" t="s">
        <v>1419</v>
      </c>
      <c r="B920" s="65">
        <v>0.216430892339983</v>
      </c>
      <c r="C920" s="65">
        <v>0.047983663106446</v>
      </c>
    </row>
    <row r="921">
      <c r="A921" s="26" t="s">
        <v>1421</v>
      </c>
      <c r="B921" s="65">
        <v>0.17567597153804</v>
      </c>
      <c r="C921" s="65">
        <v>0.016372924648786</v>
      </c>
    </row>
    <row r="922">
      <c r="A922" s="26" t="s">
        <v>1422</v>
      </c>
      <c r="B922" s="65">
        <v>0.17567597153804</v>
      </c>
      <c r="C922" s="65">
        <v>0.016372924648786</v>
      </c>
    </row>
    <row r="923">
      <c r="A923" s="26" t="s">
        <v>1423</v>
      </c>
      <c r="B923" s="65">
        <v>0.253106599658323</v>
      </c>
      <c r="C923" s="65">
        <v>0.0475114322787</v>
      </c>
    </row>
    <row r="924">
      <c r="A924" s="26" t="s">
        <v>1424</v>
      </c>
      <c r="B924" s="65">
        <v>0.253106599658323</v>
      </c>
      <c r="C924" s="65">
        <v>0.0475114322787</v>
      </c>
    </row>
    <row r="925">
      <c r="A925" s="26" t="s">
        <v>1426</v>
      </c>
      <c r="B925" s="65">
        <v>0.151779281953845</v>
      </c>
      <c r="C925" s="65">
        <v>0.003669397933737</v>
      </c>
    </row>
    <row r="926">
      <c r="A926" s="26" t="s">
        <v>1427</v>
      </c>
      <c r="B926" s="65">
        <v>0.151779281953845</v>
      </c>
      <c r="C926" s="65">
        <v>0.003669397933737</v>
      </c>
    </row>
    <row r="927">
      <c r="A927" s="26" t="s">
        <v>1428</v>
      </c>
      <c r="B927" s="65">
        <v>0.162996355265681</v>
      </c>
      <c r="C927" s="65">
        <v>0.03231315975925</v>
      </c>
    </row>
    <row r="928">
      <c r="A928" s="26" t="s">
        <v>1429</v>
      </c>
      <c r="B928" s="65">
        <v>0.162996355265681</v>
      </c>
      <c r="C928" s="65">
        <v>0.03231315975925</v>
      </c>
    </row>
    <row r="929">
      <c r="A929" s="26" t="s">
        <v>1431</v>
      </c>
      <c r="B929" s="65">
        <v>0.286736070946597</v>
      </c>
      <c r="C929" s="65">
        <v>0.034952766531713</v>
      </c>
    </row>
    <row r="930">
      <c r="A930" s="26" t="s">
        <v>1432</v>
      </c>
      <c r="B930" s="65">
        <v>0.286736070946597</v>
      </c>
      <c r="C930" s="65">
        <v>0.034952766531713</v>
      </c>
    </row>
    <row r="931">
      <c r="A931" s="26" t="s">
        <v>1433</v>
      </c>
      <c r="B931" s="65">
        <v>0.34665247033668</v>
      </c>
      <c r="C931" s="65">
        <v>0.078392927937932</v>
      </c>
    </row>
    <row r="932">
      <c r="A932" s="26" t="s">
        <v>1434</v>
      </c>
      <c r="B932" s="65">
        <v>0.34665247033668</v>
      </c>
      <c r="C932" s="65">
        <v>0.078392927937932</v>
      </c>
    </row>
    <row r="933">
      <c r="A933" s="26" t="s">
        <v>1435</v>
      </c>
      <c r="B933" s="65">
        <v>0.236216688510266</v>
      </c>
      <c r="C933" s="65">
        <v>0.023328964613368</v>
      </c>
    </row>
    <row r="934">
      <c r="A934" s="26" t="s">
        <v>1437</v>
      </c>
      <c r="B934" s="65">
        <v>0.236216688510266</v>
      </c>
      <c r="C934" s="65">
        <v>0.023328964613368</v>
      </c>
    </row>
    <row r="935">
      <c r="A935" s="26" t="s">
        <v>1438</v>
      </c>
      <c r="B935" s="65">
        <v>0.259509412605742</v>
      </c>
      <c r="C935" s="65">
        <v>0.060906319855179</v>
      </c>
    </row>
    <row r="936">
      <c r="A936" s="26" t="s">
        <v>1439</v>
      </c>
      <c r="B936" s="65">
        <v>0.259509412605742</v>
      </c>
      <c r="C936" s="65">
        <v>0.060906319855179</v>
      </c>
    </row>
    <row r="937">
      <c r="A937" s="26" t="s">
        <v>1441</v>
      </c>
      <c r="B937" s="65">
        <v>0.324491341991341</v>
      </c>
      <c r="C937" s="65">
        <v>0.022982093663911</v>
      </c>
    </row>
    <row r="938">
      <c r="A938" s="26" t="s">
        <v>1442</v>
      </c>
      <c r="B938" s="65">
        <v>0.324491341991341</v>
      </c>
      <c r="C938" s="65">
        <v>0.022982093663911</v>
      </c>
    </row>
    <row r="939">
      <c r="A939" s="26" t="s">
        <v>1443</v>
      </c>
      <c r="B939" s="65">
        <v>0.232054410236228</v>
      </c>
      <c r="C939" s="65">
        <v>0.044310145693659</v>
      </c>
    </row>
    <row r="940">
      <c r="A940" s="26" t="s">
        <v>1444</v>
      </c>
      <c r="B940" s="65">
        <v>0.232054410236228</v>
      </c>
      <c r="C940" s="65">
        <v>0.044310145693659</v>
      </c>
    </row>
    <row r="941">
      <c r="A941" s="26" t="s">
        <v>1445</v>
      </c>
      <c r="B941" s="65">
        <v>0.145114030286444</v>
      </c>
      <c r="C941" s="65">
        <v>0.011676701331873</v>
      </c>
    </row>
    <row r="942">
      <c r="A942" s="26" t="s">
        <v>1447</v>
      </c>
      <c r="B942" s="65">
        <v>0.145114030286444</v>
      </c>
      <c r="C942" s="65">
        <v>0.011676701331873</v>
      </c>
    </row>
    <row r="943">
      <c r="A943" s="26" t="s">
        <v>1448</v>
      </c>
      <c r="B943" s="65">
        <v>0.284752641994021</v>
      </c>
      <c r="C943" s="65">
        <v>0.044655451128708</v>
      </c>
    </row>
    <row r="944">
      <c r="A944" s="26" t="s">
        <v>1449</v>
      </c>
      <c r="B944" s="65">
        <v>0.284752641994021</v>
      </c>
      <c r="C944" s="65">
        <v>0.044655451128708</v>
      </c>
    </row>
    <row r="945">
      <c r="A945" s="26" t="s">
        <v>1450</v>
      </c>
      <c r="B945" s="65">
        <v>0.195695285595534</v>
      </c>
      <c r="C945" s="65">
        <v>0.008567866049162</v>
      </c>
    </row>
    <row r="946">
      <c r="A946" s="26" t="s">
        <v>1452</v>
      </c>
      <c r="B946" s="65">
        <v>0.195695285595534</v>
      </c>
      <c r="C946" s="65">
        <v>0.008567866049162</v>
      </c>
    </row>
    <row r="947">
      <c r="A947" s="26" t="s">
        <v>1453</v>
      </c>
      <c r="B947" s="65">
        <v>0.179830186438665</v>
      </c>
      <c r="C947" s="65">
        <v>0.034760365396312</v>
      </c>
    </row>
    <row r="948">
      <c r="A948" s="26" t="s">
        <v>1454</v>
      </c>
      <c r="B948" s="65">
        <v>0.179830186438665</v>
      </c>
      <c r="C948" s="65">
        <v>0.034760365396312</v>
      </c>
    </row>
    <row r="949">
      <c r="A949" s="26" t="s">
        <v>1456</v>
      </c>
      <c r="B949" s="65">
        <v>0.239830345093503</v>
      </c>
      <c r="C949" s="65">
        <v>0.035852451641925</v>
      </c>
    </row>
    <row r="950">
      <c r="A950" s="26" t="s">
        <v>1457</v>
      </c>
      <c r="B950" s="65">
        <v>0.239830345093503</v>
      </c>
      <c r="C950" s="65">
        <v>0.035852451641925</v>
      </c>
    </row>
    <row r="951">
      <c r="A951" s="26" t="s">
        <v>1458</v>
      </c>
      <c r="B951" s="65">
        <v>0.390824380298064</v>
      </c>
      <c r="C951" s="65">
        <v>0.084040166655074</v>
      </c>
    </row>
    <row r="952">
      <c r="A952" s="26" t="s">
        <v>1459</v>
      </c>
      <c r="B952" s="65">
        <v>0.390824380298064</v>
      </c>
      <c r="C952" s="65">
        <v>0.084040166655074</v>
      </c>
    </row>
    <row r="953">
      <c r="A953" s="26" t="s">
        <v>1460</v>
      </c>
      <c r="B953" s="65">
        <v>0.206280034949759</v>
      </c>
      <c r="C953" s="65">
        <v>0.02175622542595</v>
      </c>
    </row>
    <row r="954">
      <c r="A954" s="26" t="s">
        <v>1462</v>
      </c>
      <c r="B954" s="65">
        <v>0.206280034949759</v>
      </c>
      <c r="C954" s="65">
        <v>0.02175622542595</v>
      </c>
    </row>
    <row r="955">
      <c r="A955" s="26" t="s">
        <v>1463</v>
      </c>
      <c r="B955" s="65">
        <v>0.278720693170234</v>
      </c>
      <c r="C955" s="65">
        <v>0.066041515555639</v>
      </c>
    </row>
    <row r="956">
      <c r="A956" s="26" t="s">
        <v>1464</v>
      </c>
      <c r="B956" s="65">
        <v>0.278720693170234</v>
      </c>
      <c r="C956" s="65">
        <v>0.066041515555639</v>
      </c>
    </row>
    <row r="957">
      <c r="A957" s="26" t="s">
        <v>1465</v>
      </c>
      <c r="B957" s="65">
        <v>0.271601731601731</v>
      </c>
      <c r="C957" s="65">
        <v>0.028566017316017</v>
      </c>
    </row>
    <row r="958">
      <c r="A958" s="26" t="s">
        <v>1467</v>
      </c>
      <c r="B958" s="65">
        <v>0.268906926406926</v>
      </c>
      <c r="C958" s="65">
        <v>0.018378591105863</v>
      </c>
    </row>
    <row r="959">
      <c r="A959" s="26" t="s">
        <v>1468</v>
      </c>
      <c r="B959" s="65">
        <v>0.201788665879574</v>
      </c>
      <c r="C959" s="65">
        <v>0.035756137059612</v>
      </c>
    </row>
    <row r="960">
      <c r="A960" s="26" t="s">
        <v>1469</v>
      </c>
      <c r="B960" s="65">
        <v>0.230824478551751</v>
      </c>
      <c r="C960" s="65">
        <v>0.036631417824599</v>
      </c>
    </row>
    <row r="961">
      <c r="A961" s="26" t="s">
        <v>1470</v>
      </c>
      <c r="B961" s="65">
        <v>0.131368363437328</v>
      </c>
      <c r="C961" s="65">
        <v>0.009246487867177</v>
      </c>
    </row>
    <row r="962">
      <c r="A962" s="26" t="s">
        <v>1471</v>
      </c>
      <c r="B962" s="65">
        <v>0.128379857690202</v>
      </c>
      <c r="C962" s="65">
        <v>0.014296661193212</v>
      </c>
    </row>
    <row r="963">
      <c r="A963" s="26" t="s">
        <v>1473</v>
      </c>
      <c r="B963" s="65">
        <v>0.261076969008003</v>
      </c>
      <c r="C963" s="65">
        <v>0.044332379915811</v>
      </c>
    </row>
    <row r="964">
      <c r="A964" s="26" t="s">
        <v>1474</v>
      </c>
      <c r="B964" s="65">
        <v>0.267190791328722</v>
      </c>
      <c r="C964" s="65">
        <v>0.040700233481807</v>
      </c>
    </row>
    <row r="965">
      <c r="A965" s="26" t="s">
        <v>1475</v>
      </c>
      <c r="B965" s="65">
        <v>0.179800498753117</v>
      </c>
      <c r="C965" s="65">
        <v>0.005153782211138</v>
      </c>
    </row>
    <row r="966">
      <c r="A966" s="26" t="s">
        <v>1476</v>
      </c>
      <c r="B966" s="65">
        <v>0.200207813798836</v>
      </c>
      <c r="C966" s="65">
        <v>0.003075644222776</v>
      </c>
    </row>
    <row r="967">
      <c r="A967" s="26" t="s">
        <v>1477</v>
      </c>
      <c r="B967" s="65">
        <v>0.183885524284526</v>
      </c>
      <c r="C967" s="65">
        <v>0.030099441686572</v>
      </c>
    </row>
    <row r="968">
      <c r="A968" s="26" t="s">
        <v>1479</v>
      </c>
      <c r="B968" s="65">
        <v>0.183198929084215</v>
      </c>
      <c r="C968" s="65">
        <v>0.02019917022646</v>
      </c>
    </row>
    <row r="969">
      <c r="A969" s="26" t="s">
        <v>1480</v>
      </c>
      <c r="B969" s="65">
        <v>0.1610661268556</v>
      </c>
      <c r="C969" s="65">
        <v>0.008097165991902</v>
      </c>
    </row>
    <row r="970">
      <c r="A970" s="26" t="s">
        <v>1481</v>
      </c>
      <c r="B970" s="65">
        <v>0.15357624831309</v>
      </c>
      <c r="C970" s="65">
        <v>0.012627723154038</v>
      </c>
    </row>
    <row r="971">
      <c r="A971" s="26" t="s">
        <v>1482</v>
      </c>
      <c r="B971" s="65">
        <v>0.347087999719578</v>
      </c>
      <c r="C971" s="65">
        <v>0.059619896390556</v>
      </c>
    </row>
    <row r="972">
      <c r="A972" s="26" t="s">
        <v>1483</v>
      </c>
      <c r="B972" s="65">
        <v>0.371897692950324</v>
      </c>
      <c r="C972" s="65">
        <v>0.05495915465551</v>
      </c>
    </row>
    <row r="973">
      <c r="A973" s="26" t="s">
        <v>1485</v>
      </c>
      <c r="B973" s="65">
        <v>0.183191349934469</v>
      </c>
      <c r="C973" s="65">
        <v>0.021483180428134</v>
      </c>
    </row>
    <row r="974">
      <c r="A974" s="26" t="s">
        <v>1486</v>
      </c>
      <c r="B974" s="65">
        <v>0.163608562691131</v>
      </c>
      <c r="C974" s="65">
        <v>0.018010048055919</v>
      </c>
    </row>
    <row r="975">
      <c r="A975" s="26" t="s">
        <v>1487</v>
      </c>
      <c r="B975" s="65">
        <v>0.265183109449164</v>
      </c>
      <c r="C975" s="65">
        <v>0.052097049230076</v>
      </c>
    </row>
    <row r="976">
      <c r="A976" s="26" t="s">
        <v>1488</v>
      </c>
      <c r="B976" s="65">
        <v>0.262987840396097</v>
      </c>
      <c r="C976" s="65">
        <v>0.046808759538117</v>
      </c>
    </row>
    <row r="977">
      <c r="A977" s="26" t="s">
        <v>1490</v>
      </c>
      <c r="B977" s="65">
        <v>0.28827922077922</v>
      </c>
      <c r="C977" s="65">
        <v>0.023888888888888</v>
      </c>
    </row>
    <row r="978">
      <c r="A978" s="26" t="s">
        <v>1491</v>
      </c>
      <c r="B978" s="65">
        <v>0.286937229437229</v>
      </c>
      <c r="C978" s="65">
        <v>0.021412337662337</v>
      </c>
    </row>
    <row r="979">
      <c r="A979" s="26" t="s">
        <v>1492</v>
      </c>
      <c r="B979" s="65">
        <v>0.218441066509248</v>
      </c>
      <c r="C979" s="65">
        <v>0.037156936474414</v>
      </c>
    </row>
    <row r="980">
      <c r="A980" s="26" t="s">
        <v>1493</v>
      </c>
      <c r="B980" s="65">
        <v>0.23175394050394</v>
      </c>
      <c r="C980" s="65">
        <v>0.035571233383997</v>
      </c>
    </row>
    <row r="981">
      <c r="A981" s="26" t="s">
        <v>1494</v>
      </c>
      <c r="B981" s="65">
        <v>0.136644772851669</v>
      </c>
      <c r="C981" s="65">
        <v>0.017055281882868</v>
      </c>
    </row>
    <row r="982">
      <c r="A982" s="26" t="s">
        <v>1496</v>
      </c>
      <c r="B982" s="65">
        <v>0.127261448640758</v>
      </c>
      <c r="C982" s="65">
        <v>0.009157088122605</v>
      </c>
    </row>
    <row r="983">
      <c r="A983" s="26" t="s">
        <v>1497</v>
      </c>
      <c r="B983" s="65">
        <v>0.256094544025578</v>
      </c>
      <c r="C983" s="65">
        <v>0.041419314565999</v>
      </c>
    </row>
    <row r="984">
      <c r="A984" s="26" t="s">
        <v>1498</v>
      </c>
      <c r="B984" s="65">
        <v>0.273058002023519</v>
      </c>
      <c r="C984" s="65">
        <v>0.037615130047071</v>
      </c>
    </row>
    <row r="985">
      <c r="A985" s="26" t="s">
        <v>1499</v>
      </c>
      <c r="B985" s="65">
        <v>0.203948462177888</v>
      </c>
      <c r="C985" s="65">
        <v>0.006816292601828</v>
      </c>
    </row>
    <row r="986">
      <c r="A986" s="26" t="s">
        <v>1501</v>
      </c>
      <c r="B986" s="65">
        <v>0.190701816886355</v>
      </c>
      <c r="C986" s="65">
        <v>0.005153782211138</v>
      </c>
    </row>
    <row r="987">
      <c r="A987" s="26" t="s">
        <v>1502</v>
      </c>
      <c r="B987" s="65">
        <v>0.189073132464653</v>
      </c>
      <c r="C987" s="65">
        <v>0.026215058584792</v>
      </c>
    </row>
    <row r="988">
      <c r="A988" s="26" t="s">
        <v>1504</v>
      </c>
      <c r="B988" s="65">
        <v>0.162807267545422</v>
      </c>
      <c r="C988" s="65">
        <v>0.018151258550261</v>
      </c>
    </row>
    <row r="989">
      <c r="A989" s="26" t="s">
        <v>1505</v>
      </c>
      <c r="B989" s="65">
        <v>0.148534798534798</v>
      </c>
      <c r="C989" s="65">
        <v>0.016271447850395</v>
      </c>
    </row>
    <row r="990">
      <c r="A990" s="26" t="s">
        <v>1506</v>
      </c>
      <c r="B990" s="65">
        <v>0.169622774885932</v>
      </c>
      <c r="C990" s="65">
        <v>0.015519568151147</v>
      </c>
    </row>
    <row r="991">
      <c r="A991" s="26" t="s">
        <v>1508</v>
      </c>
      <c r="B991" s="65">
        <v>0.346832991569833</v>
      </c>
      <c r="C991" s="65">
        <v>0.054304293965992</v>
      </c>
    </row>
    <row r="992">
      <c r="A992" s="26" t="s">
        <v>1509</v>
      </c>
      <c r="B992" s="65">
        <v>0.354128912023648</v>
      </c>
      <c r="C992" s="65">
        <v>0.042662196103491</v>
      </c>
    </row>
    <row r="993">
      <c r="A993" s="26" t="s">
        <v>1510</v>
      </c>
      <c r="B993" s="65">
        <v>0.161620795107033</v>
      </c>
      <c r="C993" s="65">
        <v>0.015366972477064</v>
      </c>
    </row>
    <row r="994">
      <c r="A994" s="26" t="s">
        <v>1512</v>
      </c>
      <c r="B994" s="65">
        <v>0.171647007426823</v>
      </c>
      <c r="C994" s="65">
        <v>0.020030581039755</v>
      </c>
    </row>
    <row r="995">
      <c r="A995" s="26" t="s">
        <v>1513</v>
      </c>
      <c r="B995" s="65">
        <v>0.267246680434753</v>
      </c>
      <c r="C995" s="65">
        <v>0.048147984787893</v>
      </c>
    </row>
    <row r="996">
      <c r="A996" s="26" t="s">
        <v>1514</v>
      </c>
      <c r="B996" s="65">
        <v>0.258947105392059</v>
      </c>
      <c r="C996" s="65">
        <v>0.044111323556817</v>
      </c>
    </row>
    <row r="997">
      <c r="A997" s="26" t="s">
        <v>1516</v>
      </c>
      <c r="B997" s="65">
        <v>0.268798701298701</v>
      </c>
      <c r="C997" s="65">
        <v>0.016136363636363</v>
      </c>
    </row>
    <row r="998">
      <c r="A998" s="26" t="s">
        <v>1517</v>
      </c>
      <c r="B998" s="65">
        <v>0.311417748917748</v>
      </c>
      <c r="C998" s="65">
        <v>0.022353896103896</v>
      </c>
    </row>
    <row r="999">
      <c r="A999" s="26" t="s">
        <v>1518</v>
      </c>
      <c r="B999" s="65">
        <v>0.187715516806425</v>
      </c>
      <c r="C999" s="65">
        <v>0.033175069137635</v>
      </c>
    </row>
    <row r="1000">
      <c r="A1000" s="26" t="s">
        <v>1520</v>
      </c>
      <c r="B1000" s="65">
        <v>0.160940082644628</v>
      </c>
      <c r="C1000" s="65">
        <v>0.030645881895881</v>
      </c>
    </row>
    <row r="1001">
      <c r="A1001" s="26" t="s">
        <v>1521</v>
      </c>
      <c r="B1001" s="65">
        <v>0.097602627257799</v>
      </c>
      <c r="C1001" s="65">
        <v>0.019655172413793</v>
      </c>
    </row>
    <row r="1002">
      <c r="A1002" s="26" t="s">
        <v>1522</v>
      </c>
      <c r="B1002" s="65">
        <v>0.097352672869914</v>
      </c>
      <c r="C1002" s="65">
        <v>0.016299945265462</v>
      </c>
    </row>
    <row r="1003">
      <c r="A1003" s="26" t="s">
        <v>1524</v>
      </c>
      <c r="B1003" s="65">
        <v>0.246857408236718</v>
      </c>
      <c r="C1003" s="65">
        <v>0.046470158727551</v>
      </c>
    </row>
    <row r="1004">
      <c r="A1004" s="26" t="s">
        <v>1525</v>
      </c>
      <c r="B1004" s="65">
        <v>0.245815793402</v>
      </c>
      <c r="C1004" s="65">
        <v>0.044800637346276</v>
      </c>
    </row>
    <row r="1005">
      <c r="A1005" s="26" t="s">
        <v>1526</v>
      </c>
      <c r="B1005" s="65">
        <v>0.186034912718204</v>
      </c>
      <c r="C1005" s="65">
        <v>0.007730673316708</v>
      </c>
    </row>
    <row r="1006">
      <c r="A1006" s="26" t="s">
        <v>1528</v>
      </c>
      <c r="B1006" s="65">
        <v>0.19863436646479</v>
      </c>
      <c r="C1006" s="65">
        <v>0.010390689941812</v>
      </c>
    </row>
    <row r="1007">
      <c r="A1007" s="26" t="s">
        <v>1529</v>
      </c>
      <c r="B1007" s="65">
        <v>0.161262248419355</v>
      </c>
      <c r="C1007" s="65">
        <v>0.033187673464882</v>
      </c>
    </row>
    <row r="1008">
      <c r="A1008" s="26" t="s">
        <v>1531</v>
      </c>
      <c r="B1008" s="65">
        <v>0.13383208645054</v>
      </c>
      <c r="C1008" s="65">
        <v>0.023310982369219</v>
      </c>
    </row>
    <row r="1009">
      <c r="A1009" s="26" t="s">
        <v>1532</v>
      </c>
      <c r="B1009" s="65">
        <v>0.116069018700597</v>
      </c>
      <c r="C1009" s="65">
        <v>0.018700597647966</v>
      </c>
    </row>
    <row r="1010">
      <c r="A1010" s="26" t="s">
        <v>1533</v>
      </c>
      <c r="B1010" s="65">
        <v>0.067543859649122</v>
      </c>
      <c r="C1010" s="65">
        <v>0.007904376325428</v>
      </c>
    </row>
    <row r="1011">
      <c r="A1011" s="26" t="s">
        <v>1535</v>
      </c>
      <c r="B1011" s="65">
        <v>0.35046678467731</v>
      </c>
      <c r="C1011" s="65">
        <v>0.061796756519184</v>
      </c>
    </row>
    <row r="1012">
      <c r="A1012" s="26" t="s">
        <v>1536</v>
      </c>
      <c r="B1012" s="65">
        <v>0.311149669044405</v>
      </c>
      <c r="C1012" s="65">
        <v>0.040456799161252</v>
      </c>
    </row>
    <row r="1013">
      <c r="A1013" s="26" t="s">
        <v>1538</v>
      </c>
      <c r="B1013" s="65">
        <v>0.127610310179117</v>
      </c>
      <c r="C1013" s="65">
        <v>0.023700305810397</v>
      </c>
    </row>
    <row r="1014">
      <c r="A1014" s="26" t="s">
        <v>1539</v>
      </c>
      <c r="B1014" s="65">
        <v>0.131585845347313</v>
      </c>
      <c r="C1014" s="65">
        <v>0.024006116207951</v>
      </c>
    </row>
    <row r="1015">
      <c r="A1015" s="26" t="s">
        <v>1540</v>
      </c>
      <c r="B1015" s="65">
        <v>0.265952447145107</v>
      </c>
      <c r="C1015" s="65">
        <v>0.062219734631293</v>
      </c>
    </row>
    <row r="1016">
      <c r="A1016" s="26" t="s">
        <v>1542</v>
      </c>
      <c r="B1016" s="65">
        <v>0.266236082979202</v>
      </c>
      <c r="C1016" s="65">
        <v>0.049907785070359</v>
      </c>
    </row>
    <row r="1017">
      <c r="A1017" s="26" t="s">
        <v>1543</v>
      </c>
      <c r="B1017" s="65">
        <v>0.315050505050505</v>
      </c>
      <c r="C1017" s="65">
        <v>0.063170882148154</v>
      </c>
    </row>
    <row r="1018">
      <c r="A1018" s="26" t="s">
        <v>1544</v>
      </c>
      <c r="B1018" s="65">
        <v>0.315050505050505</v>
      </c>
      <c r="C1018" s="65">
        <v>0.063170882148154</v>
      </c>
    </row>
    <row r="1019">
      <c r="A1019" s="26" t="s">
        <v>1545</v>
      </c>
      <c r="B1019" s="65">
        <v>0.34684163059163</v>
      </c>
      <c r="C1019" s="65">
        <v>0.074234813760214</v>
      </c>
    </row>
    <row r="1020">
      <c r="A1020" s="26" t="s">
        <v>1546</v>
      </c>
      <c r="B1020" s="65">
        <v>0.34684163059163</v>
      </c>
      <c r="C1020" s="65">
        <v>0.074234813760214</v>
      </c>
    </row>
    <row r="1021">
      <c r="A1021" s="26" t="s">
        <v>1547</v>
      </c>
      <c r="B1021" s="65">
        <v>0.292570698777595</v>
      </c>
      <c r="C1021" s="65">
        <v>0.078347680416645</v>
      </c>
    </row>
    <row r="1022">
      <c r="A1022" s="26" t="s">
        <v>1548</v>
      </c>
      <c r="B1022" s="65">
        <v>0.292570698777595</v>
      </c>
      <c r="C1022" s="65">
        <v>0.078347680416645</v>
      </c>
    </row>
    <row r="1023">
      <c r="A1023" s="26" t="s">
        <v>1550</v>
      </c>
      <c r="B1023" s="65">
        <v>0.41593604352225</v>
      </c>
      <c r="C1023" s="65">
        <v>0.104215546206044</v>
      </c>
    </row>
    <row r="1024">
      <c r="A1024" s="26" t="s">
        <v>1551</v>
      </c>
      <c r="B1024" s="65">
        <v>0.41593604352225</v>
      </c>
      <c r="C1024" s="65">
        <v>0.104215546206044</v>
      </c>
    </row>
    <row r="1025">
      <c r="A1025" s="26" t="s">
        <v>1552</v>
      </c>
      <c r="B1025" s="65">
        <v>0.274341922970351</v>
      </c>
      <c r="C1025" s="65">
        <v>0.065835591396688</v>
      </c>
    </row>
    <row r="1026">
      <c r="A1026" s="26" t="s">
        <v>1553</v>
      </c>
      <c r="B1026" s="65">
        <v>0.274341922970351</v>
      </c>
      <c r="C1026" s="65">
        <v>0.065835591396688</v>
      </c>
    </row>
    <row r="1027">
      <c r="A1027" s="26" t="s">
        <v>1555</v>
      </c>
      <c r="B1027" s="65">
        <v>0.301851750355491</v>
      </c>
      <c r="C1027" s="65">
        <v>0.085686794475614</v>
      </c>
    </row>
    <row r="1028">
      <c r="A1028" s="26" t="s">
        <v>1556</v>
      </c>
      <c r="B1028" s="65">
        <v>0.301851750355491</v>
      </c>
      <c r="C1028" s="65">
        <v>0.085686794475614</v>
      </c>
    </row>
    <row r="1029">
      <c r="A1029" s="26" t="s">
        <v>1557</v>
      </c>
      <c r="B1029" s="65">
        <v>0.312711265342844</v>
      </c>
      <c r="C1029" s="65">
        <v>0.10810309798164</v>
      </c>
    </row>
    <row r="1030">
      <c r="A1030" s="26" t="s">
        <v>1558</v>
      </c>
      <c r="B1030" s="65">
        <v>0.312711265342844</v>
      </c>
      <c r="C1030" s="65">
        <v>0.10810309798164</v>
      </c>
    </row>
    <row r="1031">
      <c r="A1031" s="26" t="s">
        <v>1560</v>
      </c>
      <c r="B1031" s="65">
        <v>0.397876976824345</v>
      </c>
      <c r="C1031" s="65">
        <v>0.127078438052228</v>
      </c>
    </row>
    <row r="1032">
      <c r="A1032" s="26" t="s">
        <v>1561</v>
      </c>
      <c r="B1032" s="65">
        <v>0.397876976824345</v>
      </c>
      <c r="C1032" s="65">
        <v>0.127078438052228</v>
      </c>
    </row>
    <row r="1033">
      <c r="A1033" s="26" t="s">
        <v>1562</v>
      </c>
      <c r="B1033" s="65">
        <v>0.317878986456968</v>
      </c>
      <c r="C1033" s="65">
        <v>0.107887359836901</v>
      </c>
    </row>
    <row r="1034">
      <c r="A1034" s="26" t="s">
        <v>1563</v>
      </c>
      <c r="B1034" s="65">
        <v>0.317878986456968</v>
      </c>
      <c r="C1034" s="65">
        <v>0.107887359836901</v>
      </c>
    </row>
    <row r="1035">
      <c r="A1035" s="26" t="s">
        <v>1565</v>
      </c>
      <c r="B1035" s="65">
        <v>0.381581542820074</v>
      </c>
      <c r="C1035" s="65">
        <v>0.133348716777615</v>
      </c>
    </row>
    <row r="1036">
      <c r="A1036" s="26" t="s">
        <v>1566</v>
      </c>
      <c r="B1036" s="65">
        <v>0.381581542820074</v>
      </c>
      <c r="C1036" s="65">
        <v>0.133348716777615</v>
      </c>
    </row>
    <row r="1037">
      <c r="A1037" s="26" t="s">
        <v>1567</v>
      </c>
      <c r="B1037" s="65">
        <v>0.305070346320346</v>
      </c>
      <c r="C1037" s="65">
        <v>0.062655614587432</v>
      </c>
    </row>
    <row r="1038">
      <c r="A1038" s="26" t="s">
        <v>1569</v>
      </c>
      <c r="B1038" s="65">
        <v>0.305070346320346</v>
      </c>
      <c r="C1038" s="65">
        <v>0.062655614587432</v>
      </c>
    </row>
    <row r="1039">
      <c r="A1039" s="26" t="s">
        <v>1570</v>
      </c>
      <c r="B1039" s="65">
        <v>0.332002984389348</v>
      </c>
      <c r="C1039" s="65">
        <v>0.074647570644791</v>
      </c>
    </row>
    <row r="1040">
      <c r="A1040" s="26" t="s">
        <v>1571</v>
      </c>
      <c r="B1040" s="65">
        <v>0.332002984389348</v>
      </c>
      <c r="C1040" s="65">
        <v>0.074647570644791</v>
      </c>
    </row>
    <row r="1041">
      <c r="A1041" s="26" t="s">
        <v>1572</v>
      </c>
      <c r="B1041" s="65">
        <v>0.336735997080824</v>
      </c>
      <c r="C1041" s="65">
        <v>0.078257948947604</v>
      </c>
    </row>
    <row r="1042">
      <c r="A1042" s="26" t="s">
        <v>1573</v>
      </c>
      <c r="B1042" s="65">
        <v>0.336735997080824</v>
      </c>
      <c r="C1042" s="65">
        <v>0.078257948947604</v>
      </c>
    </row>
    <row r="1043">
      <c r="A1043" s="26" t="s">
        <v>1575</v>
      </c>
      <c r="B1043" s="65">
        <v>0.420147936354832</v>
      </c>
      <c r="C1043" s="65">
        <v>0.105234567475946</v>
      </c>
    </row>
    <row r="1044">
      <c r="A1044" s="26" t="s">
        <v>1576</v>
      </c>
      <c r="B1044" s="65">
        <v>0.420147936354832</v>
      </c>
      <c r="C1044" s="65">
        <v>0.105234567475946</v>
      </c>
    </row>
    <row r="1045">
      <c r="A1045" s="26" t="s">
        <v>1577</v>
      </c>
      <c r="B1045" s="65">
        <v>0.277019752206784</v>
      </c>
      <c r="C1045" s="65">
        <v>0.071003693550268</v>
      </c>
    </row>
    <row r="1046">
      <c r="A1046" s="26" t="s">
        <v>1578</v>
      </c>
      <c r="B1046" s="65">
        <v>0.277019752206784</v>
      </c>
      <c r="C1046" s="65">
        <v>0.071003693550268</v>
      </c>
    </row>
    <row r="1047">
      <c r="A1047" s="26" t="s">
        <v>1580</v>
      </c>
      <c r="B1047" s="65">
        <v>0.289778799753862</v>
      </c>
      <c r="C1047" s="65">
        <v>0.076632192152215</v>
      </c>
    </row>
    <row r="1048">
      <c r="A1048" s="26" t="s">
        <v>1581</v>
      </c>
      <c r="B1048" s="65">
        <v>0.289778799753862</v>
      </c>
      <c r="C1048" s="65">
        <v>0.076632192152215</v>
      </c>
    </row>
    <row r="1049">
      <c r="A1049" s="26" t="s">
        <v>1582</v>
      </c>
      <c r="B1049" s="65">
        <v>0.267498875393612</v>
      </c>
      <c r="C1049" s="65">
        <v>0.092465429307534</v>
      </c>
    </row>
    <row r="1050">
      <c r="A1050" s="26" t="s">
        <v>1583</v>
      </c>
      <c r="B1050" s="65">
        <v>0.267498875393612</v>
      </c>
      <c r="C1050" s="65">
        <v>0.092465429307534</v>
      </c>
    </row>
    <row r="1051">
      <c r="A1051" s="26" t="s">
        <v>1585</v>
      </c>
      <c r="B1051" s="65">
        <v>0.330267977636398</v>
      </c>
      <c r="C1051" s="65">
        <v>0.118135747452251</v>
      </c>
    </row>
    <row r="1052">
      <c r="A1052" s="26" t="s">
        <v>1586</v>
      </c>
      <c r="B1052" s="65">
        <v>0.330267977636398</v>
      </c>
      <c r="C1052" s="65">
        <v>0.118135747452251</v>
      </c>
    </row>
    <row r="1053">
      <c r="A1053" s="26" t="s">
        <v>1587</v>
      </c>
      <c r="B1053" s="65">
        <v>0.368676277850589</v>
      </c>
      <c r="C1053" s="65">
        <v>0.098729430610164</v>
      </c>
    </row>
    <row r="1054">
      <c r="A1054" s="26" t="s">
        <v>1589</v>
      </c>
      <c r="B1054" s="65">
        <v>0.368676277850589</v>
      </c>
      <c r="C1054" s="65">
        <v>0.098729430610164</v>
      </c>
    </row>
    <row r="1055">
      <c r="A1055" s="26" t="s">
        <v>1590</v>
      </c>
      <c r="B1055" s="65">
        <v>0.400054939963196</v>
      </c>
      <c r="C1055" s="65">
        <v>0.125776631625255</v>
      </c>
    </row>
    <row r="1056">
      <c r="A1056" s="26" t="s">
        <v>1591</v>
      </c>
      <c r="B1056" s="65">
        <v>0.400054939963196</v>
      </c>
      <c r="C1056" s="65">
        <v>0.125776631625255</v>
      </c>
    </row>
    <row r="1057">
      <c r="A1057" s="26" t="s">
        <v>1592</v>
      </c>
      <c r="B1057" s="65">
        <v>0.262056277056277</v>
      </c>
      <c r="C1057" s="65">
        <v>0.041924325674325</v>
      </c>
    </row>
    <row r="1058">
      <c r="A1058" s="26" t="s">
        <v>1594</v>
      </c>
      <c r="B1058" s="65">
        <v>0.266275252525252</v>
      </c>
      <c r="C1058" s="65">
        <v>0.044874986124986</v>
      </c>
    </row>
    <row r="1059">
      <c r="A1059" s="26" t="s">
        <v>1595</v>
      </c>
      <c r="B1059" s="65">
        <v>0.270032139577594</v>
      </c>
      <c r="C1059" s="65">
        <v>0.063997593315775</v>
      </c>
    </row>
    <row r="1060">
      <c r="A1060" s="26" t="s">
        <v>1596</v>
      </c>
      <c r="B1060" s="65">
        <v>0.298210009687282</v>
      </c>
      <c r="C1060" s="65">
        <v>0.068040614688341</v>
      </c>
    </row>
    <row r="1061">
      <c r="A1061" s="26" t="s">
        <v>1597</v>
      </c>
      <c r="B1061" s="65">
        <v>0.314158000364896</v>
      </c>
      <c r="C1061" s="65">
        <v>0.071331873745666</v>
      </c>
    </row>
    <row r="1062">
      <c r="A1062" s="26" t="s">
        <v>1598</v>
      </c>
      <c r="B1062" s="65">
        <v>0.286672140120416</v>
      </c>
      <c r="C1062" s="65">
        <v>0.078434592227695</v>
      </c>
    </row>
    <row r="1063">
      <c r="A1063" s="26" t="s">
        <v>1600</v>
      </c>
      <c r="B1063" s="65">
        <v>0.427485503002744</v>
      </c>
      <c r="C1063" s="65">
        <v>0.077299188678499</v>
      </c>
    </row>
    <row r="1064">
      <c r="A1064" s="26" t="s">
        <v>1601</v>
      </c>
      <c r="B1064" s="65">
        <v>0.406028594649284</v>
      </c>
      <c r="C1064" s="65">
        <v>0.095144344799517</v>
      </c>
    </row>
    <row r="1065">
      <c r="A1065" s="26" t="s">
        <v>1602</v>
      </c>
      <c r="B1065" s="65">
        <v>0.237358983493646</v>
      </c>
      <c r="C1065" s="65">
        <v>0.062575703598147</v>
      </c>
    </row>
    <row r="1066">
      <c r="A1066" s="26" t="s">
        <v>1603</v>
      </c>
      <c r="B1066" s="65">
        <v>0.212510390689941</v>
      </c>
      <c r="C1066" s="65">
        <v>0.044189310274098</v>
      </c>
    </row>
    <row r="1067">
      <c r="A1067" s="26" t="s">
        <v>1605</v>
      </c>
      <c r="B1067" s="65">
        <v>0.289320516003807</v>
      </c>
      <c r="C1067" s="65">
        <v>0.076473580735061</v>
      </c>
    </row>
    <row r="1068">
      <c r="A1068" s="26" t="s">
        <v>1606</v>
      </c>
      <c r="B1068" s="65">
        <v>0.266999348670171</v>
      </c>
      <c r="C1068" s="65">
        <v>0.077020076642344</v>
      </c>
    </row>
    <row r="1069">
      <c r="A1069" s="26" t="s">
        <v>1607</v>
      </c>
      <c r="B1069" s="65">
        <v>0.261149669044405</v>
      </c>
      <c r="C1069" s="65">
        <v>0.059816207184628</v>
      </c>
    </row>
    <row r="1070">
      <c r="A1070" s="26" t="s">
        <v>1608</v>
      </c>
      <c r="B1070" s="65">
        <v>0.277276524644945</v>
      </c>
      <c r="C1070" s="65">
        <v>0.058614484930274</v>
      </c>
    </row>
    <row r="1071">
      <c r="A1071" s="26" t="s">
        <v>1610</v>
      </c>
      <c r="B1071" s="65">
        <v>0.387855419434366</v>
      </c>
      <c r="C1071" s="65">
        <v>0.087379152561338</v>
      </c>
    </row>
    <row r="1072">
      <c r="A1072" s="26" t="s">
        <v>1611</v>
      </c>
      <c r="B1072" s="65">
        <v>0.367656612393454</v>
      </c>
      <c r="C1072" s="65">
        <v>0.085627271963304</v>
      </c>
    </row>
    <row r="1073">
      <c r="A1073" s="26" t="s">
        <v>1612</v>
      </c>
      <c r="B1073" s="65">
        <v>0.324508519003931</v>
      </c>
      <c r="C1073" s="65">
        <v>0.067957259356341</v>
      </c>
    </row>
    <row r="1074">
      <c r="A1074" s="26" t="s">
        <v>1613</v>
      </c>
      <c r="B1074" s="65">
        <v>0.293435998252512</v>
      </c>
      <c r="C1074" s="65">
        <v>0.069360710645114</v>
      </c>
    </row>
    <row r="1075">
      <c r="A1075" s="26" t="s">
        <v>1614</v>
      </c>
      <c r="B1075" s="65">
        <v>0.377632319260759</v>
      </c>
      <c r="C1075" s="65">
        <v>0.094579273937072</v>
      </c>
    </row>
    <row r="1076">
      <c r="A1076" s="26" t="s">
        <v>1616</v>
      </c>
      <c r="B1076" s="65">
        <v>0.374440175013569</v>
      </c>
      <c r="C1076" s="65">
        <v>0.11902955607084</v>
      </c>
    </row>
    <row r="1077">
      <c r="A1077" s="26" t="s">
        <v>1617</v>
      </c>
      <c r="B1077" s="65">
        <v>0.271038961038961</v>
      </c>
      <c r="C1077" s="65">
        <v>0.045265201969747</v>
      </c>
    </row>
    <row r="1078">
      <c r="A1078" s="26" t="s">
        <v>1618</v>
      </c>
      <c r="B1078" s="65">
        <v>0.367352092352092</v>
      </c>
      <c r="C1078" s="65">
        <v>0.043789846517119</v>
      </c>
    </row>
    <row r="1079">
      <c r="A1079" s="26" t="s">
        <v>1619</v>
      </c>
      <c r="B1079" s="65">
        <v>0.30240144956054</v>
      </c>
      <c r="C1079" s="65">
        <v>0.070156540948653</v>
      </c>
    </row>
    <row r="1080">
      <c r="A1080" s="26" t="s">
        <v>1620</v>
      </c>
      <c r="B1080" s="65">
        <v>0.350875639512003</v>
      </c>
      <c r="C1080" s="65">
        <v>0.07207352993115</v>
      </c>
    </row>
    <row r="1081">
      <c r="A1081" s="26" t="s">
        <v>1622</v>
      </c>
      <c r="B1081" s="65">
        <v>0.301609195402298</v>
      </c>
      <c r="C1081" s="65">
        <v>0.066575608299746</v>
      </c>
    </row>
    <row r="1082">
      <c r="A1082" s="26" t="s">
        <v>1623</v>
      </c>
      <c r="B1082" s="65">
        <v>0.306754241926655</v>
      </c>
      <c r="C1082" s="65">
        <v>0.074046706805327</v>
      </c>
    </row>
    <row r="1083">
      <c r="A1083" s="26" t="s">
        <v>1624</v>
      </c>
      <c r="B1083" s="65">
        <v>0.420359793463241</v>
      </c>
      <c r="C1083" s="65">
        <v>0.082313204037341</v>
      </c>
    </row>
    <row r="1084">
      <c r="A1084" s="26" t="s">
        <v>1625</v>
      </c>
      <c r="B1084" s="65">
        <v>0.438698976630011</v>
      </c>
      <c r="C1084" s="65">
        <v>0.097712523747006</v>
      </c>
    </row>
    <row r="1085">
      <c r="A1085" s="26" t="s">
        <v>1627</v>
      </c>
      <c r="B1085" s="65">
        <v>0.224793175790682</v>
      </c>
      <c r="C1085" s="65">
        <v>0.053990204863022</v>
      </c>
    </row>
    <row r="1086">
      <c r="A1086" s="26" t="s">
        <v>1628</v>
      </c>
      <c r="B1086" s="65">
        <v>0.224195463721648</v>
      </c>
      <c r="C1086" s="65">
        <v>0.059328230649926</v>
      </c>
    </row>
    <row r="1087">
      <c r="A1087" s="26" t="s">
        <v>1629</v>
      </c>
      <c r="B1087" s="65">
        <v>0.26998415826346</v>
      </c>
      <c r="C1087" s="65">
        <v>0.082120394345636</v>
      </c>
    </row>
    <row r="1088">
      <c r="A1088" s="26" t="s">
        <v>1631</v>
      </c>
      <c r="B1088" s="65">
        <v>0.274518969531438</v>
      </c>
      <c r="C1088" s="65">
        <v>0.082831786488086</v>
      </c>
    </row>
    <row r="1089">
      <c r="A1089" s="26" t="s">
        <v>1632</v>
      </c>
      <c r="B1089" s="65">
        <v>0.225348627980206</v>
      </c>
      <c r="C1089" s="65">
        <v>0.059687680740312</v>
      </c>
    </row>
    <row r="1090">
      <c r="A1090" s="26" t="s">
        <v>1633</v>
      </c>
      <c r="B1090" s="65">
        <v>0.24816528500739</v>
      </c>
      <c r="C1090" s="65">
        <v>0.061869417132575</v>
      </c>
    </row>
    <row r="1091">
      <c r="A1091" s="26" t="s">
        <v>1634</v>
      </c>
      <c r="B1091" s="65">
        <v>0.337737700895595</v>
      </c>
      <c r="C1091" s="65">
        <v>0.08462890011473</v>
      </c>
    </row>
    <row r="1092">
      <c r="A1092" s="26" t="s">
        <v>1636</v>
      </c>
      <c r="B1092" s="65">
        <v>0.348030332240858</v>
      </c>
      <c r="C1092" s="65">
        <v>0.085415842393694</v>
      </c>
    </row>
    <row r="1093">
      <c r="A1093" s="26" t="s">
        <v>1637</v>
      </c>
      <c r="B1093" s="65">
        <v>0.29958497160332</v>
      </c>
      <c r="C1093" s="65">
        <v>0.066215232270278</v>
      </c>
    </row>
    <row r="1094">
      <c r="A1094" s="26" t="s">
        <v>1638</v>
      </c>
      <c r="B1094" s="65">
        <v>0.30765618173875</v>
      </c>
      <c r="C1094" s="65">
        <v>0.077655817678753</v>
      </c>
    </row>
    <row r="1095">
      <c r="A1095" s="26" t="s">
        <v>1639</v>
      </c>
      <c r="B1095" s="65">
        <v>0.375230019725432</v>
      </c>
      <c r="C1095" s="65">
        <v>0.106071413296183</v>
      </c>
    </row>
    <row r="1096">
      <c r="A1096" s="26" t="s">
        <v>1641</v>
      </c>
      <c r="B1096" s="65">
        <v>0.390572666375418</v>
      </c>
      <c r="C1096" s="65">
        <v>0.112723782333874</v>
      </c>
    </row>
    <row r="1097">
      <c r="A1097" s="26" t="s">
        <v>1642</v>
      </c>
      <c r="B1097" s="65">
        <v>0.265019841269841</v>
      </c>
      <c r="C1097" s="65">
        <v>0.027907811885084</v>
      </c>
    </row>
    <row r="1098">
      <c r="A1098" s="26" t="s">
        <v>1643</v>
      </c>
      <c r="B1098" s="65">
        <v>0.309577922077922</v>
      </c>
      <c r="C1098" s="65">
        <v>0.039363439590712</v>
      </c>
    </row>
    <row r="1099">
      <c r="A1099" s="26" t="s">
        <v>1644</v>
      </c>
      <c r="B1099" s="65">
        <v>0.271399875377148</v>
      </c>
      <c r="C1099" s="65">
        <v>0.057315916406825</v>
      </c>
    </row>
    <row r="1100">
      <c r="A1100" s="26" t="s">
        <v>1646</v>
      </c>
      <c r="B1100" s="65">
        <v>0.266065689361143</v>
      </c>
      <c r="C1100" s="65">
        <v>0.053288655046676</v>
      </c>
    </row>
    <row r="1101">
      <c r="A1101" s="26" t="s">
        <v>1647</v>
      </c>
      <c r="B1101" s="65">
        <v>0.285019157088122</v>
      </c>
      <c r="C1101" s="65">
        <v>0.072275132275132</v>
      </c>
    </row>
    <row r="1102">
      <c r="A1102" s="26" t="s">
        <v>1648</v>
      </c>
      <c r="B1102" s="65">
        <v>0.176079182630906</v>
      </c>
      <c r="C1102" s="65">
        <v>0.040193395365809</v>
      </c>
    </row>
    <row r="1103">
      <c r="A1103" s="26" t="s">
        <v>1649</v>
      </c>
      <c r="B1103" s="65">
        <v>0.420516494999253</v>
      </c>
      <c r="C1103" s="65">
        <v>0.094322969495383</v>
      </c>
    </row>
    <row r="1104">
      <c r="A1104" s="26" t="s">
        <v>1651</v>
      </c>
      <c r="B1104" s="65">
        <v>0.357925484477208</v>
      </c>
      <c r="C1104" s="65">
        <v>0.072082955358817</v>
      </c>
    </row>
    <row r="1105">
      <c r="A1105" s="26" t="s">
        <v>1652</v>
      </c>
      <c r="B1105" s="65">
        <v>0.233297708110675</v>
      </c>
      <c r="C1105" s="65">
        <v>0.051494280172584</v>
      </c>
    </row>
    <row r="1106">
      <c r="A1106" s="26" t="s">
        <v>1653</v>
      </c>
      <c r="B1106" s="65">
        <v>0.204595653722835</v>
      </c>
      <c r="C1106" s="65">
        <v>0.035577722360764</v>
      </c>
    </row>
    <row r="1107">
      <c r="A1107" s="26" t="s">
        <v>1654</v>
      </c>
      <c r="B1107" s="65">
        <v>0.268405202445102</v>
      </c>
      <c r="C1107" s="65">
        <v>0.082237504806083</v>
      </c>
    </row>
    <row r="1108">
      <c r="A1108" s="26" t="s">
        <v>1655</v>
      </c>
      <c r="B1108" s="65">
        <v>0.228609614270462</v>
      </c>
      <c r="C1108" s="65">
        <v>0.064337135790082</v>
      </c>
    </row>
    <row r="1109">
      <c r="A1109" s="26" t="s">
        <v>1657</v>
      </c>
      <c r="B1109" s="65">
        <v>0.181309041835357</v>
      </c>
      <c r="C1109" s="65">
        <v>0.039897821476768</v>
      </c>
    </row>
    <row r="1110">
      <c r="A1110" s="26" t="s">
        <v>1658</v>
      </c>
      <c r="B1110" s="65">
        <v>0.223950902898271</v>
      </c>
      <c r="C1110" s="65">
        <v>0.027674956622325</v>
      </c>
    </row>
    <row r="1111">
      <c r="A1111" s="26" t="s">
        <v>1659</v>
      </c>
      <c r="B1111" s="65">
        <v>0.35766747872011</v>
      </c>
      <c r="C1111" s="65">
        <v>0.083285753832312</v>
      </c>
    </row>
    <row r="1112">
      <c r="A1112" s="26" t="s">
        <v>1660</v>
      </c>
      <c r="B1112" s="65">
        <v>0.358168439747387</v>
      </c>
      <c r="C1112" s="65">
        <v>0.064909719160731</v>
      </c>
    </row>
    <row r="1113">
      <c r="A1113" s="26" t="s">
        <v>1662</v>
      </c>
      <c r="B1113" s="65">
        <v>0.296253822629969</v>
      </c>
      <c r="C1113" s="65">
        <v>0.054729139362166</v>
      </c>
    </row>
    <row r="1114">
      <c r="A1114" s="26" t="s">
        <v>1663</v>
      </c>
      <c r="B1114" s="65">
        <v>0.210321100917431</v>
      </c>
      <c r="C1114" s="65">
        <v>0.046636085626911</v>
      </c>
    </row>
    <row r="1115">
      <c r="A1115" s="26" t="s">
        <v>1664</v>
      </c>
      <c r="B1115" s="65">
        <v>0.37747742828018</v>
      </c>
      <c r="C1115" s="65">
        <v>0.103923332019662</v>
      </c>
    </row>
    <row r="1116">
      <c r="A1116" s="26" t="s">
        <v>1665</v>
      </c>
      <c r="B1116" s="65">
        <v>0.33034671750268</v>
      </c>
      <c r="C1116" s="65">
        <v>0.081906816425165</v>
      </c>
    </row>
    <row r="1117">
      <c r="A1117" s="26" t="s">
        <v>1667</v>
      </c>
      <c r="B1117" s="65">
        <v>0.29396645021645</v>
      </c>
      <c r="C1117" s="65">
        <v>0.05452922077922</v>
      </c>
    </row>
    <row r="1118">
      <c r="A1118" s="26" t="s">
        <v>1668</v>
      </c>
      <c r="B1118" s="65">
        <v>0.29396645021645</v>
      </c>
      <c r="C1118" s="65">
        <v>0.05452922077922</v>
      </c>
    </row>
    <row r="1119">
      <c r="A1119" s="26" t="s">
        <v>1669</v>
      </c>
      <c r="B1119" s="65">
        <v>0.328030303030303</v>
      </c>
      <c r="C1119" s="65">
        <v>0.077399153876426</v>
      </c>
    </row>
    <row r="1120">
      <c r="A1120" s="26" t="s">
        <v>1670</v>
      </c>
      <c r="B1120" s="65">
        <v>0.328030303030303</v>
      </c>
      <c r="C1120" s="65">
        <v>0.077399153876426</v>
      </c>
    </row>
    <row r="1121">
      <c r="A1121" s="26" t="s">
        <v>1671</v>
      </c>
      <c r="B1121" s="65">
        <v>0.096737821565407</v>
      </c>
      <c r="C1121" s="65">
        <v>0.014205436964057</v>
      </c>
    </row>
    <row r="1122">
      <c r="A1122" s="26" t="s">
        <v>1672</v>
      </c>
      <c r="B1122" s="65">
        <v>0.096737821565407</v>
      </c>
      <c r="C1122" s="65">
        <v>0.014205436964057</v>
      </c>
    </row>
    <row r="1123">
      <c r="A1123" s="26" t="s">
        <v>1674</v>
      </c>
      <c r="B1123" s="65">
        <v>0.115951468710089</v>
      </c>
      <c r="C1123" s="65">
        <v>0.0284055663366</v>
      </c>
    </row>
    <row r="1124">
      <c r="A1124" s="26" t="s">
        <v>1675</v>
      </c>
      <c r="B1124" s="65">
        <v>0.115951468710089</v>
      </c>
      <c r="C1124" s="65">
        <v>0.0284055663366</v>
      </c>
    </row>
    <row r="1125">
      <c r="A1125" s="26" t="s">
        <v>1676</v>
      </c>
      <c r="B1125" s="26"/>
      <c r="C1125" s="26"/>
    </row>
    <row r="1126">
      <c r="A1126" s="26" t="s">
        <v>1677</v>
      </c>
      <c r="B1126" s="26"/>
      <c r="C1126" s="26"/>
    </row>
    <row r="1127">
      <c r="A1127" s="26" t="s">
        <v>1679</v>
      </c>
      <c r="B1127" s="26"/>
      <c r="C1127" s="26"/>
    </row>
    <row r="1128">
      <c r="A1128" s="26" t="s">
        <v>1680</v>
      </c>
      <c r="B1128" s="26"/>
      <c r="C1128" s="26"/>
    </row>
    <row r="1129">
      <c r="A1129" s="26" t="s">
        <v>1681</v>
      </c>
      <c r="B1129" s="65">
        <v>0.165413533834586</v>
      </c>
      <c r="C1129" s="65">
        <v>0.086707152496626</v>
      </c>
    </row>
    <row r="1130">
      <c r="A1130" s="26" t="s">
        <v>1682</v>
      </c>
      <c r="B1130" s="65">
        <v>0.165413533834586</v>
      </c>
      <c r="C1130" s="65">
        <v>0.086707152496626</v>
      </c>
    </row>
    <row r="1131">
      <c r="A1131" s="26" t="s">
        <v>1684</v>
      </c>
      <c r="B1131" s="65">
        <v>0.223828802776171</v>
      </c>
      <c r="C1131" s="65">
        <v>0.117261685682738</v>
      </c>
    </row>
    <row r="1132">
      <c r="A1132" s="26" t="s">
        <v>1685</v>
      </c>
      <c r="B1132" s="65">
        <v>0.223828802776171</v>
      </c>
      <c r="C1132" s="65">
        <v>0.117261685682738</v>
      </c>
    </row>
    <row r="1133">
      <c r="A1133" s="26" t="s">
        <v>1686</v>
      </c>
      <c r="B1133" s="65">
        <v>0.22926496286588</v>
      </c>
      <c r="C1133" s="65">
        <v>0.100997524392019</v>
      </c>
    </row>
    <row r="1134">
      <c r="A1134" s="26" t="s">
        <v>1687</v>
      </c>
      <c r="B1134" s="65">
        <v>0.22926496286588</v>
      </c>
      <c r="C1134" s="65">
        <v>0.100997524392019</v>
      </c>
    </row>
    <row r="1135">
      <c r="A1135" s="26" t="s">
        <v>1689</v>
      </c>
      <c r="B1135" s="65">
        <v>0.278101791175185</v>
      </c>
      <c r="C1135" s="65">
        <v>0.125632140540397</v>
      </c>
    </row>
    <row r="1136">
      <c r="A1136" s="26" t="s">
        <v>1690</v>
      </c>
      <c r="B1136" s="65">
        <v>0.278101791175185</v>
      </c>
      <c r="C1136" s="65">
        <v>0.125632140540397</v>
      </c>
    </row>
    <row r="1137">
      <c r="A1137" s="26" t="s">
        <v>1691</v>
      </c>
      <c r="B1137" s="65">
        <v>0.281136363636363</v>
      </c>
      <c r="C1137" s="65">
        <v>0.07080808080808</v>
      </c>
    </row>
    <row r="1138">
      <c r="A1138" s="26" t="s">
        <v>1692</v>
      </c>
      <c r="B1138" s="65">
        <v>0.281136363636363</v>
      </c>
      <c r="C1138" s="65">
        <v>0.07080808080808</v>
      </c>
    </row>
    <row r="1139">
      <c r="A1139" s="26" t="s">
        <v>1694</v>
      </c>
      <c r="B1139" s="65">
        <v>0.365734618916437</v>
      </c>
      <c r="C1139" s="65">
        <v>0.1075782714018</v>
      </c>
    </row>
    <row r="1140">
      <c r="A1140" s="26" t="s">
        <v>1695</v>
      </c>
      <c r="B1140" s="65">
        <v>0.365734618916437</v>
      </c>
      <c r="C1140" s="65">
        <v>0.1075782714018</v>
      </c>
    </row>
    <row r="1141">
      <c r="A1141" s="26" t="s">
        <v>1696</v>
      </c>
      <c r="B1141" s="65">
        <v>0.106688560481663</v>
      </c>
      <c r="C1141" s="65">
        <v>0.020613026819923</v>
      </c>
    </row>
    <row r="1142">
      <c r="A1142" s="26" t="s">
        <v>1697</v>
      </c>
      <c r="B1142" s="65">
        <v>0.106688560481663</v>
      </c>
      <c r="C1142" s="65">
        <v>0.020613026819923</v>
      </c>
    </row>
    <row r="1143">
      <c r="A1143" s="26" t="s">
        <v>1699</v>
      </c>
      <c r="B1143" s="65">
        <v>0.12351395730706</v>
      </c>
      <c r="C1143" s="65">
        <v>0.028734139423794</v>
      </c>
    </row>
    <row r="1144">
      <c r="A1144" s="26" t="s">
        <v>1700</v>
      </c>
      <c r="B1144" s="65">
        <v>0.12351395730706</v>
      </c>
      <c r="C1144" s="65">
        <v>0.028734139423794</v>
      </c>
    </row>
    <row r="1145">
      <c r="A1145" s="26" t="s">
        <v>1701</v>
      </c>
      <c r="B1145" s="65">
        <v>0.194248505719827</v>
      </c>
      <c r="C1145" s="65">
        <v>0.053716898230613</v>
      </c>
    </row>
    <row r="1146">
      <c r="A1146" s="26" t="s">
        <v>1702</v>
      </c>
      <c r="B1146" s="65">
        <v>0.194248505719827</v>
      </c>
      <c r="C1146" s="65">
        <v>0.053716898230613</v>
      </c>
    </row>
    <row r="1147">
      <c r="A1147" s="26" t="s">
        <v>1703</v>
      </c>
      <c r="B1147" s="65">
        <v>0.247243543378206</v>
      </c>
      <c r="C1147" s="65">
        <v>0.074887313393987</v>
      </c>
    </row>
    <row r="1148">
      <c r="A1148" s="26" t="s">
        <v>1705</v>
      </c>
      <c r="B1148" s="65">
        <v>0.247243543378206</v>
      </c>
      <c r="C1148" s="65">
        <v>0.074887313393987</v>
      </c>
    </row>
    <row r="1149">
      <c r="A1149" s="26" t="s">
        <v>1706</v>
      </c>
      <c r="B1149" s="65">
        <v>0.247252747252747</v>
      </c>
      <c r="C1149" s="65">
        <v>0.119111882269777</v>
      </c>
    </row>
    <row r="1150">
      <c r="A1150" s="26" t="s">
        <v>1707</v>
      </c>
      <c r="B1150" s="65">
        <v>0.247252747252747</v>
      </c>
      <c r="C1150" s="65">
        <v>0.119111882269777</v>
      </c>
    </row>
    <row r="1151">
      <c r="A1151" s="26" t="s">
        <v>1709</v>
      </c>
      <c r="B1151" s="65">
        <v>0.330104106419895</v>
      </c>
      <c r="C1151" s="65">
        <v>0.164367211735632</v>
      </c>
    </row>
    <row r="1152">
      <c r="A1152" s="26" t="s">
        <v>1710</v>
      </c>
      <c r="B1152" s="65">
        <v>0.330104106419895</v>
      </c>
      <c r="C1152" s="65">
        <v>0.164367211735632</v>
      </c>
    </row>
    <row r="1153">
      <c r="A1153" s="26" t="s">
        <v>1711</v>
      </c>
      <c r="B1153" s="65">
        <v>0.273722149410222</v>
      </c>
      <c r="C1153" s="65">
        <v>0.099082568807339</v>
      </c>
    </row>
    <row r="1154">
      <c r="A1154" s="26" t="s">
        <v>1712</v>
      </c>
      <c r="B1154" s="65">
        <v>0.273722149410222</v>
      </c>
      <c r="C1154" s="65">
        <v>0.099082568807339</v>
      </c>
    </row>
    <row r="1155">
      <c r="A1155" s="26" t="s">
        <v>1714</v>
      </c>
      <c r="B1155" s="65">
        <v>0.363807306353177</v>
      </c>
      <c r="C1155" s="65">
        <v>0.151277506896772</v>
      </c>
    </row>
    <row r="1156">
      <c r="A1156" s="26" t="s">
        <v>1715</v>
      </c>
      <c r="B1156" s="65">
        <v>0.363807306353177</v>
      </c>
      <c r="C1156" s="65">
        <v>0.151277506896772</v>
      </c>
    </row>
    <row r="1157">
      <c r="A1157" s="26" t="s">
        <v>1716</v>
      </c>
      <c r="B1157" s="65">
        <v>0.359639741571559</v>
      </c>
      <c r="C1157" s="65">
        <v>0.068191492850583</v>
      </c>
    </row>
    <row r="1158">
      <c r="A1158" s="26" t="s">
        <v>1717</v>
      </c>
      <c r="B1158" s="65">
        <v>0.296955922865013</v>
      </c>
      <c r="C1158" s="65">
        <v>0.078420733307096</v>
      </c>
    </row>
    <row r="1159">
      <c r="A1159" s="26" t="s">
        <v>1719</v>
      </c>
      <c r="B1159" s="65">
        <v>0.381436114390659</v>
      </c>
      <c r="C1159" s="65">
        <v>0.088265656654694</v>
      </c>
    </row>
    <row r="1160">
      <c r="A1160" s="26" t="s">
        <v>1720</v>
      </c>
      <c r="B1160" s="65">
        <v>0.376638462547553</v>
      </c>
      <c r="C1160" s="65">
        <v>0.109143016992545</v>
      </c>
    </row>
    <row r="1161">
      <c r="A1161" s="26" t="s">
        <v>1721</v>
      </c>
      <c r="B1161" s="65">
        <v>0.119861339171683</v>
      </c>
      <c r="C1161" s="65">
        <v>0.019173508483853</v>
      </c>
    </row>
    <row r="1162">
      <c r="A1162" s="26" t="s">
        <v>1722</v>
      </c>
      <c r="B1162" s="65">
        <v>0.117655537310709</v>
      </c>
      <c r="C1162" s="65">
        <v>0.018518518518518</v>
      </c>
    </row>
    <row r="1163">
      <c r="A1163" s="26" t="s">
        <v>1724</v>
      </c>
      <c r="B1163" s="65">
        <v>0.127674279743245</v>
      </c>
      <c r="C1163" s="65">
        <v>0.022290059876266</v>
      </c>
    </row>
    <row r="1164">
      <c r="A1164" s="26" t="s">
        <v>1725</v>
      </c>
      <c r="B1164" s="65">
        <v>0.352813189364913</v>
      </c>
      <c r="C1164" s="65">
        <v>0.095079964735137</v>
      </c>
    </row>
    <row r="1165">
      <c r="A1165" s="26" t="s">
        <v>1726</v>
      </c>
      <c r="B1165" s="65">
        <v>0.244208922139096</v>
      </c>
      <c r="C1165" s="65">
        <v>0.067196276984306</v>
      </c>
    </row>
    <row r="1166">
      <c r="A1166" s="26" t="s">
        <v>1727</v>
      </c>
      <c r="B1166" s="65">
        <v>0.234649487392629</v>
      </c>
      <c r="C1166" s="65">
        <v>0.059194276214226</v>
      </c>
    </row>
    <row r="1167">
      <c r="A1167" s="26" t="s">
        <v>1728</v>
      </c>
      <c r="B1167" s="65">
        <v>0.295496814075367</v>
      </c>
      <c r="C1167" s="65">
        <v>0.085657595383281</v>
      </c>
    </row>
    <row r="1168">
      <c r="A1168" s="26" t="s">
        <v>1729</v>
      </c>
      <c r="B1168" s="65">
        <v>0.273411169047079</v>
      </c>
      <c r="C1168" s="65">
        <v>0.082941160350578</v>
      </c>
    </row>
    <row r="1169">
      <c r="A1169" s="26" t="s">
        <v>1731</v>
      </c>
      <c r="B1169" s="65">
        <v>0.238162714478503</v>
      </c>
      <c r="C1169" s="65">
        <v>0.086626823468928</v>
      </c>
    </row>
    <row r="1170">
      <c r="A1170" s="26" t="s">
        <v>1732</v>
      </c>
      <c r="B1170" s="65">
        <v>0.252274918064391</v>
      </c>
      <c r="C1170" s="65">
        <v>0.107332433648223</v>
      </c>
    </row>
    <row r="1171">
      <c r="A1171" s="26" t="s">
        <v>1733</v>
      </c>
      <c r="B1171" s="65">
        <v>0.339374076216181</v>
      </c>
      <c r="C1171" s="65">
        <v>0.137435416585214</v>
      </c>
    </row>
    <row r="1172">
      <c r="A1172" s="26" t="s">
        <v>1735</v>
      </c>
      <c r="B1172" s="65">
        <v>0.346793265214317</v>
      </c>
      <c r="C1172" s="65">
        <v>0.147795344556478</v>
      </c>
    </row>
    <row r="1173">
      <c r="A1173" s="26" t="s">
        <v>1737</v>
      </c>
      <c r="B1173" s="65">
        <v>0.357563346439493</v>
      </c>
      <c r="C1173" s="65">
        <v>0.10301623707587</v>
      </c>
    </row>
    <row r="1174">
      <c r="A1174" s="26" t="s">
        <v>1738</v>
      </c>
      <c r="B1174" s="65">
        <v>0.380755788553953</v>
      </c>
      <c r="C1174" s="65">
        <v>0.13388488422892</v>
      </c>
    </row>
    <row r="1175">
      <c r="A1175" s="26" t="s">
        <v>1739</v>
      </c>
      <c r="B1175" s="65">
        <v>0.400476523985698</v>
      </c>
      <c r="C1175" s="65">
        <v>0.153043350635093</v>
      </c>
    </row>
    <row r="1176">
      <c r="A1176" s="26" t="s">
        <v>1740</v>
      </c>
      <c r="B1176" s="65">
        <v>0.413659862054357</v>
      </c>
      <c r="C1176" s="65">
        <v>0.1664104880848</v>
      </c>
    </row>
    <row r="1177">
      <c r="A1177" s="26" t="s">
        <v>1742</v>
      </c>
      <c r="B1177" s="65">
        <v>0.286996753246753</v>
      </c>
      <c r="C1177" s="65">
        <v>0.076472025449298</v>
      </c>
    </row>
    <row r="1178">
      <c r="A1178" s="26" t="s">
        <v>1743</v>
      </c>
      <c r="B1178" s="65">
        <v>0.30261544011544</v>
      </c>
      <c r="C1178" s="65">
        <v>0.091703069657615</v>
      </c>
    </row>
    <row r="1179">
      <c r="A1179" s="26" t="s">
        <v>1744</v>
      </c>
      <c r="B1179" s="65">
        <v>0.365076047689684</v>
      </c>
      <c r="C1179" s="65">
        <v>0.101313473736602</v>
      </c>
    </row>
    <row r="1180">
      <c r="A1180" s="26" t="s">
        <v>1745</v>
      </c>
      <c r="B1180" s="65">
        <v>0.365762495080676</v>
      </c>
      <c r="C1180" s="65">
        <v>0.118761137852046</v>
      </c>
    </row>
    <row r="1181">
      <c r="A1181" s="26" t="s">
        <v>1746</v>
      </c>
      <c r="B1181" s="65">
        <v>0.099474548440065</v>
      </c>
      <c r="C1181" s="65">
        <v>0.013869731800766</v>
      </c>
    </row>
    <row r="1182">
      <c r="A1182" s="26" t="s">
        <v>1748</v>
      </c>
      <c r="B1182" s="65">
        <v>0.114844006568144</v>
      </c>
      <c r="C1182" s="65">
        <v>0.01789089582193</v>
      </c>
    </row>
    <row r="1183">
      <c r="A1183" s="26" t="s">
        <v>1749</v>
      </c>
      <c r="B1183" s="65">
        <v>0.124286211872418</v>
      </c>
      <c r="C1183" s="65">
        <v>0.022037949279328</v>
      </c>
    </row>
    <row r="1184">
      <c r="A1184" s="26" t="s">
        <v>1750</v>
      </c>
      <c r="B1184" s="65">
        <v>0.302985354364664</v>
      </c>
      <c r="C1184" s="65">
        <v>0.092513846306949</v>
      </c>
    </row>
    <row r="1185">
      <c r="A1185" s="26" t="s">
        <v>1751</v>
      </c>
      <c r="B1185" s="65">
        <v>0.241285674702133</v>
      </c>
      <c r="C1185" s="65">
        <v>0.06829256224518</v>
      </c>
    </row>
    <row r="1186">
      <c r="A1186" s="26" t="s">
        <v>1753</v>
      </c>
      <c r="B1186" s="65">
        <v>0.213810711316945</v>
      </c>
      <c r="C1186" s="65">
        <v>0.062699582213297</v>
      </c>
    </row>
    <row r="1187">
      <c r="A1187" s="26" t="s">
        <v>1754</v>
      </c>
      <c r="B1187" s="65">
        <v>0.300541035578442</v>
      </c>
      <c r="C1187" s="65">
        <v>0.085289767686716</v>
      </c>
    </row>
    <row r="1188">
      <c r="A1188" s="26" t="s">
        <v>1755</v>
      </c>
      <c r="B1188" s="65">
        <v>0.281313491163865</v>
      </c>
      <c r="C1188" s="65">
        <v>0.083676672454727</v>
      </c>
    </row>
    <row r="1189">
      <c r="A1189" s="26" t="s">
        <v>1756</v>
      </c>
      <c r="B1189" s="65">
        <v>0.196790052053209</v>
      </c>
      <c r="C1189" s="65">
        <v>0.087455819034766</v>
      </c>
    </row>
    <row r="1190">
      <c r="A1190" s="26" t="s">
        <v>1758</v>
      </c>
      <c r="B1190" s="65">
        <v>0.243021014073645</v>
      </c>
      <c r="C1190" s="65">
        <v>0.096414112203585</v>
      </c>
    </row>
    <row r="1191">
      <c r="A1191" s="26" t="s">
        <v>1759</v>
      </c>
      <c r="B1191" s="65">
        <v>0.327050794459701</v>
      </c>
      <c r="C1191" s="65">
        <v>0.142401997462726</v>
      </c>
    </row>
    <row r="1192">
      <c r="A1192" s="26" t="s">
        <v>1760</v>
      </c>
      <c r="B1192" s="65">
        <v>0.334192707876918</v>
      </c>
      <c r="C1192" s="65">
        <v>0.153687023727509</v>
      </c>
    </row>
    <row r="1193">
      <c r="A1193" s="26" t="s">
        <v>1761</v>
      </c>
      <c r="B1193" s="65">
        <v>0.328866317169069</v>
      </c>
      <c r="C1193" s="65">
        <v>0.097182175622542</v>
      </c>
    </row>
    <row r="1194">
      <c r="A1194" s="26" t="s">
        <v>1763</v>
      </c>
      <c r="B1194" s="65">
        <v>0.309116062327071</v>
      </c>
      <c r="C1194" s="65">
        <v>0.12284327548089</v>
      </c>
    </row>
    <row r="1195">
      <c r="A1195" s="26" t="s">
        <v>1764</v>
      </c>
      <c r="B1195" s="65">
        <v>0.393312217853502</v>
      </c>
      <c r="C1195" s="65">
        <v>0.142384246742044</v>
      </c>
    </row>
    <row r="1196">
      <c r="A1196" s="26" t="s">
        <v>1766</v>
      </c>
      <c r="B1196" s="65">
        <v>0.392682890503991</v>
      </c>
      <c r="C1196" s="65">
        <v>0.168294116688612</v>
      </c>
    </row>
    <row r="1197">
      <c r="A1197" s="26" t="s">
        <v>1767</v>
      </c>
      <c r="B1197" s="65">
        <v>0.321345598845598</v>
      </c>
      <c r="C1197" s="65">
        <v>0.05521645021645</v>
      </c>
    </row>
    <row r="1198">
      <c r="A1198" s="26" t="s">
        <v>1768</v>
      </c>
      <c r="B1198" s="65">
        <v>0.331114718614718</v>
      </c>
      <c r="C1198" s="65">
        <v>0.041268201495474</v>
      </c>
    </row>
    <row r="1199">
      <c r="A1199" s="26" t="s">
        <v>1769</v>
      </c>
      <c r="B1199" s="65">
        <v>0.376201462678735</v>
      </c>
      <c r="C1199" s="65">
        <v>0.085261941341486</v>
      </c>
    </row>
    <row r="1200">
      <c r="A1200" s="26" t="s">
        <v>1771</v>
      </c>
      <c r="B1200" s="65">
        <v>0.391894582690037</v>
      </c>
      <c r="C1200" s="65">
        <v>0.061954757957431</v>
      </c>
    </row>
    <row r="1201">
      <c r="A1201" s="26" t="s">
        <v>1772</v>
      </c>
      <c r="B1201" s="65">
        <v>0.111713191023535</v>
      </c>
      <c r="C1201" s="65">
        <v>0.014756431308155</v>
      </c>
    </row>
    <row r="1202">
      <c r="A1202" s="26" t="s">
        <v>1773</v>
      </c>
      <c r="B1202" s="65">
        <v>0.116896551724137</v>
      </c>
      <c r="C1202" s="65">
        <v>0.013205619412515</v>
      </c>
    </row>
    <row r="1203">
      <c r="A1203" s="26" t="s">
        <v>1774</v>
      </c>
      <c r="B1203" s="65">
        <v>0.167878622016553</v>
      </c>
      <c r="C1203" s="65">
        <v>0.037215887560715</v>
      </c>
    </row>
    <row r="1204">
      <c r="A1204" s="26" t="s">
        <v>1776</v>
      </c>
      <c r="B1204" s="65">
        <v>0.346112023353402</v>
      </c>
      <c r="C1204" s="65">
        <v>0.080728466935363</v>
      </c>
    </row>
    <row r="1205">
      <c r="A1205" s="26" t="s">
        <v>1777</v>
      </c>
      <c r="B1205" s="65">
        <v>0.255525867870007</v>
      </c>
      <c r="C1205" s="65">
        <v>0.051044196867139</v>
      </c>
    </row>
    <row r="1206">
      <c r="A1206" s="26" t="s">
        <v>1778</v>
      </c>
      <c r="B1206" s="65">
        <v>0.22748485928037</v>
      </c>
      <c r="C1206" s="65">
        <v>0.029294818509282</v>
      </c>
    </row>
    <row r="1207">
      <c r="A1207" s="26" t="s">
        <v>1779</v>
      </c>
      <c r="B1207" s="65">
        <v>0.29000122902866</v>
      </c>
      <c r="C1207" s="65">
        <v>0.074911552841727</v>
      </c>
    </row>
    <row r="1208">
      <c r="A1208" s="26" t="s">
        <v>1781</v>
      </c>
      <c r="B1208" s="65">
        <v>0.268830988905801</v>
      </c>
      <c r="C1208" s="65">
        <v>0.044874149777333</v>
      </c>
    </row>
    <row r="1209">
      <c r="A1209" s="26" t="s">
        <v>1782</v>
      </c>
      <c r="B1209" s="65">
        <v>0.171197223828802</v>
      </c>
      <c r="C1209" s="65">
        <v>0.055018957650536</v>
      </c>
    </row>
    <row r="1210">
      <c r="A1210" s="26" t="s">
        <v>1783</v>
      </c>
      <c r="B1210" s="65">
        <v>0.226259120995963</v>
      </c>
      <c r="C1210" s="65">
        <v>0.057419188998136</v>
      </c>
    </row>
    <row r="1211">
      <c r="A1211" s="26" t="s">
        <v>1784</v>
      </c>
      <c r="B1211" s="65">
        <v>0.314624848835375</v>
      </c>
      <c r="C1211" s="65">
        <v>0.106435982847033</v>
      </c>
    </row>
    <row r="1212">
      <c r="A1212" s="26" t="s">
        <v>1786</v>
      </c>
      <c r="B1212" s="65">
        <v>0.316211858317121</v>
      </c>
      <c r="C1212" s="65">
        <v>0.081112196395597</v>
      </c>
    </row>
    <row r="1213">
      <c r="A1213" s="26" t="s">
        <v>1787</v>
      </c>
      <c r="B1213" s="65">
        <v>0.311102009611183</v>
      </c>
      <c r="C1213" s="65">
        <v>0.101377967088976</v>
      </c>
    </row>
    <row r="1214">
      <c r="A1214" s="26" t="s">
        <v>1788</v>
      </c>
      <c r="B1214" s="65">
        <v>0.356842507645259</v>
      </c>
      <c r="C1214" s="65">
        <v>0.091713994466288</v>
      </c>
    </row>
    <row r="1215">
      <c r="A1215" s="26" t="s">
        <v>1789</v>
      </c>
      <c r="B1215" s="65">
        <v>0.397170095449911</v>
      </c>
      <c r="C1215" s="65">
        <v>0.14877663111608</v>
      </c>
    </row>
    <row r="1216">
      <c r="A1216" s="26" t="s">
        <v>1791</v>
      </c>
      <c r="B1216" s="65">
        <v>0.409691939049737</v>
      </c>
      <c r="C1216" s="65">
        <v>0.120766198633171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13"/>
  </cols>
  <sheetData>
    <row r="1">
      <c r="C1" s="99" t="s">
        <v>79</v>
      </c>
      <c r="D1" s="99"/>
      <c r="E1" s="99" t="s">
        <v>80</v>
      </c>
      <c r="F1" s="99"/>
      <c r="G1" s="99" t="s">
        <v>57</v>
      </c>
      <c r="H1" s="99"/>
    </row>
    <row r="2">
      <c r="A2" s="100"/>
      <c r="B2" s="82"/>
      <c r="C2" s="99" t="s">
        <v>92</v>
      </c>
      <c r="E2" s="101" t="s">
        <v>93</v>
      </c>
      <c r="G2" s="101" t="s">
        <v>94</v>
      </c>
    </row>
    <row r="3">
      <c r="A3" s="102"/>
      <c r="B3" s="92"/>
      <c r="C3" s="103" t="s">
        <v>77</v>
      </c>
      <c r="D3" s="103" t="s">
        <v>78</v>
      </c>
      <c r="E3" s="103" t="s">
        <v>77</v>
      </c>
      <c r="F3" s="103" t="s">
        <v>78</v>
      </c>
      <c r="G3" s="103" t="s">
        <v>77</v>
      </c>
      <c r="H3" s="103" t="s">
        <v>78</v>
      </c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</row>
    <row r="4">
      <c r="A4" s="104" t="s">
        <v>95</v>
      </c>
      <c r="B4" s="70" t="s">
        <v>21</v>
      </c>
      <c r="C4" s="105" t="str">
        <f>IFERROR(__xludf.DUMMYFUNCTION("FILTER(RawData_SemEval!$B$2:$B$398, 
REGEXMATCH(RawData_SemEval!$A$2:$A$398, ""(?i)"" &amp; $A$5),
  REGEXMATCH(RawData_SemEval!$A$2:$A$398, ""(?i)"" &amp; $A$5), 
  REGEXMATCH(RawData_SemEval!$A$2:$A$398, ""(?i)"" &amp; $C$1), 
  REGEXMATCH(RawData_SemEval!$A$2:$A$3"&amp;"98, ""(?i)"" &amp; $B$4), 
  NOT(REGEXMATCH(RawData_SemEval!$A$2:$A$398,  ""(?i)ensemble""))
)"),"#REF!")</f>
        <v>#REF!</v>
      </c>
      <c r="D4" s="105" t="str">
        <f>IFERROR(__xludf.DUMMYFUNCTION("FILTER(RawData_SemEval!$F$2:$F$398, 
  REGEXMATCH(RawData_SemEval!$A$2:$A$398, ""(?i)"" &amp; $A$5), 
  REGEXMATCH(RawData_SemEval!$A$2:$A$398, ""(?i)"" &amp; $C$1), 
  REGEXMATCH(RawData_SemEval!$A$2:$A$398, ""(?i)"" &amp; $B$4), 
  NOT(REGEXMATCH(RawData_SemEval!$A"&amp;"$2:$A$398,  ""(?i)ensemble""))
)"),"#REF!")</f>
        <v>#REF!</v>
      </c>
      <c r="E4" s="106" t="str">
        <f>IFERROR(__xludf.DUMMYFUNCTION("FILTER(RawData_SemEval!$B$2:$B$398, 
  REGEXMATCH(RawData_SemEval!$A$2:$A$398, ""(?i)"" &amp; $A$5), 
  REGEXMATCH(RawData_SemEval!$A$2:$A$398, ""(?i)"" &amp; $E$1), 
  REGEXMATCH(RawData_SemEval!$A$2:$A$398, ""(?i)"" &amp; $B$4), 
  NOT(REGEXMATCH(RawData_SemEval!$A"&amp;"$2:$A$398,  ""(?i)ensemble""))
)"),"#N/A")</f>
        <v>#N/A</v>
      </c>
      <c r="F4" s="105" t="str">
        <f>IFERROR(__xludf.DUMMYFUNCTION("FILTER(RawData_SemEval!$F$2:$F$398, 
  REGEXMATCH(RawData_SemEval!$A$2:$A$398, ""(?i)"" &amp; $A$5), 
  REGEXMATCH(RawData_SemEval!$A$2:$A$398, ""(?i)"" &amp; $E$1), 
  REGEXMATCH(RawData_SemEval!$A$2:$A$398, ""(?i)"" &amp; $B$4), 
  NOT(REGEXMATCH(RawData_SemEval!$A"&amp;"$2:$A$398,  ""(?i)ensemble""))
)"),"#N/A")</f>
        <v>#N/A</v>
      </c>
      <c r="G4" s="106" t="str">
        <f>IFERROR(__xludf.DUMMYFUNCTION("FILTER(RawData_SemEval!$B$2:$B$398, 
  REGEXMATCH(RawData_SemEval!$A$2:$A$398, ""(?i)"" &amp; $A$5), 
  REGEXMATCH(RawData_SemEval!$A$2:$A$398, ""(?i)"" &amp; $G$1), 
  REGEXMATCH(RawData_SemEval!$A$2:$A$398, ""(?i)"" &amp; $B$4), 
  NOT(REGEXMATCH(RawData_SemEval!$A"&amp;"$2:$A$398,  ""(?i)ensemble""))
)"),"#REF!")</f>
        <v>#REF!</v>
      </c>
      <c r="H4" s="105" t="str">
        <f>IFERROR(__xludf.DUMMYFUNCTION("FILTER(RawData_SemEval!$F$2:$F$398, 
  REGEXMATCH(RawData_SemEval!$A$2:$A$398, ""(?i)"" &amp; $A$5), 
  REGEXMATCH(RawData_SemEval!$A$2:$A$398, ""(?i)"" &amp; $G$1), 
  REGEXMATCH(RawData_SemEval!$A$2:$A$398, ""(?i)"" &amp; $B$4), 
  NOT(REGEXMATCH(RawData_SemEval!$A"&amp;"$2:$A$398,  ""(?i)ensemble""))
)"),"#REF!")</f>
        <v>#REF!</v>
      </c>
    </row>
    <row r="5">
      <c r="A5" s="104" t="s">
        <v>13</v>
      </c>
      <c r="B5" s="70" t="s">
        <v>74</v>
      </c>
      <c r="C5" s="105" t="str">
        <f>IFERROR(__xludf.DUMMYFUNCTION("FILTER(RawData_SemEval!$B$2:$B$398, 
  REGEXMATCH(RawData_SemEval!$A$2:$A$398, ""(?i)"" &amp; $A$5), 
  REGEXMATCH(RawData_SemEval!$A$2:$A$398, ""(?i)"" &amp; $C$1), 
  REGEXMATCH(RawData_SemEval!$A$2:$A$398, ""(?i)"" &amp; $B$4), 
  REGEXMATCH(RawData_SemEval!$A$2:$"&amp;"A$398, ""(?i)"" &amp; $B$5)
)"),"#N/A")</f>
        <v>#N/A</v>
      </c>
      <c r="D5" s="105" t="str">
        <f>IFERROR(__xludf.DUMMYFUNCTION("FILTER(RawData_SemEval!$F$2:$F$398, 
  REGEXMATCH(RawData_SemEval!$A$2:$A$398, ""(?i)"" &amp; $A$5), 
  REGEXMATCH(RawData_SemEval!$A$2:$A$398, ""(?i)"" &amp; $C$1), 
  REGEXMATCH(RawData_SemEval!$A$2:$A$398, ""(?i)"" &amp; $B$4), 
  REGEXMATCH(RawData_SemEval!$A$2:$"&amp;"A$398, ""(?i)"" &amp; $B$5)
)"),"#N/A")</f>
        <v>#N/A</v>
      </c>
      <c r="E5" s="106" t="str">
        <f>IFERROR(__xludf.DUMMYFUNCTION("FILTER(RawData_SemEval!$B$2:$B$398, 
  REGEXMATCH(RawData_SemEval!$A$2:$A$398, ""(?i)"" &amp; $A$5), 
  REGEXMATCH(RawData_SemEval!$A$2:$A$398, ""(?i)"" &amp; $E$1), 
  REGEXMATCH(RawData_SemEval!$A$2:$A$398, ""(?i)"" &amp; $B$4), 
  REGEXMATCH(RawData_SemEval!$A$2:$"&amp;"A$398, ""(?i)"" &amp; $B$5)
)"),"#N/A")</f>
        <v>#N/A</v>
      </c>
      <c r="F5" s="105" t="str">
        <f>IFERROR(__xludf.DUMMYFUNCTION("FILTER(RawData_SemEval!$F$2:$F$398, 
  REGEXMATCH(RawData_SemEval!$A$2:$A$398, ""(?i)"" &amp; $A$5), 
  REGEXMATCH(RawData_SemEval!$A$2:$A$398, ""(?i)"" &amp; $E$1), 
  REGEXMATCH(RawData_SemEval!$A$2:$A$398, ""(?i)"" &amp; $B$4), 
  REGEXMATCH(RawData_SemEval!$A$2:$"&amp;"A$398, ""(?i)"" &amp; $B$5)
)"),"#N/A")</f>
        <v>#N/A</v>
      </c>
      <c r="G5" s="106" t="str">
        <f>IFERROR(__xludf.DUMMYFUNCTION("FILTER(RawData_SemEval!$B$2:$B$398, 
  REGEXMATCH(RawData_SemEval!$A$2:$A$398, ""(?i)"" &amp; $A$5), 
  REGEXMATCH(RawData_SemEval!$A$2:$A$398, ""(?i)"" &amp; $G$1), 
  REGEXMATCH(RawData_SemEval!$A$2:$A$398, ""(?i)"" &amp; $B$4), 
  REGEXMATCH(RawData_SemEval!$A$2:$"&amp;"A$398, ""(?i)"" &amp; $B$5)
)"),"#N/A")</f>
        <v>#N/A</v>
      </c>
      <c r="H5" s="105" t="str">
        <f>IFERROR(__xludf.DUMMYFUNCTION("FILTER(RawData_SemEval!$F$2:$F$398, 
  REGEXMATCH(RawData_SemEval!$A$2:$A$398, ""(?i)"" &amp; $A$5), 
  REGEXMATCH(RawData_SemEval!$A$2:$A$398, ""(?i)"" &amp; $G$1), 
  REGEXMATCH(RawData_SemEval!$A$2:$A$398, ""(?i)"" &amp; $B$4), 
  REGEXMATCH(RawData_SemEval!$A$2:$"&amp;"A$398, ""(?i)"" &amp; $B$5)
)"),"#N/A")</f>
        <v>#N/A</v>
      </c>
    </row>
    <row r="6">
      <c r="A6" s="104"/>
      <c r="B6" s="74" t="s">
        <v>75</v>
      </c>
      <c r="C6" s="107" t="str">
        <f>IFERROR(__xludf.DUMMYFUNCTION("FILTER(RawData_SemEval!$B$2:$B$398, 
  REGEXMATCH(RawData_SemEval!$A$2:$A$398, ""(?i)"" &amp; $A$5), 
  REGEXMATCH(RawData_SemEval!$A$2:$A$398, ""(?i)"" &amp; $C$1), 
  REGEXMATCH(RawData_SemEval!$A$2:$A$398, ""(?i)"" &amp; $B$4), 
  REGEXMATCH(RawData_SemEval!$A$2:$"&amp;"A$398, ""(?i)"" &amp; $B$6)
)"),"#N/A")</f>
        <v>#N/A</v>
      </c>
      <c r="D6" s="107" t="str">
        <f>IFERROR(__xludf.DUMMYFUNCTION("FILTER(RawData_SemEval!$F$2:$F$398, 
  REGEXMATCH(RawData_SemEval!$A$2:$A$398, ""(?i)"" &amp; $A$5), 
  REGEXMATCH(RawData_SemEval!$A$2:$A$398, ""(?i)"" &amp; $C$1), 
  REGEXMATCH(RawData_SemEval!$A$2:$A$398, ""(?i)"" &amp; $B$4), 
  REGEXMATCH(RawData_SemEval!$A$2:$"&amp;"A$398, ""(?i)"" &amp; $B$6)
)"),"#N/A")</f>
        <v>#N/A</v>
      </c>
      <c r="E6" s="108" t="str">
        <f>IFERROR(__xludf.DUMMYFUNCTION("FILTER(RawData_SemEval!$B$2:$B$398, 
  REGEXMATCH(RawData_SemEval!$A$2:$A$398, ""(?i)"" &amp; $A$5), 
  REGEXMATCH(RawData_SemEval!$A$2:$A$398, ""(?i)"" &amp; $E$1), 
  REGEXMATCH(RawData_SemEval!$A$2:$A$398, ""(?i)"" &amp; $B$4), 
  REGEXMATCH(RawData_SemEval!$A$2:$"&amp;"A$398, ""(?i)"" &amp; $B$6)
)"),"#N/A")</f>
        <v>#N/A</v>
      </c>
      <c r="F6" s="107" t="str">
        <f>IFERROR(__xludf.DUMMYFUNCTION("FILTER(RawData_SemEval!$F$2:$F$398, 
  REGEXMATCH(RawData_SemEval!$A$2:$A$398, ""(?i)"" &amp; $A$5), 
  REGEXMATCH(RawData_SemEval!$A$2:$A$398, ""(?i)"" &amp; $E$1), 
  REGEXMATCH(RawData_SemEval!$A$2:$A$398, ""(?i)"" &amp; $B$4), 
  REGEXMATCH(RawData_SemEval!$A$2:$"&amp;"A$398, ""(?i)"" &amp; $B$6)
)"),"#N/A")</f>
        <v>#N/A</v>
      </c>
      <c r="G6" s="108" t="str">
        <f>IFERROR(__xludf.DUMMYFUNCTION("FILTER(RawData_SemEval!$B$2:$B$398, 
  REGEXMATCH(RawData_SemEval!$A$2:$A$398, ""(?i)"" &amp; $A$5), 
  REGEXMATCH(RawData_SemEval!$A$2:$A$398, ""(?i)"" &amp; $G$1), 
  REGEXMATCH(RawData_SemEval!$A$2:$A$398, ""(?i)"" &amp; $B$4), 
  REGEXMATCH(RawData_SemEval!$A$2:$"&amp;"A$398, ""(?i)"" &amp; $B$6)
)"),"#N/A")</f>
        <v>#N/A</v>
      </c>
      <c r="H6" s="107" t="str">
        <f>IFERROR(__xludf.DUMMYFUNCTION("FILTER(RawData_SemEval!$F$2:$F$398, 
  REGEXMATCH(RawData_SemEval!$A$2:$A$398, ""(?i)"" &amp; $A$5), 
  REGEXMATCH(RawData_SemEval!$A$2:$A$398, ""(?i)"" &amp; $G$1), 
  REGEXMATCH(RawData_SemEval!$A$2:$A$398, ""(?i)"" &amp; $B$4), 
  REGEXMATCH(RawData_SemEval!$A$2:$"&amp;"A$398, ""(?i)"" &amp; $B$6)
)"),"#N/A")</f>
        <v>#N/A</v>
      </c>
      <c r="I6" s="78"/>
      <c r="J6" s="74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</row>
    <row r="7">
      <c r="A7" s="104" t="s">
        <v>196</v>
      </c>
      <c r="B7" s="7" t="s">
        <v>26</v>
      </c>
      <c r="C7" s="105" t="str">
        <f>IFERROR(__xludf.DUMMYFUNCTION("FILTER(RawData_SemEval!$B$2:$B$398, 
  REGEXMATCH(RawData_SemEval!$A$2:$A$398, ""(?i)"" &amp; $A$5), 
  REGEXMATCH(RawData_SemEval!$A$2:$A$398, ""(?i)"" &amp; $C$1), 
  REGEXMATCH(RawData_SemEval!$A$2:$A$398, ""(?i)"" &amp; $B$7), 
  NOT(REGEXMATCH(RawData_SemEval!$A"&amp;"$2:$A$398,  ""(?i)ensemble""))
)"),"#REF!")</f>
        <v>#REF!</v>
      </c>
      <c r="D7" s="105" t="str">
        <f>IFERROR(__xludf.DUMMYFUNCTION("FILTER(RawData_SemEval!$F$2:$F$398, 
  REGEXMATCH(RawData_SemEval!$A$2:$A$398, ""(?i)"" &amp; $A$5), 
  REGEXMATCH(RawData_SemEval!$A$2:$A$398, ""(?i)"" &amp; $C$1), 
  REGEXMATCH(RawData_SemEval!$A$2:$A$398, ""(?i)"" &amp; $B$7), 
  NOT(REGEXMATCH(RawData_SemEval!$A"&amp;"$2:$A$398,  ""(?i)ensemble""))
)"),"#REF!")</f>
        <v>#REF!</v>
      </c>
      <c r="E7" s="106" t="str">
        <f>IFERROR(__xludf.DUMMYFUNCTION("FILTER(RawData_SemEval!$B$2:$B$398, 
  REGEXMATCH(RawData_SemEval!$A$2:$A$398, ""(?i)"" &amp; $A$5), 
  REGEXMATCH(RawData_SemEval!$A$2:$A$398, ""(?i)"" &amp; $E$1), 
  REGEXMATCH(RawData_SemEval!$A$2:$A$398, ""(?i)"" &amp; $B$7), 
  NOT(REGEXMATCH(RawData_SemEval!$A"&amp;"$2:$A$398,  ""(?i)ensemble""))
)"),"#N/A")</f>
        <v>#N/A</v>
      </c>
      <c r="F7" s="105" t="str">
        <f>IFERROR(__xludf.DUMMYFUNCTION("FILTER(RawData_SemEval!$F$2:$F$398, 
  REGEXMATCH(RawData_SemEval!$A$2:$A$398, ""(?i)"" &amp; $A$5), 
  REGEXMATCH(RawData_SemEval!$A$2:$A$398, ""(?i)"" &amp; $E$1), 
  REGEXMATCH(RawData_SemEval!$A$2:$A$398, ""(?i)"" &amp; $B$7), 
  NOT(REGEXMATCH(RawData_SemEval!$A"&amp;"$2:$A$398,  ""(?i)ensemble""))
)"),"#N/A")</f>
        <v>#N/A</v>
      </c>
      <c r="G7" s="106" t="str">
        <f>IFERROR(__xludf.DUMMYFUNCTION("FILTER(RawData_SemEval!$B$2:$B$398, 
  REGEXMATCH(RawData_SemEval!$A$2:$A$398, ""(?i)"" &amp; $A$5), 
  REGEXMATCH(RawData_SemEval!$A$2:$A$398, ""(?i)"" &amp; $G$1), 
  REGEXMATCH(RawData_SemEval!$A$2:$A$398, ""(?i)"" &amp; $B$7), 
  NOT(REGEXMATCH(RawData_SemEval!$A"&amp;"$2:$A$398,  ""(?i)ensemble""))
)"),"#REF!")</f>
        <v>#REF!</v>
      </c>
      <c r="H7" s="105" t="str">
        <f>IFERROR(__xludf.DUMMYFUNCTION("FILTER(RawData_SemEval!$F$2:$F$398, 
  REGEXMATCH(RawData_SemEval!$A$2:$A$398, ""(?i)"" &amp; $A$5), 
  REGEXMATCH(RawData_SemEval!$A$2:$A$398, ""(?i)"" &amp; $G$1), 
  REGEXMATCH(RawData_SemEval!$A$2:$A$398, ""(?i)"" &amp; $B$7), 
  NOT(REGEXMATCH(RawData_SemEval!$A"&amp;"$2:$A$398,  ""(?i)ensemble""))
)"),"#REF!")</f>
        <v>#REF!</v>
      </c>
    </row>
    <row r="8">
      <c r="A8" s="104"/>
      <c r="B8" s="7" t="s">
        <v>74</v>
      </c>
      <c r="C8" s="105" t="str">
        <f>IFERROR(__xludf.DUMMYFUNCTION("FILTER(RawData_SemEval!$B$2:$B$398, 
  REGEXMATCH(RawData_SemEval!$A$2:$A$398, ""(?i)"" &amp; $A$5), 
  REGEXMATCH(RawData_SemEval!$A$2:$A$398, ""(?i)"" &amp; $C$1), 
  REGEXMATCH(RawData_SemEval!$A$2:$A$398, ""(?i)"" &amp; $B$7), 
  REGEXMATCH(RawData_SemEval!$A$2:$"&amp;"A$398, ""(?i)"" &amp; $B$5)
)"),"#N/A")</f>
        <v>#N/A</v>
      </c>
      <c r="D8" s="105" t="str">
        <f>IFERROR(__xludf.DUMMYFUNCTION("FILTER(RawData_SemEval!$F$2:$F$398, 
  REGEXMATCH(RawData_SemEval!$A$2:$A$398, ""(?i)"" &amp; $A$5), 
  REGEXMATCH(RawData_SemEval!$A$2:$A$398, ""(?i)"" &amp; $C$1), 
  REGEXMATCH(RawData_SemEval!$A$2:$A$398, ""(?i)"" &amp; $B$7), 
  REGEXMATCH(RawData_SemEval!$A$2:$"&amp;"A$398, ""(?i)"" &amp; $B$5)
)"),"#N/A")</f>
        <v>#N/A</v>
      </c>
      <c r="E8" s="106" t="str">
        <f>IFERROR(__xludf.DUMMYFUNCTION("FILTER(RawData_SemEval!$B$2:$B$398, 
  REGEXMATCH(RawData_SemEval!$A$2:$A$398, ""(?i)"" &amp; $A$5), 
  REGEXMATCH(RawData_SemEval!$A$2:$A$398, ""(?i)"" &amp; $E$1), 
  REGEXMATCH(RawData_SemEval!$A$2:$A$398, ""(?i)"" &amp; $B$7), 
  REGEXMATCH(RawData_SemEval!$A$2:$"&amp;"A$398, ""(?i)"" &amp; $B$5)
)"),"#N/A")</f>
        <v>#N/A</v>
      </c>
      <c r="F8" s="105" t="str">
        <f>IFERROR(__xludf.DUMMYFUNCTION("FILTER(RawData_SemEval!$F$2:$F$398, 
  REGEXMATCH(RawData_SemEval!$A$2:$A$398, ""(?i)"" &amp; $A$5), 
  REGEXMATCH(RawData_SemEval!$A$2:$A$398, ""(?i)"" &amp; $E$1), 
  REGEXMATCH(RawData_SemEval!$A$2:$A$398, ""(?i)"" &amp; $B$7), 
  REGEXMATCH(RawData_SemEval!$A$2:$"&amp;"A$398, ""(?i)"" &amp; $B$5)
)"),"#N/A")</f>
        <v>#N/A</v>
      </c>
      <c r="G8" s="106" t="str">
        <f>IFERROR(__xludf.DUMMYFUNCTION("FILTER(RawData_SemEval!$B$2:$B$398, 
  REGEXMATCH(RawData_SemEval!$A$2:$A$398, ""(?i)"" &amp; $A$5), 
  REGEXMATCH(RawData_SemEval!$A$2:$A$398, ""(?i)"" &amp; $G$1), 
  REGEXMATCH(RawData_SemEval!$A$2:$A$398, ""(?i)"" &amp; $B$7), 
  REGEXMATCH(RawData_SemEval!$A$2:$"&amp;"A$398, ""(?i)"" &amp; $B$5)
)"),"#N/A")</f>
        <v>#N/A</v>
      </c>
      <c r="H8" s="105" t="str">
        <f>IFERROR(__xludf.DUMMYFUNCTION("FILTER(RawData_SemEval!$F$2:$F$398, 
  REGEXMATCH(RawData_SemEval!$A$2:$A$398, ""(?i)"" &amp; $A$5), 
  REGEXMATCH(RawData_SemEval!$A$2:$A$398, ""(?i)"" &amp; $G$1), 
  REGEXMATCH(RawData_SemEval!$A$2:$A$398, ""(?i)"" &amp; $B$7), 
  REGEXMATCH(RawData_SemEval!$A$2:$"&amp;"A$398, ""(?i)"" &amp; $B$5)
)"),"#N/A")</f>
        <v>#N/A</v>
      </c>
    </row>
    <row r="9">
      <c r="A9" s="104"/>
      <c r="B9" s="74" t="s">
        <v>75</v>
      </c>
      <c r="C9" s="107" t="str">
        <f>IFERROR(__xludf.DUMMYFUNCTION("FILTER(RawData_SemEval!$B$2:$B$398, 
  REGEXMATCH(RawData_SemEval!$A$2:$A$398, ""(?i)"" &amp; $A$5), 
  REGEXMATCH(RawData_SemEval!$A$2:$A$398, ""(?i)"" &amp; $C$1), 
  REGEXMATCH(RawData_SemEval!$A$2:$A$398, ""(?i)"" &amp; $B$7), 
  REGEXMATCH(RawData_SemEval!$A$2:$"&amp;"A$398, ""(?i)"" &amp; $B$6)
)"),"#N/A")</f>
        <v>#N/A</v>
      </c>
      <c r="D9" s="107" t="str">
        <f>IFERROR(__xludf.DUMMYFUNCTION("FILTER(RawData_SemEval!$F$2:$F$398, 
  REGEXMATCH(RawData_SemEval!$A$2:$A$398, ""(?i)"" &amp; $A$5), 
  REGEXMATCH(RawData_SemEval!$A$2:$A$398, ""(?i)"" &amp; $C$1), 
  REGEXMATCH(RawData_SemEval!$A$2:$A$398, ""(?i)"" &amp; $B$7), 
  REGEXMATCH(RawData_SemEval!$A$2:$"&amp;"A$398, ""(?i)"" &amp; $B$6)
)"),"#N/A")</f>
        <v>#N/A</v>
      </c>
      <c r="E9" s="108" t="str">
        <f>IFERROR(__xludf.DUMMYFUNCTION("FILTER(RawData_SemEval!$B$2:$B$398, 
  REGEXMATCH(RawData_SemEval!$A$2:$A$398, ""(?i)"" &amp; $A$5), 
  REGEXMATCH(RawData_SemEval!$A$2:$A$398, ""(?i)"" &amp; $E$1), 
  REGEXMATCH(RawData_SemEval!$A$2:$A$398, ""(?i)"" &amp; $B$7), 
  REGEXMATCH(RawData_SemEval!$A$2:$"&amp;"A$398, ""(?i)"" &amp; $B$6)
)"),"#N/A")</f>
        <v>#N/A</v>
      </c>
      <c r="F9" s="107" t="str">
        <f>IFERROR(__xludf.DUMMYFUNCTION("FILTER(RawData_SemEval!$F$2:$F$398, 
  REGEXMATCH(RawData_SemEval!$A$2:$A$398, ""(?i)"" &amp; $A$5), 
  REGEXMATCH(RawData_SemEval!$A$2:$A$398, ""(?i)"" &amp; $E$1), 
  REGEXMATCH(RawData_SemEval!$A$2:$A$398, ""(?i)"" &amp; $B$7), 
  REGEXMATCH(RawData_SemEval!$A$2:$"&amp;"A$398, ""(?i)"" &amp; $B$6)
)"),"#N/A")</f>
        <v>#N/A</v>
      </c>
      <c r="G9" s="108" t="str">
        <f>IFERROR(__xludf.DUMMYFUNCTION("FILTER(RawData_SemEval!$B$2:$B$398, 
  REGEXMATCH(RawData_SemEval!$A$2:$A$398, ""(?i)"" &amp; $A$5), 
  REGEXMATCH(RawData_SemEval!$A$2:$A$398, ""(?i)"" &amp; $G$1), 
  REGEXMATCH(RawData_SemEval!$A$2:$A$398, ""(?i)"" &amp; $B$7), 
  REGEXMATCH(RawData_SemEval!$A$2:$"&amp;"A$398, ""(?i)"" &amp; $B$6)
)"),"#N/A")</f>
        <v>#N/A</v>
      </c>
      <c r="H9" s="107" t="str">
        <f>IFERROR(__xludf.DUMMYFUNCTION("FILTER(RawData_SemEval!$F$2:$F$398, 
  REGEXMATCH(RawData_SemEval!$A$2:$A$398, ""(?i)"" &amp; $A$5), 
  REGEXMATCH(RawData_SemEval!$A$2:$A$398, ""(?i)"" &amp; $G$1), 
  REGEXMATCH(RawData_SemEval!$A$2:$A$398, ""(?i)"" &amp; $B$7), 
  REGEXMATCH(RawData_SemEval!$A$2:$"&amp;"A$398, ""(?i)"" &amp; $B$6)
)"),"#N/A")</f>
        <v>#N/A</v>
      </c>
      <c r="I9" s="78"/>
      <c r="J9" s="74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</row>
    <row r="10">
      <c r="A10" s="104" t="s">
        <v>197</v>
      </c>
      <c r="B10" s="7" t="s">
        <v>20</v>
      </c>
      <c r="C10" s="105" t="str">
        <f>IFERROR(__xludf.DUMMYFUNCTION("FILTER(RawData_SemEval!$B$2:$B$398, 
  REGEXMATCH(RawData_SemEval!$A$2:$A$398, ""(?i)"" &amp; $A$5), 
  REGEXMATCH(RawData_SemEval!$A$2:$A$398, ""(?i)"" &amp; $C$1), 
  REGEXMATCH(RawData_SemEval!$A$2:$A$398, ""(?i)"" &amp; $A$10), 
  NOT(REGEXMATCH(RawData_SemEval!$"&amp;"A$2:$A$398,  ""(?i)ensemble""))
)"),"#REF!")</f>
        <v>#REF!</v>
      </c>
      <c r="D10" s="105" t="str">
        <f>IFERROR(__xludf.DUMMYFUNCTION("FILTER(RawData_SemEval!$F$2:$F$398, 
  REGEXMATCH(RawData_SemEval!$A$2:$A$398, ""(?i)"" &amp; $A$5), 
  REGEXMATCH(RawData_SemEval!$A$2:$A$398, ""(?i)"" &amp; $C$1), 
  REGEXMATCH(RawData_SemEval!$A$2:$A$398, ""(?i)"" &amp; $A$10), 
  NOT(REGEXMATCH(RawData_SemEval!$"&amp;"A$2:$A$398,  ""(?i)ensemble""))
)"),"#REF!")</f>
        <v>#REF!</v>
      </c>
      <c r="E10" s="106" t="str">
        <f>IFERROR(__xludf.DUMMYFUNCTION("FILTER(RawData_SemEval!$B$2:$B$398, 
  REGEXMATCH(RawData_SemEval!$A$2:$A$398, ""(?i)"" &amp; $A$5), 
  REGEXMATCH(RawData_SemEval!$A$2:$A$398, ""(?i)"" &amp; $E$1), 
  REGEXMATCH(RawData_SemEval!$A$2:$A$398, ""(?i)"" &amp; $A$10), 
  NOT(REGEXMATCH(RawData_SemEval!$"&amp;"A$2:$A$398,  ""(?i)ensemble""))
)"),"#N/A")</f>
        <v>#N/A</v>
      </c>
      <c r="F10" s="105" t="str">
        <f>IFERROR(__xludf.DUMMYFUNCTION("FILTER(RawData_SemEval!$F$2:$F$398, 
  REGEXMATCH(RawData_SemEval!$A$2:$A$398, ""(?i)"" &amp; $A$5), 
  REGEXMATCH(RawData_SemEval!$A$2:$A$398, ""(?i)"" &amp; $E$1), 
  REGEXMATCH(RawData_SemEval!$A$2:$A$398, ""(?i)"" &amp; $A$10), 
  NOT(REGEXMATCH(RawData_SemEval!$"&amp;"A$2:$A$398,  ""(?i)ensemble""))
)"),"#N/A")</f>
        <v>#N/A</v>
      </c>
      <c r="G10" s="106" t="str">
        <f>IFERROR(__xludf.DUMMYFUNCTION("FILTER(RawData_SemEval!$B$2:$B$398, 
  REGEXMATCH(RawData_SemEval!$A$2:$A$398, ""(?i)"" &amp; $A$5), 
  REGEXMATCH(RawData_SemEval!$A$2:$A$398, ""(?i)"" &amp; $G$1), 
  REGEXMATCH(RawData_SemEval!$A$2:$A$398, ""(?i)"" &amp; $A$10), 
  NOT(REGEXMATCH(RawData_SemEval!$"&amp;"A$2:$A$398,  ""(?i)ensemble""))
)"),"#REF!")</f>
        <v>#REF!</v>
      </c>
      <c r="H10" s="105" t="str">
        <f>IFERROR(__xludf.DUMMYFUNCTION("FILTER(RawData_SemEval!$F$2:$F$398, 
  REGEXMATCH(RawData_SemEval!$A$2:$A$398, ""(?i)"" &amp; $A$5), 
  REGEXMATCH(RawData_SemEval!$A$2:$A$398, ""(?i)"" &amp; $G$1), 
  REGEXMATCH(RawData_SemEval!$A$2:$A$398, ""(?i)"" &amp; $A$10), 
  NOT(REGEXMATCH(RawData_SemEval!$"&amp;"A$2:$A$398,  ""(?i)ensemble""))
)"),"#REF!")</f>
        <v>#REF!</v>
      </c>
      <c r="J10" s="90"/>
    </row>
    <row r="11">
      <c r="A11" s="104"/>
      <c r="B11" s="7" t="s">
        <v>74</v>
      </c>
      <c r="C11" s="105" t="str">
        <f>IFERROR(__xludf.DUMMYFUNCTION("FILTER(RawData_SemEval!$B$2:$B$398, 
  REGEXMATCH(RawData_SemEval!$A$2:$A$398, ""(?i)"" &amp; $A$5), 
  REGEXMATCH(RawData_SemEval!$A$2:$A$398, ""(?i)"" &amp; $C$1), 
  REGEXMATCH(RawData_SemEval!$A$2:$A$398, ""(?i)"" &amp; $A$10), 
  REGEXMATCH(RawData_SemEval!$A$2:"&amp;"$A$398, ""(?i)"" &amp; $B$5)
)"),"#N/A")</f>
        <v>#N/A</v>
      </c>
      <c r="D11" s="105" t="str">
        <f>IFERROR(__xludf.DUMMYFUNCTION("FILTER(RawData_SemEval!$F$2:$F$398, 
  REGEXMATCH(RawData_SemEval!$A$2:$A$398, ""(?i)"" &amp; $A$5), 
  REGEXMATCH(RawData_SemEval!$A$2:$A$398, ""(?i)"" &amp; $C$1), 
  REGEXMATCH(RawData_SemEval!$A$2:$A$398, ""(?i)"" &amp; $A$10), 
  REGEXMATCH(RawData_SemEval!$A$2:"&amp;"$A$398, ""(?i)"" &amp; $B$5)
)"),"#N/A")</f>
        <v>#N/A</v>
      </c>
      <c r="E11" s="106" t="str">
        <f>IFERROR(__xludf.DUMMYFUNCTION("FILTER(RawData_SemEval!$B$2:$B$398, 
  REGEXMATCH(RawData_SemEval!$A$2:$A$398, ""(?i)"" &amp; $A$5), 
  REGEXMATCH(RawData_SemEval!$A$2:$A$398, ""(?i)"" &amp; $E$1), 
  REGEXMATCH(RawData_SemEval!$A$2:$A$398, ""(?i)"" &amp; $A$10), 
  REGEXMATCH(RawData_SemEval!$A$2:"&amp;"$A$398, ""(?i)"" &amp; $B$5)
)"),"#N/A")</f>
        <v>#N/A</v>
      </c>
      <c r="F11" s="105" t="str">
        <f>IFERROR(__xludf.DUMMYFUNCTION("FILTER(RawData_SemEval!$F$2:$F$398, 
  REGEXMATCH(RawData_SemEval!$A$2:$A$398, ""(?i)"" &amp; $A$5), 
  REGEXMATCH(RawData_SemEval!$A$2:$A$398, ""(?i)"" &amp; $E$1), 
  REGEXMATCH(RawData_SemEval!$A$2:$A$398, ""(?i)"" &amp; $A$10), 
  REGEXMATCH(RawData_SemEval!$A$2:"&amp;"$A$398, ""(?i)"" &amp; $B$5)
)"),"#N/A")</f>
        <v>#N/A</v>
      </c>
      <c r="G11" s="106" t="str">
        <f>IFERROR(__xludf.DUMMYFUNCTION("FILTER(RawData_SemEval!$B$2:$B$398, 
  REGEXMATCH(RawData_SemEval!$A$2:$A$398, ""(?i)"" &amp; $A$5), 
  REGEXMATCH(RawData_SemEval!$A$2:$A$398, ""(?i)"" &amp; $G$1), 
  REGEXMATCH(RawData_SemEval!$A$2:$A$398, ""(?i)"" &amp; $A$10), 
  REGEXMATCH(RawData_SemEval!$A$2:"&amp;"$A$398, ""(?i)"" &amp; $B$5)
)"),"#N/A")</f>
        <v>#N/A</v>
      </c>
      <c r="H11" s="105" t="str">
        <f>IFERROR(__xludf.DUMMYFUNCTION("FILTER(RawData_SemEval!$F$2:$F$398, 
  REGEXMATCH(RawData_SemEval!$A$2:$A$398, ""(?i)"" &amp; $A$5), 
  REGEXMATCH(RawData_SemEval!$A$2:$A$398, ""(?i)"" &amp; $G$1), 
  REGEXMATCH(RawData_SemEval!$A$2:$A$398, ""(?i)"" &amp; $A$10), 
  REGEXMATCH(RawData_SemEval!$A$2:"&amp;"$A$398, ""(?i)"" &amp; $B$5)
)"),"#N/A")</f>
        <v>#N/A</v>
      </c>
    </row>
    <row r="12">
      <c r="A12" s="104"/>
      <c r="B12" s="74" t="s">
        <v>75</v>
      </c>
      <c r="C12" s="107" t="str">
        <f>IFERROR(__xludf.DUMMYFUNCTION("FILTER(RawData_SemEval!$B$2:$B$398, 
  REGEXMATCH(RawData_SemEval!$A$2:$A$398, ""(?i)"" &amp; $A$5), 
  REGEXMATCH(RawData_SemEval!$A$2:$A$398, ""(?i)"" &amp; $C$1), 
  REGEXMATCH(RawData_SemEval!$A$2:$A$398, ""(?i)"" &amp; $A$10), 
  REGEXMATCH(RawData_SemEval!$A$2:"&amp;"$A$398, ""(?i)"" &amp; $B$6)
)"),"#N/A")</f>
        <v>#N/A</v>
      </c>
      <c r="D12" s="107" t="str">
        <f>IFERROR(__xludf.DUMMYFUNCTION("FILTER(RawData_SemEval!$F$2:$F$398, 
  REGEXMATCH(RawData_SemEval!$A$2:$A$398, ""(?i)"" &amp; $A$5), 
  REGEXMATCH(RawData_SemEval!$A$2:$A$398, ""(?i)"" &amp; $C$1), 
  REGEXMATCH(RawData_SemEval!$A$2:$A$398, ""(?i)"" &amp; $A$10), 
  REGEXMATCH(RawData_SemEval!$A$2:"&amp;"$A$398, ""(?i)"" &amp; $B$6)
)"),"#N/A")</f>
        <v>#N/A</v>
      </c>
      <c r="E12" s="108" t="str">
        <f>IFERROR(__xludf.DUMMYFUNCTION("FILTER(RawData_SemEval!$B$2:$B$398, 
  REGEXMATCH(RawData_SemEval!$A$2:$A$398, ""(?i)"" &amp; $A$5), 
  REGEXMATCH(RawData_SemEval!$A$2:$A$398, ""(?i)"" &amp; $E$1), 
  REGEXMATCH(RawData_SemEval!$A$2:$A$398, ""(?i)"" &amp; $A$10), 
  REGEXMATCH(RawData_SemEval!$A$2:"&amp;"$A$398, ""(?i)"" &amp; $B$6)
)"),"#N/A")</f>
        <v>#N/A</v>
      </c>
      <c r="F12" s="107" t="str">
        <f>IFERROR(__xludf.DUMMYFUNCTION("FILTER(RawData_SemEval!$F$2:$F$398, 
  REGEXMATCH(RawData_SemEval!$A$2:$A$398, ""(?i)"" &amp; $A$5), 
  REGEXMATCH(RawData_SemEval!$A$2:$A$398, ""(?i)"" &amp; $E$1), 
  REGEXMATCH(RawData_SemEval!$A$2:$A$398, ""(?i)"" &amp; $A$10), 
  REGEXMATCH(RawData_SemEval!$A$2:"&amp;"$A$398, ""(?i)"" &amp; $B$6)
)"),"#N/A")</f>
        <v>#N/A</v>
      </c>
      <c r="G12" s="108" t="str">
        <f>IFERROR(__xludf.DUMMYFUNCTION("FILTER(RawData_SemEval!$B$2:$B$398, 
  REGEXMATCH(RawData_SemEval!$A$2:$A$398, ""(?i)"" &amp; $A$5), 
  REGEXMATCH(RawData_SemEval!$A$2:$A$398, ""(?i)"" &amp; $G$1), 
  REGEXMATCH(RawData_SemEval!$A$2:$A$398, ""(?i)"" &amp; $A$10), 
  REGEXMATCH(RawData_SemEval!$A$2:"&amp;"$A$398, ""(?i)"" &amp; $B$6)
)"),"#N/A")</f>
        <v>#N/A</v>
      </c>
      <c r="H12" s="107" t="str">
        <f>IFERROR(__xludf.DUMMYFUNCTION("FILTER(RawData_SemEval!$F$2:$F$398, 
  REGEXMATCH(RawData_SemEval!$A$2:$A$398, ""(?i)"" &amp; $A$5), 
  REGEXMATCH(RawData_SemEval!$A$2:$A$398, ""(?i)"" &amp; $G$1), 
  REGEXMATCH(RawData_SemEval!$A$2:$A$398, ""(?i)"" &amp; $A$10), 
  REGEXMATCH(RawData_SemEval!$A$2:"&amp;"$A$398, ""(?i)"" &amp; $B$6)
)"),"#N/A")</f>
        <v>#N/A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</row>
    <row r="13">
      <c r="A13" s="104" t="s">
        <v>248</v>
      </c>
      <c r="B13" s="7" t="s">
        <v>24</v>
      </c>
      <c r="C13" s="109"/>
      <c r="D13" s="109"/>
      <c r="E13" s="106" t="str">
        <f>IFERROR(__xludf.DUMMYFUNCTION("FILTER(RawData_SemEval!$B$2:$B$398, 
  REGEXMATCH(RawData_SemEval!$A$2:$A$398, ""(?i)"" &amp; $A$5), 
  REGEXMATCH(RawData_SemEval!$A$2:$A$398, ""(?i)"" &amp; $E$1), 
  REGEXMATCH(RawData_SemEval!$A$2:$A$398, ""(?i)"" &amp; $A$13), 
  NOT(REGEXMATCH(RawData_SemEval!$"&amp;"A$2:$A$398,  ""(?i)ensemble"")),NOT(REGEXMATCH(RawData_SemEval!$A$2:$A$398,  ""(?i)complete""))
)"),"#N/A")</f>
        <v>#N/A</v>
      </c>
      <c r="F13" s="105" t="str">
        <f>IFERROR(__xludf.DUMMYFUNCTION("FILTER(RawData_SemEval!$F$2:$F$398, 
  REGEXMATCH(RawData_SemEval!$A$2:$A$398, ""(?i)"" &amp; $A$5), 
  REGEXMATCH(RawData_SemEval!$A$2:$A$398, ""(?i)"" &amp; $E$1), 
  REGEXMATCH(RawData_SemEval!$A$2:$A$398, ""(?i)"" &amp; $A$13), 
  NOT(REGEXMATCH(RawData_SemEval!$"&amp;"A$2:$A$398,  ""(?i)ensemble"")),NOT(REGEXMATCH(RawData_SemEval!$A$2:$A$398,  ""(?i)complete""))
)"),"#N/A")</f>
        <v>#N/A</v>
      </c>
      <c r="G13" s="106" t="str">
        <f>IFERROR(__xludf.DUMMYFUNCTION("FILTER(RawData_SemEval!$B$2:$B$398, 
  REGEXMATCH(RawData_SemEval!$A$2:$A$398, ""(?i)"" &amp; $A$5), 
  REGEXMATCH(RawData_SemEval!$A$2:$A$398, ""(?i)"" &amp; $G$1), 
  REGEXMATCH(RawData_SemEval!$A$2:$A$398, ""(?i)"" &amp; $A$13), 
  NOT(REGEXMATCH(RawData_SemEval!$"&amp;"A$2:$A$398,  ""(?i)ensemble"")),NOT(REGEXMATCH(RawData_SemEval!$A$2:$A$398,  ""(?i)complete""))
)"),"#REF!")</f>
        <v>#REF!</v>
      </c>
      <c r="H13" s="105" t="str">
        <f>IFERROR(__xludf.DUMMYFUNCTION("FILTER(RawData_SemEval!$F$2:$F$398, 
  REGEXMATCH(RawData_SemEval!$A$2:$A$398, ""(?i)"" &amp; $A$5), 
  REGEXMATCH(RawData_SemEval!$A$2:$A$398, ""(?i)"" &amp; $G$1), 
  REGEXMATCH(RawData_SemEval!$A$2:$A$398, ""(?i)"" &amp; $A$13), 
  NOT(REGEXMATCH(RawData_SemEval!$"&amp;"A$2:$A$398,  ""(?i)ensemble"")),NOT(REGEXMATCH(RawData_SemEval!$A$2:$A$398,  ""(?i)complete""))
)"),"#REF!")</f>
        <v>#REF!</v>
      </c>
    </row>
    <row r="14">
      <c r="A14" s="104"/>
      <c r="B14" s="7" t="s">
        <v>74</v>
      </c>
      <c r="C14" s="109"/>
      <c r="D14" s="109"/>
      <c r="E14" s="106" t="str">
        <f>IFERROR(__xludf.DUMMYFUNCTION("FILTER(RawData_SemEval!$B$2:$B$398, 
  REGEXMATCH(RawData_SemEval!$A$2:$A$398, ""(?i)"" &amp; $A$5), 
  REGEXMATCH(RawData_SemEval!$A$2:$A$398, ""(?i)"" &amp; $E$1), 
  REGEXMATCH(RawData_SemEval!$A$2:$A$398, ""(?i)"" &amp; $A$13), 
  REGEXMATCH(RawData_SemEval!$A$2:"&amp;"$A$398, ""(?i)"" &amp; $B$5),NOT(REGEXMATCH(RawData_SemEval!$A$2:$A$398,  ""(?i)complete""))
)"),"#N/A")</f>
        <v>#N/A</v>
      </c>
      <c r="F14" s="105" t="str">
        <f>IFERROR(__xludf.DUMMYFUNCTION("FILTER(RawData_SemEval!$F$2:$F$398, 
  REGEXMATCH(RawData_SemEval!$A$2:$A$398, ""(?i)"" &amp; $A$5), 
  REGEXMATCH(RawData_SemEval!$A$2:$A$398, ""(?i)"" &amp; $E$1), 
  REGEXMATCH(RawData_SemEval!$A$2:$A$398, ""(?i)"" &amp; $A$13), 
  REGEXMATCH(RawData_SemEval!$A$2:"&amp;"$A$398, ""(?i)"" &amp; $B$5),NOT(REGEXMATCH(RawData_SemEval!$A$2:$A$398,  ""(?i)complete""))
)"),"#N/A")</f>
        <v>#N/A</v>
      </c>
      <c r="G14" s="106" t="str">
        <f>IFERROR(__xludf.DUMMYFUNCTION("FILTER(RawData_SemEval!$B$2:$B$398, 
  REGEXMATCH(RawData_SemEval!$A$2:$A$398, ""(?i)"" &amp; $A$5), 
  REGEXMATCH(RawData_SemEval!$A$2:$A$398, ""(?i)"" &amp; $G$1), 
  REGEXMATCH(RawData_SemEval!$A$2:$A$398, ""(?i)"" &amp; $A$13), 
  REGEXMATCH(RawData_SemEval!$A$2:"&amp;"$A$398, ""(?i)"" &amp; $B$5),NOT(REGEXMATCH(RawData_SemEval!$A$2:$A$398,  ""(?i)complete""))
)"),"#N/A")</f>
        <v>#N/A</v>
      </c>
      <c r="H14" s="105" t="str">
        <f>IFERROR(__xludf.DUMMYFUNCTION("FILTER(RawData_SemEval!$F$2:$F$398, 
  REGEXMATCH(RawData_SemEval!$A$2:$A$398, ""(?i)"" &amp; $A$5), 
  REGEXMATCH(RawData_SemEval!$A$2:$A$398, ""(?i)"" &amp; $G$1), 
  REGEXMATCH(RawData_SemEval!$A$2:$A$398, ""(?i)"" &amp; $A$13), 
  REGEXMATCH(RawData_SemEval!$A$2:"&amp;"$A$398, ""(?i)"" &amp; $B$5),NOT(REGEXMATCH(RawData_SemEval!$A$2:$A$398,  ""(?i)complete""))
)"),"#N/A")</f>
        <v>#N/A</v>
      </c>
    </row>
    <row r="15">
      <c r="A15" s="104"/>
      <c r="B15" s="74" t="s">
        <v>75</v>
      </c>
      <c r="C15" s="110"/>
      <c r="D15" s="110"/>
      <c r="E15" s="108" t="str">
        <f>IFERROR(__xludf.DUMMYFUNCTION("FILTER(RawData_SemEval!$B$2:$B$398, 
  REGEXMATCH(RawData_SemEval!$A$2:$A$398, ""(?i)"" &amp; $A$5), 
  REGEXMATCH(RawData_SemEval!$A$2:$A$398, ""(?i)"" &amp; $E$1), 
  REGEXMATCH(RawData_SemEval!$A$2:$A$398, ""(?i)"" &amp; $A$13), 
  REGEXMATCH(RawData_SemEval!$A$2:"&amp;"$A$398, ""(?i)"" &amp; $B$6),NOT(REGEXMATCH(RawData_SemEval!$A$2:$A$398,  ""(?i)complete""))
)"),"#N/A")</f>
        <v>#N/A</v>
      </c>
      <c r="F15" s="107" t="str">
        <f>IFERROR(__xludf.DUMMYFUNCTION("FILTER(RawData_SemEval!$F$2:$F$398, 
  REGEXMATCH(RawData_SemEval!$A$2:$A$398, ""(?i)"" &amp; $A$5), 
  REGEXMATCH(RawData_SemEval!$A$2:$A$398, ""(?i)"" &amp; $E$1), 
  REGEXMATCH(RawData_SemEval!$A$2:$A$398, ""(?i)"" &amp; $A$13), 
  REGEXMATCH(RawData_SemEval!$A$2:"&amp;"$A$398, ""(?i)"" &amp; $B$6),NOT(REGEXMATCH(RawData_SemEval!$A$2:$A$398,  ""(?i)complete""))
)"),"#N/A")</f>
        <v>#N/A</v>
      </c>
      <c r="G15" s="108" t="str">
        <f>IFERROR(__xludf.DUMMYFUNCTION("FILTER(RawData_SemEval!$B$2:$B$398, 
  REGEXMATCH(RawData_SemEval!$A$2:$A$398, ""(?i)"" &amp; $A$5), 
  REGEXMATCH(RawData_SemEval!$A$2:$A$398, ""(?i)"" &amp; $G$1), 
  REGEXMATCH(RawData_SemEval!$A$2:$A$398, ""(?i)"" &amp; $A$13), 
  REGEXMATCH(RawData_SemEval!$A$2:"&amp;"$A$398, ""(?i)"" &amp; $B$6),NOT(REGEXMATCH(RawData_SemEval!$A$2:$A$398,  ""(?i)complete""))
)"),"#N/A")</f>
        <v>#N/A</v>
      </c>
      <c r="H15" s="107" t="str">
        <f>IFERROR(__xludf.DUMMYFUNCTION("FILTER(RawData_SemEval!$F$2:$F$398, 
  REGEXMATCH(RawData_SemEval!$A$2:$A$398, ""(?i)"" &amp; $A$5), 
  REGEXMATCH(RawData_SemEval!$A$2:$A$398, ""(?i)"" &amp; $G$1), 
  REGEXMATCH(RawData_SemEval!$A$2:$A$398, ""(?i)"" &amp; $A$13), 
  REGEXMATCH(RawData_SemEval!$A$2:"&amp;"$A$398, ""(?i)"" &amp; $B$6),NOT(REGEXMATCH(RawData_SemEval!$A$2:$A$398,  ""(?i)complete""))
)"),"#N/A")</f>
        <v>#N/A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</row>
    <row r="16">
      <c r="A16" s="104" t="s">
        <v>389</v>
      </c>
      <c r="B16" s="7" t="s">
        <v>28</v>
      </c>
      <c r="C16" s="109"/>
      <c r="D16" s="109"/>
      <c r="E16" s="106" t="str">
        <f>IFERROR(__xludf.DUMMYFUNCTION("FILTER(RawData_SemEval!$B$2:$B$398, 
  REGEXMATCH(RawData_SemEval!$A$2:$A$398, ""(?i)"" &amp; $A$5), 
  REGEXMATCH(RawData_SemEval!$A$2:$A$398, ""(?i)"" &amp; $E$1), 
  REGEXMATCH(RawData_SemEval!$A$2:$A$398, ""(?i)"" &amp; $A$16), 
  NOT(REGEXMATCH(RawData_SemEval!$"&amp;"A$2:$A$398,  ""(?i)ensemble""))
)"),"#N/A")</f>
        <v>#N/A</v>
      </c>
      <c r="F16" s="105" t="str">
        <f>IFERROR(__xludf.DUMMYFUNCTION("FILTER(RawData_SemEval!$F$2:$F$398, 
  REGEXMATCH(RawData_SemEval!$A$2:$A$398, ""(?i)"" &amp; $A$5), 
  REGEXMATCH(RawData_SemEval!$A$2:$A$398, ""(?i)"" &amp; $E$1), 
  REGEXMATCH(RawData_SemEval!$A$2:$A$398, ""(?i)"" &amp; $A$16), 
  NOT(REGEXMATCH(RawData_SemEval!$"&amp;"A$2:$A$398,  ""(?i)ensemble""))
)"),"#N/A")</f>
        <v>#N/A</v>
      </c>
      <c r="G16" s="106" t="str">
        <f>IFERROR(__xludf.DUMMYFUNCTION("FILTER(RawData_SemEval!$B$2:$B$398, 
  REGEXMATCH(RawData_SemEval!$A$2:$A$398, ""(?i)"" &amp; $A$5), 
  REGEXMATCH(RawData_SemEval!$A$2:$A$398, ""(?i)"" &amp; $G$1), 
  REGEXMATCH(RawData_SemEval!$A$2:$A$398, ""(?i)"" &amp; $A$16), 
  NOT(REGEXMATCH(RawData_SemEval!$"&amp;"A$2:$A$398,  ""(?i)ensemble""))
)"),"#REF!")</f>
        <v>#REF!</v>
      </c>
      <c r="H16" s="105" t="str">
        <f>IFERROR(__xludf.DUMMYFUNCTION("FILTER(RawData_SemEval!$F$2:$F$398, 
  REGEXMATCH(RawData_SemEval!$A$2:$A$398, ""(?i)"" &amp; $A$5), 
  REGEXMATCH(RawData_SemEval!$A$2:$A$398, ""(?i)"" &amp; $G$1), 
  REGEXMATCH(RawData_SemEval!$A$2:$A$398, ""(?i)"" &amp; $A$16), 
  NOT(REGEXMATCH(RawData_SemEval!$"&amp;"A$2:$A$398,  ""(?i)ensemble""))
)"),"#REF!")</f>
        <v>#REF!</v>
      </c>
    </row>
    <row r="17">
      <c r="A17" s="104"/>
      <c r="B17" s="7" t="s">
        <v>74</v>
      </c>
      <c r="C17" s="109"/>
      <c r="D17" s="109"/>
      <c r="E17" s="106" t="str">
        <f>IFERROR(__xludf.DUMMYFUNCTION("FILTER(RawData_SemEval!$B$2:$B$398, 
  REGEXMATCH(RawData_SemEval!$A$2:$A$398, ""(?i)"" &amp; $A$5), 
  REGEXMATCH(RawData_SemEval!$A$2:$A$398, ""(?i)"" &amp; $E$1), 
  REGEXMATCH(RawData_SemEval!$A$2:$A$398, ""(?i)"" &amp; $A$16), 
  REGEXMATCH(RawData_SemEval!$A$2:"&amp;"$A$398, ""(?i)"" &amp; $B$5)
)"),"#N/A")</f>
        <v>#N/A</v>
      </c>
      <c r="F17" s="105" t="str">
        <f>IFERROR(__xludf.DUMMYFUNCTION("FILTER(RawData_SemEval!$F$2:$F$398, 
  REGEXMATCH(RawData_SemEval!$A$2:$A$398, ""(?i)"" &amp; $A$5), 
  REGEXMATCH(RawData_SemEval!$A$2:$A$398, ""(?i)"" &amp; $E$1), 
  REGEXMATCH(RawData_SemEval!$A$2:$A$398, ""(?i)"" &amp; $A$16), 
  REGEXMATCH(RawData_SemEval!$A$2:"&amp;"$A$398, ""(?i)"" &amp; $B$5)
)"),"#N/A")</f>
        <v>#N/A</v>
      </c>
      <c r="G17" s="106" t="str">
        <f>IFERROR(__xludf.DUMMYFUNCTION("FILTER(RawData_SemEval!$B$2:$B$398, 
  REGEXMATCH(RawData_SemEval!$A$2:$A$398, ""(?i)"" &amp; $A$5), 
  REGEXMATCH(RawData_SemEval!$A$2:$A$398, ""(?i)"" &amp; $G$1), 
  REGEXMATCH(RawData_SemEval!$A$2:$A$398, ""(?i)"" &amp; $A$16), 
  REGEXMATCH(RawData_SemEval!$A$2:"&amp;"$A$398, ""(?i)"" &amp; $B$5)
)"),"#N/A")</f>
        <v>#N/A</v>
      </c>
      <c r="H17" s="105" t="str">
        <f>IFERROR(__xludf.DUMMYFUNCTION("FILTER(RawData_SemEval!$F$2:$F$398, 
  REGEXMATCH(RawData_SemEval!$A$2:$A$398, ""(?i)"" &amp; $A$5), 
  REGEXMATCH(RawData_SemEval!$A$2:$A$398, ""(?i)"" &amp; $G$1), 
  REGEXMATCH(RawData_SemEval!$A$2:$A$398, ""(?i)"" &amp; $A$16), 
  REGEXMATCH(RawData_SemEval!$A$2:"&amp;"$A$398, ""(?i)"" &amp; $B$5)
)"),"#N/A")</f>
        <v>#N/A</v>
      </c>
    </row>
    <row r="18">
      <c r="A18" s="104"/>
      <c r="B18" s="74" t="s">
        <v>75</v>
      </c>
      <c r="C18" s="110"/>
      <c r="D18" s="110"/>
      <c r="E18" s="108" t="str">
        <f>IFERROR(__xludf.DUMMYFUNCTION("FILTER(RawData_SemEval!$B$2:$B$398, 
  REGEXMATCH(RawData_SemEval!$A$2:$A$398, ""(?i)"" &amp; $A$5), 
  REGEXMATCH(RawData_SemEval!$A$2:$A$398, ""(?i)"" &amp; $E$1), 
  REGEXMATCH(RawData_SemEval!$A$2:$A$398, ""(?i)"" &amp; $A$16), 
  REGEXMATCH(RawData_SemEval!$A$2:"&amp;"$A$398, ""(?i)"" &amp; $B$6)
)"),"#N/A")</f>
        <v>#N/A</v>
      </c>
      <c r="F18" s="107" t="str">
        <f>IFERROR(__xludf.DUMMYFUNCTION("FILTER(RawData_SemEval!$F$2:$F$398, 
  REGEXMATCH(RawData_SemEval!$A$2:$A$398, ""(?i)"" &amp; $A$5), 
  REGEXMATCH(RawData_SemEval!$A$2:$A$398, ""(?i)"" &amp; $E$1), 
  REGEXMATCH(RawData_SemEval!$A$2:$A$398, ""(?i)"" &amp; $A$16), 
  REGEXMATCH(RawData_SemEval!$A$2:"&amp;"$A$398, ""(?i)"" &amp; $B$6)
)"),"#N/A")</f>
        <v>#N/A</v>
      </c>
      <c r="G18" s="108" t="str">
        <f>IFERROR(__xludf.DUMMYFUNCTION("FILTER(RawData_SemEval!$B$2:$B$398, 
  REGEXMATCH(RawData_SemEval!$A$2:$A$398, ""(?i)"" &amp; $A$5), 
  REGEXMATCH(RawData_SemEval!$A$2:$A$398, ""(?i)"" &amp; $G$1), 
  REGEXMATCH(RawData_SemEval!$A$2:$A$398, ""(?i)"" &amp; $A$16), 
  REGEXMATCH(RawData_SemEval!$A$2:"&amp;"$A$398, ""(?i)"" &amp; $B$6)
)"),"#N/A")</f>
        <v>#N/A</v>
      </c>
      <c r="H18" s="107" t="str">
        <f>IFERROR(__xludf.DUMMYFUNCTION("FILTER(RawData_SemEval!$F$2:$F$398, 
  REGEXMATCH(RawData_SemEval!$A$2:$A$398, ""(?i)"" &amp; $A$5), 
  REGEXMATCH(RawData_SemEval!$A$2:$A$398, ""(?i)"" &amp; $G$1), 
  REGEXMATCH(RawData_SemEval!$A$2:$A$398, ""(?i)"" &amp; $A$16), 
  REGEXMATCH(RawData_SemEval!$A$2:"&amp;"$A$398, ""(?i)"" &amp; $B$6)
)"),"#N/A")</f>
        <v>#N/A</v>
      </c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</row>
    <row r="19">
      <c r="A19" s="104" t="s">
        <v>1923</v>
      </c>
      <c r="B19" s="7" t="s">
        <v>22</v>
      </c>
      <c r="C19" s="105" t="str">
        <f>IFERROR(__xludf.DUMMYFUNCTION("FILTER(RawData_SemEval!$B$2:$B$398, 
  REGEXMATCH(RawData_SemEval!$A$2:$A$398, ""(?i)"" &amp; $A$5), 
  REGEXMATCH(RawData_SemEval!$A$2:$A$398, ""(?i)"" &amp; $C$1), 
  REGEXMATCH(RawData_SemEval!$A$2:$A$398, ""(?i)gpt_only_title""), 
  NOT(REGEXMATCH(RawData_Sem"&amp;"Eval!$A$2:$A$398,  ""(?i)ensemble""))
)"),"#REF!")</f>
        <v>#REF!</v>
      </c>
      <c r="D19" s="105" t="str">
        <f>IFERROR(__xludf.DUMMYFUNCTION("FILTER(RawData_SemEval!$F$2:$F$398, 
  REGEXMATCH(RawData_SemEval!$A$2:$A$398, ""(?i)"" &amp; $A$5), 
  REGEXMATCH(RawData_SemEval!$A$2:$A$398, ""(?i)"" &amp; $C$1), 
  REGEXMATCH(RawData_SemEval!$A$2:$A$398, ""(?i)gpt_only_title""), 
  NOT(REGEXMATCH(RawData_Sem"&amp;"Eval!$A$2:$A$398,  ""(?i)ensemble""))
)"),"#REF!")</f>
        <v>#REF!</v>
      </c>
      <c r="E19" s="106" t="str">
        <f>IFERROR(__xludf.DUMMYFUNCTION("FILTER(RawData_SemEval!$B$2:$B$398, 
  REGEXMATCH(RawData_SemEval!$A$2:$A$398, ""(?i)"" &amp; $A$5), 
  REGEXMATCH(RawData_SemEval!$A$2:$A$398, ""(?i)"" &amp; $E$1), 
  REGEXMATCH(RawData_SemEval!$A$2:$A$398, ""(?i)gpt_only_title""), 
  NOT(REGEXMATCH(RawData_Sem"&amp;"Eval!$A$2:$A$398,  ""(?i)ensemble""))
)"),"#N/A")</f>
        <v>#N/A</v>
      </c>
      <c r="F19" s="105" t="str">
        <f>IFERROR(__xludf.DUMMYFUNCTION("FILTER(RawData_SemEval!$F$2:$F$398, 
  REGEXMATCH(RawData_SemEval!$A$2:$A$398, ""(?i)"" &amp; $A$5), 
  REGEXMATCH(RawData_SemEval!$A$2:$A$398, ""(?i)"" &amp; $E$1), 
  REGEXMATCH(RawData_SemEval!$A$2:$A$398, ""(?i)gpt_only_title""), 
  NOT(REGEXMATCH(RawData_Sem"&amp;"Eval!$A$2:$A$398,  ""(?i)ensemble""))
)"),"#N/A")</f>
        <v>#N/A</v>
      </c>
      <c r="G19" s="106" t="str">
        <f>IFERROR(__xludf.DUMMYFUNCTION("FILTER(RawData_SemEval!$B$2:$B$398, 
  REGEXMATCH(RawData_SemEval!$A$2:$A$398, ""(?i)"" &amp; $A$5), 
  REGEXMATCH(RawData_SemEval!$A$2:$A$398, ""(?i)"" &amp; $G$1), 
  REGEXMATCH(RawData_SemEval!$A$2:$A$398, ""(?i)gpt_only_title""), 
  NOT(REGEXMATCH(RawData_Sem"&amp;"Eval!$A$2:$A$398,  ""(?i)ensemble""))
)"),"#REF!")</f>
        <v>#REF!</v>
      </c>
      <c r="H19" s="105" t="str">
        <f>IFERROR(__xludf.DUMMYFUNCTION("FILTER(RawData_SemEval!$F$2:$F$398, 
  REGEXMATCH(RawData_SemEval!$A$2:$A$398, ""(?i)"" &amp; $A$5), 
  REGEXMATCH(RawData_SemEval!$A$2:$A$398, ""(?i)"" &amp; $G$1), 
  REGEXMATCH(RawData_SemEval!$A$2:$A$398, ""(?i)gpt_only_title""), 
  NOT(REGEXMATCH(RawData_Sem"&amp;"Eval!$A$2:$A$398,  ""(?i)ensemble""))
)"),"#REF!")</f>
        <v>#REF!</v>
      </c>
    </row>
    <row r="20">
      <c r="A20" s="104"/>
      <c r="B20" s="7" t="s">
        <v>74</v>
      </c>
      <c r="C20" s="105" t="str">
        <f>IFERROR(__xludf.DUMMYFUNCTION("FILTER(RawData_SemEval!$B$2:$B$398, 
  REGEXMATCH(RawData_SemEval!$A$2:$A$398, ""(?i)"" &amp; $A$5), 
  REGEXMATCH(RawData_SemEval!$A$2:$A$398, ""(?i)"" &amp; $C$1), 
  REGEXMATCH(RawData_SemEval!$A$2:$A$398, ""(?i)gpt_only_title""), 
  REGEXMATCH(RawData_SemEval"&amp;"!$A$2:$A$398, ""(?i)"" &amp; $B$5)
)"),"#N/A")</f>
        <v>#N/A</v>
      </c>
      <c r="D20" s="105" t="str">
        <f>IFERROR(__xludf.DUMMYFUNCTION("FILTER(RawData_SemEval!$F$2:$F$398, 
  REGEXMATCH(RawData_SemEval!$A$2:$A$398, ""(?i)"" &amp; $A$5), 
  REGEXMATCH(RawData_SemEval!$A$2:$A$398, ""(?i)"" &amp; $C$1), 
  REGEXMATCH(RawData_SemEval!$A$2:$A$398, ""(?i)gpt_only_title""), 
  REGEXMATCH(RawData_SemEval"&amp;"!$A$2:$A$398, ""(?i)"" &amp; $B$5)
)"),"#N/A")</f>
        <v>#N/A</v>
      </c>
      <c r="E20" s="106" t="str">
        <f>IFERROR(__xludf.DUMMYFUNCTION("FILTER(RawData_SemEval!$B$2:$B$398, 
  REGEXMATCH(RawData_SemEval!$A$2:$A$398, ""(?i)"" &amp; $A$5), 
  REGEXMATCH(RawData_SemEval!$A$2:$A$398, ""(?i)"" &amp; $E$1), 
  REGEXMATCH(RawData_SemEval!$A$2:$A$398, ""(?i)gpt_only_title""), 
  REGEXMATCH(RawData_SemEval"&amp;"!$A$2:$A$398, ""(?i)"" &amp; $B$5)
)"),"#N/A")</f>
        <v>#N/A</v>
      </c>
      <c r="F20" s="105" t="str">
        <f>IFERROR(__xludf.DUMMYFUNCTION("FILTER(RawData_SemEval!$F$2:$F$398, 
  REGEXMATCH(RawData_SemEval!$A$2:$A$398, ""(?i)"" &amp; $A$5), 
  REGEXMATCH(RawData_SemEval!$A$2:$A$398, ""(?i)"" &amp; $E$1), 
  REGEXMATCH(RawData_SemEval!$A$2:$A$398, ""(?i)gpt_only_title""), 
  REGEXMATCH(RawData_SemEval"&amp;"!$A$2:$A$398, ""(?i)"" &amp; $B$5)
)"),"#N/A")</f>
        <v>#N/A</v>
      </c>
      <c r="G20" s="106" t="str">
        <f>IFERROR(__xludf.DUMMYFUNCTION("FILTER(RawData_SemEval!$B$2:$B$398, 
  REGEXMATCH(RawData_SemEval!$A$2:$A$398, ""(?i)"" &amp; $A$5), 
  REGEXMATCH(RawData_SemEval!$A$2:$A$398, ""(?i)"" &amp; $G$1), 
  REGEXMATCH(RawData_SemEval!$A$2:$A$398, ""(?i)gpt_only_title""), 
  REGEXMATCH(RawData_SemEval"&amp;"!$A$2:$A$398, ""(?i)"" &amp; $B$5)
)"),"#N/A")</f>
        <v>#N/A</v>
      </c>
      <c r="H20" s="105" t="str">
        <f>IFERROR(__xludf.DUMMYFUNCTION("FILTER(RawData_SemEval!$F$2:$F$398, 
  REGEXMATCH(RawData_SemEval!$A$2:$A$398, ""(?i)"" &amp; $A$5), 
  REGEXMATCH(RawData_SemEval!$A$2:$A$398, ""(?i)"" &amp; $G$1), 
  REGEXMATCH(RawData_SemEval!$A$2:$A$398, ""(?i)gpt_only_title""), 
  REGEXMATCH(RawData_SemEval"&amp;"!$A$2:$A$398, ""(?i)"" &amp; $B$5)
)"),"#N/A")</f>
        <v>#N/A</v>
      </c>
    </row>
    <row r="21">
      <c r="A21" s="104"/>
      <c r="B21" s="74" t="s">
        <v>75</v>
      </c>
      <c r="C21" s="107" t="str">
        <f>IFERROR(__xludf.DUMMYFUNCTION("FILTER(RawData_SemEval!$B$2:$B$398, 
  REGEXMATCH(RawData_SemEval!$A$2:$A$398, ""(?i)"" &amp; $A$5), 
  REGEXMATCH(RawData_SemEval!$A$2:$A$398, ""(?i)"" &amp; $C$1), 
  REGEXMATCH(RawData_SemEval!$A$2:$A$398, ""(?i)gpt_only_title""), 
  REGEXMATCH(RawData_SemEval"&amp;"!$A$2:$A$398, ""(?i)"" &amp; $B$6)
)"),"#N/A")</f>
        <v>#N/A</v>
      </c>
      <c r="D21" s="107" t="str">
        <f>IFERROR(__xludf.DUMMYFUNCTION("FILTER(RawData_SemEval!$F$2:$F$398, 
  REGEXMATCH(RawData_SemEval!$A$2:$A$398, ""(?i)"" &amp; $A$5), 
  REGEXMATCH(RawData_SemEval!$A$2:$A$398, ""(?i)"" &amp; $C$1), 
  REGEXMATCH(RawData_SemEval!$A$2:$A$398, ""(?i)gpt_only_title""), 
  REGEXMATCH(RawData_SemEval"&amp;"!$A$2:$A$398, ""(?i)"" &amp; $B$6)
)"),"#N/A")</f>
        <v>#N/A</v>
      </c>
      <c r="E21" s="108" t="str">
        <f>IFERROR(__xludf.DUMMYFUNCTION("FILTER(RawData_SemEval!$B$2:$B$398, 
  REGEXMATCH(RawData_SemEval!$A$2:$A$398, ""(?i)"" &amp; $A$5), 
  REGEXMATCH(RawData_SemEval!$A$2:$A$398, ""(?i)"" &amp; $E$1), 
  REGEXMATCH(RawData_SemEval!$A$2:$A$398, ""(?i)gpt_only_title""), 
  REGEXMATCH(RawData_SemEval"&amp;"!$A$2:$A$398, ""(?i)"" &amp; $B$6)
)"),"#N/A")</f>
        <v>#N/A</v>
      </c>
      <c r="F21" s="107" t="str">
        <f>IFERROR(__xludf.DUMMYFUNCTION("FILTER(RawData_SemEval!$F$2:$F$398, 
  REGEXMATCH(RawData_SemEval!$A$2:$A$398, ""(?i)"" &amp; $A$5), 
  REGEXMATCH(RawData_SemEval!$A$2:$A$398, ""(?i)"" &amp; $E$1), 
  REGEXMATCH(RawData_SemEval!$A$2:$A$398, ""(?i)gpt_only_title""), 
  REGEXMATCH(RawData_SemEval"&amp;"!$A$2:$A$398, ""(?i)"" &amp; $B$6)
)"),"#N/A")</f>
        <v>#N/A</v>
      </c>
      <c r="G21" s="108" t="str">
        <f>IFERROR(__xludf.DUMMYFUNCTION("FILTER(RawData_SemEval!$B$2:$B$398, 
  REGEXMATCH(RawData_SemEval!$A$2:$A$398, ""(?i)"" &amp; $A$5), 
  REGEXMATCH(RawData_SemEval!$A$2:$A$398, ""(?i)"" &amp; $G$1), 
  REGEXMATCH(RawData_SemEval!$A$2:$A$398, ""(?i)gpt_only_title""), 
  REGEXMATCH(RawData_SemEval"&amp;"!$A$2:$A$398, ""(?i)"" &amp; $B$6)
)"),"#N/A")</f>
        <v>#N/A</v>
      </c>
      <c r="H21" s="107" t="str">
        <f>IFERROR(__xludf.DUMMYFUNCTION("FILTER(RawData_SemEval!$F$2:$F$398, 
  REGEXMATCH(RawData_SemEval!$A$2:$A$398, ""(?i)"" &amp; $A$5), 
  REGEXMATCH(RawData_SemEval!$A$2:$A$398, ""(?i)"" &amp; $G$1), 
  REGEXMATCH(RawData_SemEval!$A$2:$A$398, ""(?i)gpt_only_title""), 
  REGEXMATCH(RawData_SemEval"&amp;"!$A$2:$A$398, ""(?i)"" &amp; $B$6)
)"),"#N/A")</f>
        <v>#N/A</v>
      </c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</row>
    <row r="22">
      <c r="A22" s="104" t="s">
        <v>1950</v>
      </c>
      <c r="B22" s="7" t="s">
        <v>25</v>
      </c>
      <c r="C22" s="105" t="str">
        <f>IFERROR(__xludf.DUMMYFUNCTION("FILTER(RawData_SemEval!$B$2:$B$398, 
  REGEXMATCH(RawData_SemEval!$A$2:$A$398, ""(?i)"" &amp; $A$5), 
  REGEXMATCH(RawData_SemEval!$A$2:$A$398, ""(?i)"" &amp; $C$1), 
  REGEXMATCH(RawData_SemEval!$A$2:$A$398, ""(?i)gpt_title_description""), 
  NOT(REGEXMATCH(RawD"&amp;"ata_SemEval!$A$2:$A$398,  ""(?i)ensemble"")),NOT(REGEXMATCH(RawData_SemEval!$A$2:$A$398,  ""(?i)complete""))
)"),"#REF!")</f>
        <v>#REF!</v>
      </c>
      <c r="D22" s="105" t="str">
        <f>IFERROR(__xludf.DUMMYFUNCTION("FILTER(RawData_SemEval!$F$2:$F$398, 
  REGEXMATCH(RawData_SemEval!$A$2:$A$398, ""(?i)"" &amp; $A$5), 
  REGEXMATCH(RawData_SemEval!$A$2:$A$398, ""(?i)"" &amp; $C$1), 
  REGEXMATCH(RawData_SemEval!$A$2:$A$398, ""(?i)gpt_title_description""), 
  NOT(REGEXMATCH(RawD"&amp;"ata_SemEval!$A$2:$A$398,  ""(?i)ensemble""))
)"),"#REF!")</f>
        <v>#REF!</v>
      </c>
      <c r="E22" s="106" t="str">
        <f>IFERROR(__xludf.DUMMYFUNCTION("FILTER(RawData_SemEval!$B$2:$B$398, 
  REGEXMATCH(RawData_SemEval!$A$2:$A$398, ""(?i)"" &amp; $A$5), 
  REGEXMATCH(RawData_SemEval!$A$2:$A$398, ""(?i)"" &amp; $E$1), 
  REGEXMATCH(RawData_SemEval!$A$2:$A$398, ""(?i)gpt_title_description""), 
  NOT(REGEXMATCH(RawD"&amp;"ata_SemEval!$A$2:$A$398,  ""(?i)ensemble"")),NOT(REGEXMATCH(RawData_SemEval!$A$2:$A$398,  ""(?i)complete""))
)"),"#N/A")</f>
        <v>#N/A</v>
      </c>
      <c r="F22" s="105" t="str">
        <f>IFERROR(__xludf.DUMMYFUNCTION("FILTER(RawData_SemEval!$F$2:$F$398, 
  REGEXMATCH(RawData_SemEval!$A$2:$A$398, ""(?i)"" &amp; $A$5), 
  REGEXMATCH(RawData_SemEval!$A$2:$A$398, ""(?i)"" &amp; $E$1), 
  REGEXMATCH(RawData_SemEval!$A$2:$A$398, ""(?i)gpt_title_description""), 
  NOT(REGEXMATCH(RawD"&amp;"ata_SemEval!$A$2:$A$398,  ""(?i)ensemble"")),NOT(REGEXMATCH(RawData_SemEval!$A$2:$A$398,  ""(?i)complete""))
)"),"#N/A")</f>
        <v>#N/A</v>
      </c>
      <c r="G22" s="106" t="str">
        <f>IFERROR(__xludf.DUMMYFUNCTION("FILTER(RawData_SemEval!$B$2:$B$398, 
  REGEXMATCH(RawData_SemEval!$A$2:$A$398, ""(?i)"" &amp; $A$5), 
  REGEXMATCH(RawData_SemEval!$A$2:$A$398, ""(?i)"" &amp; $G$1), 
  REGEXMATCH(RawData_SemEval!$A$2:$A$398, ""(?i)gpt_title_description""), 
  NOT(REGEXMATCH(RawD"&amp;"ata_SemEval!$A$2:$A$398,  ""(?i)ensemble"")),NOT(REGEXMATCH(RawData_SemEval!$A$2:$A$398,  ""(?i)complete""))
)"),"#REF!")</f>
        <v>#REF!</v>
      </c>
      <c r="H22" s="105" t="str">
        <f>IFERROR(__xludf.DUMMYFUNCTION("FILTER(RawData_SemEval!$F$2:$F$398, 
  REGEXMATCH(RawData_SemEval!$A$2:$A$398, ""(?i)"" &amp; $A$5), 
  REGEXMATCH(RawData_SemEval!$A$2:$A$398, ""(?i)"" &amp; $G$1), 
  REGEXMATCH(RawData_SemEval!$A$2:$A$398, ""(?i)gpt_title_description""), 
  NOT(REGEXMATCH(RawD"&amp;"ata_SemEval!$A$2:$A$398,  ""(?i)ensemble"")),NOT(REGEXMATCH(RawData_SemEval!$A$2:$A$398,  ""(?i)complete""))
)"),"#REF!")</f>
        <v>#REF!</v>
      </c>
    </row>
    <row r="23">
      <c r="A23" s="104"/>
      <c r="B23" s="7" t="s">
        <v>74</v>
      </c>
      <c r="C23" s="105" t="str">
        <f>IFERROR(__xludf.DUMMYFUNCTION("FILTER(RawData_SemEval!$B$2:$B$398, 
  REGEXMATCH(RawData_SemEval!$A$2:$A$398, ""(?i)"" &amp; $A$5), 
  REGEXMATCH(RawData_SemEval!$A$2:$A$398, ""(?i)"" &amp; $C$1), 
  REGEXMATCH(RawData_SemEval!$A$2:$A$398, ""(?i)gpt_title_description""), 
  REGEXMATCH(RawData_"&amp;"SemEval!$A$2:$A$398, ""(?i)"" &amp; $B$5),NOT(REGEXMATCH(RawData_SemEval!$A$2:$A$398,  ""(?i)complete""))
)"),"#N/A")</f>
        <v>#N/A</v>
      </c>
      <c r="D23" s="105" t="str">
        <f>IFERROR(__xludf.DUMMYFUNCTION("FILTER(RawData_SemEval!$F$2:$F$398, 
  REGEXMATCH(RawData_SemEval!$A$2:$A$398, ""(?i)"" &amp; $A$5), 
  REGEXMATCH(RawData_SemEval!$A$2:$A$398, ""(?i)"" &amp; $C$1), 
  REGEXMATCH(RawData_SemEval!$A$2:$A$398, ""(?i)gpt_title_description""), 
  REGEXMATCH(RawData_"&amp;"SemEval!$A$2:$A$398, ""(?i)"" &amp; $B$5),NOT(REGEXMATCH(RawData_SemEval!$A$2:$A$398,  ""(?i)complete""))
)"),"#N/A")</f>
        <v>#N/A</v>
      </c>
      <c r="E23" s="106" t="str">
        <f>IFERROR(__xludf.DUMMYFUNCTION("FILTER(RawData_SemEval!$B$2:$B$398, 
  REGEXMATCH(RawData_SemEval!$A$2:$A$398, ""(?i)"" &amp; $A$5), 
  REGEXMATCH(RawData_SemEval!$A$2:$A$398, ""(?i)"" &amp; $E$1), 
  REGEXMATCH(RawData_SemEval!$A$2:$A$398, ""(?i)gpt_title_description""), 
  REGEXMATCH(RawData_"&amp;"SemEval!$A$2:$A$398, ""(?i)"" &amp; $B$5),NOT(REGEXMATCH(RawData_SemEval!$A$2:$A$398,  ""(?i)complete""))
)"),"#N/A")</f>
        <v>#N/A</v>
      </c>
      <c r="F23" s="105" t="str">
        <f>IFERROR(__xludf.DUMMYFUNCTION("FILTER(RawData_SemEval!$F$2:$F$398, 
  REGEXMATCH(RawData_SemEval!$A$2:$A$398, ""(?i)"" &amp; $A$5), 
  REGEXMATCH(RawData_SemEval!$A$2:$A$398, ""(?i)"" &amp; $E$1), 
  REGEXMATCH(RawData_SemEval!$A$2:$A$398, ""(?i)gpt_title_description""), 
  REGEXMATCH(RawData_"&amp;"SemEval!$A$2:$A$398, ""(?i)"" &amp; $B$5),NOT(REGEXMATCH(RawData_SemEval!$A$2:$A$398,  ""(?i)complete""))
)"),"#N/A")</f>
        <v>#N/A</v>
      </c>
      <c r="G23" s="106" t="str">
        <f>IFERROR(__xludf.DUMMYFUNCTION("FILTER(RawData_SemEval!$B$2:$B$398, 
  REGEXMATCH(RawData_SemEval!$A$2:$A$398, ""(?i)"" &amp; $A$5), 
  REGEXMATCH(RawData_SemEval!$A$2:$A$398, ""(?i)"" &amp; $G$1), 
  REGEXMATCH(RawData_SemEval!$A$2:$A$398, ""(?i)gpt_title_description""), 
  REGEXMATCH(RawData_"&amp;"SemEval!$A$2:$A$398, ""(?i)"" &amp; $B$5),NOT(REGEXMATCH(RawData_SemEval!$A$2:$A$398,  ""(?i)complete""))
)"),"#N/A")</f>
        <v>#N/A</v>
      </c>
      <c r="H23" s="105" t="str">
        <f>IFERROR(__xludf.DUMMYFUNCTION("FILTER(RawData_SemEval!$F$2:$F$398, 
  REGEXMATCH(RawData_SemEval!$A$2:$A$398, ""(?i)"" &amp; $A$5), 
  REGEXMATCH(RawData_SemEval!$A$2:$A$398, ""(?i)"" &amp; $G$1), 
  REGEXMATCH(RawData_SemEval!$A$2:$A$398, ""(?i)gpt_title_description""), 
  REGEXMATCH(RawData_"&amp;"SemEval!$A$2:$A$398, ""(?i)"" &amp; $B$5),NOT(REGEXMATCH(RawData_SemEval!$A$2:$A$398,  ""(?i)complete""))
)"),"#N/A")</f>
        <v>#N/A</v>
      </c>
    </row>
    <row r="24">
      <c r="A24" s="104"/>
      <c r="B24" s="74" t="s">
        <v>75</v>
      </c>
      <c r="C24" s="107" t="str">
        <f>IFERROR(__xludf.DUMMYFUNCTION("FILTER(RawData_SemEval!$B$2:$B$398, 
  REGEXMATCH(RawData_SemEval!$A$2:$A$398, ""(?i)"" &amp; $A$5), 
  REGEXMATCH(RawData_SemEval!$A$2:$A$398, ""(?i)"" &amp; $C$1), 
  REGEXMATCH(RawData_SemEval!$A$2:$A$398, ""(?i)gpt_title_description""), 
  REGEXMATCH(RawData_"&amp;"SemEval!$A$2:$A$398, ""(?i)"" &amp; $B$6),NOT(REGEXMATCH(RawData_SemEval!$A$2:$A$398,  ""(?i)complete""))
)"),"#N/A")</f>
        <v>#N/A</v>
      </c>
      <c r="D24" s="107" t="str">
        <f>IFERROR(__xludf.DUMMYFUNCTION("FILTER(RawData_SemEval!$F$2:$F$398, 
  REGEXMATCH(RawData_SemEval!$A$2:$A$398, ""(?i)"" &amp; $A$5), 
  REGEXMATCH(RawData_SemEval!$A$2:$A$398, ""(?i)"" &amp; $C$1), 
  REGEXMATCH(RawData_SemEval!$A$2:$A$398, ""(?i)gpt_title_description""), 
  REGEXMATCH(RawData_"&amp;"SemEval!$A$2:$A$398, ""(?i)"" &amp; $B$6),NOT(REGEXMATCH(RawData_SemEval!$A$2:$A$398,  ""(?i)complete""))
)"),"#N/A")</f>
        <v>#N/A</v>
      </c>
      <c r="E24" s="108" t="str">
        <f>IFERROR(__xludf.DUMMYFUNCTION("FILTER(RawData_SemEval!$B$2:$B$398, 
  REGEXMATCH(RawData_SemEval!$A$2:$A$398, ""(?i)"" &amp; $A$5), 
  REGEXMATCH(RawData_SemEval!$A$2:$A$398, ""(?i)"" &amp; $E$1), 
  REGEXMATCH(RawData_SemEval!$A$2:$A$398, ""(?i)gpt_title_description""), 
  REGEXMATCH(RawData_"&amp;"SemEval!$A$2:$A$398, ""(?i)"" &amp; $B$6),NOT(REGEXMATCH(RawData_SemEval!$A$2:$A$398,  ""(?i)complete""))
)"),"#N/A")</f>
        <v>#N/A</v>
      </c>
      <c r="F24" s="107" t="str">
        <f>IFERROR(__xludf.DUMMYFUNCTION("FILTER(RawData_SemEval!$F$2:$F$398, 
  REGEXMATCH(RawData_SemEval!$A$2:$A$398, ""(?i)"" &amp; $A$5), 
  REGEXMATCH(RawData_SemEval!$A$2:$A$398, ""(?i)"" &amp; $E$1), 
  REGEXMATCH(RawData_SemEval!$A$2:$A$398, ""(?i)gpt_title_description""), 
  REGEXMATCH(RawData_"&amp;"SemEval!$A$2:$A$398, ""(?i)"" &amp; $B$6),NOT(REGEXMATCH(RawData_SemEval!$A$2:$A$398,  ""(?i)complete""))
)"),"#N/A")</f>
        <v>#N/A</v>
      </c>
      <c r="G24" s="108" t="str">
        <f>IFERROR(__xludf.DUMMYFUNCTION("FILTER(RawData_SemEval!$B$2:$B$398, 
  REGEXMATCH(RawData_SemEval!$A$2:$A$398, ""(?i)"" &amp; $A$5), 
  REGEXMATCH(RawData_SemEval!$A$2:$A$398, ""(?i)"" &amp; $G$1), 
  REGEXMATCH(RawData_SemEval!$A$2:$A$398, ""(?i)gpt_title_description""), 
  REGEXMATCH(RawData_"&amp;"SemEval!$A$2:$A$398, ""(?i)"" &amp; $B$6),NOT(REGEXMATCH(RawData_SemEval!$A$2:$A$398,  ""(?i)complete""))
)"),"#N/A")</f>
        <v>#N/A</v>
      </c>
      <c r="H24" s="107" t="str">
        <f>IFERROR(__xludf.DUMMYFUNCTION("FILTER(RawData_SemEval!$F$2:$F$398, 
  REGEXMATCH(RawData_SemEval!$A$2:$A$398, ""(?i)"" &amp; $A$5), 
  REGEXMATCH(RawData_SemEval!$A$2:$A$398, ""(?i)"" &amp; $G$1), 
  REGEXMATCH(RawData_SemEval!$A$2:$A$398, ""(?i)gpt_title_description""), 
  REGEXMATCH(RawData_"&amp;"SemEval!$A$2:$A$398, ""(?i)"" &amp; $B$6),NOT(REGEXMATCH(RawData_SemEval!$A$2:$A$398,  ""(?i)complete""))
)"),"#N/A")</f>
        <v>#N/A</v>
      </c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</row>
    <row r="25">
      <c r="A25" s="104" t="s">
        <v>1987</v>
      </c>
      <c r="B25" s="7" t="s">
        <v>29</v>
      </c>
      <c r="C25" s="109"/>
      <c r="D25" s="109"/>
      <c r="E25" s="106" t="str">
        <f>IFERROR(__xludf.DUMMYFUNCTION("FILTER(RawData_SemEval!$B$2:$B$398, 
  REGEXMATCH(RawData_SemEval!$A$2:$A$398, ""(?i)"" &amp; $A$5), 
  REGEXMATCH(RawData_SemEval!$A$2:$A$398, ""(?i)"" &amp; $E$1), 
  REGEXMATCH(RawData_SemEval!$A$2:$A$398, ""(?i)gpt_title_description_complete""), 
  NOT(REGEXM"&amp;"ATCH(RawData_SemEval!$A$2:$A$398,  ""(?i)ensemble""))
)"),"#N/A")</f>
        <v>#N/A</v>
      </c>
      <c r="F25" s="105" t="str">
        <f>IFERROR(__xludf.DUMMYFUNCTION("FILTER(RawData_SemEval!$F$2:$F$398, 
  REGEXMATCH(RawData_SemEval!$A$2:$A$398, ""(?i)"" &amp; $A$5), 
  REGEXMATCH(RawData_SemEval!$A$2:$A$398, ""(?i)"" &amp; $E$1), 
  REGEXMATCH(RawData_SemEval!$A$2:$A$398, ""(?i)gpt_title_description_complete""), 
  NOT(REGEXM"&amp;"ATCH(RawData_SemEval!$A$2:$A$398,  ""(?i)ensemble""))
)"),"#N/A")</f>
        <v>#N/A</v>
      </c>
      <c r="G25" s="106" t="str">
        <f>IFERROR(__xludf.DUMMYFUNCTION("FILTER(RawData_SemEval!$B$2:$B$398, 
  REGEXMATCH(RawData_SemEval!$A$2:$A$398, ""(?i)"" &amp; $A$5), 
  REGEXMATCH(RawData_SemEval!$A$2:$A$398, ""(?i)"" &amp; $G$1), 
  REGEXMATCH(RawData_SemEval!$A$2:$A$398, ""(?i)gpt_title_description_complete""), 
  NOT(REGEXM"&amp;"ATCH(RawData_SemEval!$A$2:$A$398,  ""(?i)ensemble""))
)"),"#REF!")</f>
        <v>#REF!</v>
      </c>
      <c r="H25" s="105" t="str">
        <f>IFERROR(__xludf.DUMMYFUNCTION("FILTER(RawData_SemEval!$F$2:$F$398, 
  REGEXMATCH(RawData_SemEval!$A$2:$A$398, ""(?i)"" &amp; $A$5), 
  REGEXMATCH(RawData_SemEval!$A$2:$A$398, ""(?i)"" &amp; $G$1), 
  REGEXMATCH(RawData_SemEval!$A$2:$A$398, ""(?i)gpt_title_description_complete""), 
  NOT(REGEXM"&amp;"ATCH(RawData_SemEval!$A$2:$A$398,  ""(?i)ensemble""))
)"),"#REF!")</f>
        <v>#REF!</v>
      </c>
    </row>
    <row r="26">
      <c r="A26" s="104"/>
      <c r="B26" s="7" t="s">
        <v>74</v>
      </c>
      <c r="C26" s="109"/>
      <c r="D26" s="109"/>
      <c r="E26" s="106" t="str">
        <f>IFERROR(__xludf.DUMMYFUNCTION("FILTER(RawData_SemEval!$B$2:$B$398, 
  REGEXMATCH(RawData_SemEval!$A$2:$A$398, ""(?i)"" &amp; $A$5), 
  REGEXMATCH(RawData_SemEval!$A$2:$A$398, ""(?i)"" &amp; $E$1), 
  REGEXMATCH(RawData_SemEval!$A$2:$A$398, ""(?i)gpt_title_description_complete""), 
  REGEXMATCH"&amp;"(RawData_SemEval!$A$2:$A$398, ""(?i)"" &amp; $B$5)
)"),"#N/A")</f>
        <v>#N/A</v>
      </c>
      <c r="F26" s="105" t="str">
        <f>IFERROR(__xludf.DUMMYFUNCTION("FILTER(RawData_SemEval!$F$2:$F$398, 
  REGEXMATCH(RawData_SemEval!$A$2:$A$398, ""(?i)"" &amp; $A$5), 
  REGEXMATCH(RawData_SemEval!$A$2:$A$398, ""(?i)"" &amp; $E$1), 
  REGEXMATCH(RawData_SemEval!$A$2:$A$398, ""(?i)gpt_title_description_complete""), 
  REGEXMATCH"&amp;"(RawData_SemEval!$A$2:$A$398, ""(?i)"" &amp; $B$5)
)"),"#N/A")</f>
        <v>#N/A</v>
      </c>
      <c r="G26" s="106" t="str">
        <f>IFERROR(__xludf.DUMMYFUNCTION("FILTER(RawData_SemEval!$B$2:$B$398, 
  REGEXMATCH(RawData_SemEval!$A$2:$A$398, ""(?i)"" &amp; $A$5), 
  REGEXMATCH(RawData_SemEval!$A$2:$A$398, ""(?i)"" &amp; $G$1), 
  REGEXMATCH(RawData_SemEval!$A$2:$A$398, ""(?i)gpt_title_description_complete""), 
  REGEXMATCH"&amp;"(RawData_SemEval!$A$2:$A$398, ""(?i)"" &amp; $B$5)
)"),"#N/A")</f>
        <v>#N/A</v>
      </c>
      <c r="H26" s="105" t="str">
        <f>IFERROR(__xludf.DUMMYFUNCTION("FILTER(RawData_SemEval!$F$2:$F$398, 
  REGEXMATCH(RawData_SemEval!$A$2:$A$398, ""(?i)"" &amp; $A$5), 
  REGEXMATCH(RawData_SemEval!$A$2:$A$398, ""(?i)"" &amp; $G$1), 
  REGEXMATCH(RawData_SemEval!$A$2:$A$398, ""(?i)gpt_title_description_complete""), 
  REGEXMATCH"&amp;"(RawData_SemEval!$A$2:$A$398, ""(?i)"" &amp; $B$5)
)"),"#N/A")</f>
        <v>#N/A</v>
      </c>
    </row>
    <row r="27">
      <c r="A27" s="111"/>
      <c r="B27" s="75" t="s">
        <v>75</v>
      </c>
      <c r="C27" s="110"/>
      <c r="D27" s="110"/>
      <c r="E27" s="108" t="str">
        <f>IFERROR(__xludf.DUMMYFUNCTION("FILTER(RawData_SemEval!$B$2:$B$398, 
  REGEXMATCH(RawData_SemEval!$A$2:$A$398, ""(?i)"" &amp; $A$5), 
  REGEXMATCH(RawData_SemEval!$A$2:$A$398, ""(?i)"" &amp; $E$1), 
  REGEXMATCH(RawData_SemEval!$A$2:$A$398, ""(?i)gpt_title_description_complete""), 
  REGEXMATCH"&amp;"(RawData_SemEval!$A$2:$A$398, ""(?i)"" &amp; $B$6)
)"),"#N/A")</f>
        <v>#N/A</v>
      </c>
      <c r="F27" s="107" t="str">
        <f>IFERROR(__xludf.DUMMYFUNCTION("FILTER(RawData_SemEval!$F$2:$F$398, 
  REGEXMATCH(RawData_SemEval!$A$2:$A$398, ""(?i)"" &amp; $A$5), 
  REGEXMATCH(RawData_SemEval!$A$2:$A$398, ""(?i)"" &amp; $E$1), 
  REGEXMATCH(RawData_SemEval!$A$2:$A$398, ""(?i)gpt_title_description_complete""), 
  REGEXMATCH"&amp;"(RawData_SemEval!$A$2:$A$398, ""(?i)"" &amp; $B$6)
)"),"#N/A")</f>
        <v>#N/A</v>
      </c>
      <c r="G27" s="108" t="str">
        <f>IFERROR(__xludf.DUMMYFUNCTION("FILTER(RawData_SemEval!$B$2:$B$398, 
  REGEXMATCH(RawData_SemEval!$A$2:$A$398, ""(?i)"" &amp; $A$5), 
  REGEXMATCH(RawData_SemEval!$A$2:$A$398, ""(?i)"" &amp; $G$1), 
  REGEXMATCH(RawData_SemEval!$A$2:$A$398, ""(?i)gpt_title_description_complete""), 
  REGEXMATCH"&amp;"(RawData_SemEval!$A$2:$A$398, ""(?i)"" &amp; $B$6)
)"),"#N/A")</f>
        <v>#N/A</v>
      </c>
      <c r="H27" s="107" t="str">
        <f>IFERROR(__xludf.DUMMYFUNCTION("FILTER(RawData_SemEval!$F$2:$F$398, 
  REGEXMATCH(RawData_SemEval!$A$2:$A$398, ""(?i)"" &amp; $A$5), 
  REGEXMATCH(RawData_SemEval!$A$2:$A$398, ""(?i)"" &amp; $G$1), 
  REGEXMATCH(RawData_SemEval!$A$2:$A$398, ""(?i)gpt_title_description_complete""), 
  REGEXMATCH"&amp;"(RawData_SemEval!$A$2:$A$398, ""(?i)"" &amp; $B$6)
)"),"#N/A")</f>
        <v>#N/A</v>
      </c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</row>
    <row r="28">
      <c r="A28" s="7" t="s">
        <v>1123</v>
      </c>
      <c r="B28" s="70" t="s">
        <v>21</v>
      </c>
      <c r="C28" s="105" t="str">
        <f>IFERROR(__xludf.DUMMYFUNCTION("FILTER(RawData_SemEval!$B$2:$B$398, 
  REGEXMATCH(RawData_SemEval!$A$2:$A$398, ""(?i)"" &amp; $A$29), 
  REGEXMATCH(RawData_SemEval!$A$2:$A$398, ""(?i)"" &amp; $C$1), 
  REGEXMATCH(RawData_SemEval!$A$2:$A$398, ""(?i)"" &amp; $B$4), 
  NOT(REGEXMATCH(RawData_SemEval!$"&amp;"A$2:$A$398,  ""(?i)ensemble""))
)"),"#REF!")</f>
        <v>#REF!</v>
      </c>
      <c r="D28" s="105" t="str">
        <f>IFERROR(__xludf.DUMMYFUNCTION("FILTER(RawData_SemEval!$F$2:$F$398, 
  REGEXMATCH(RawData_SemEval!$A$2:$A$398, ""(?i)"" &amp; $A$29), 
  REGEXMATCH(RawData_SemEval!$A$2:$A$398, ""(?i)"" &amp; $C$1), 
  REGEXMATCH(RawData_SemEval!$A$2:$A$398, ""(?i)"" &amp; $B$4), 
  NOT(REGEXMATCH(RawData_SemEval!$"&amp;"A$2:$A$398,  ""(?i)ensemble""))
)"),"#REF!")</f>
        <v>#REF!</v>
      </c>
      <c r="E28" s="106" t="str">
        <f>IFERROR(__xludf.DUMMYFUNCTION("FILTER(RawData_SemEval!$B$2:$B$398, 
  REGEXMATCH(RawData_SemEval!$A$2:$A$398, ""(?i)"" &amp; $A$29), 
  REGEXMATCH(RawData_SemEval!$A$2:$A$398, ""(?i)"" &amp; $E$1), 
  REGEXMATCH(RawData_SemEval!$A$2:$A$398, ""(?i)"" &amp; $B$4), 
  NOT(REGEXMATCH(RawData_SemEval!$"&amp;"A$2:$A$398,  ""(?i)ensemble""))
)"),"#N/A")</f>
        <v>#N/A</v>
      </c>
      <c r="F28" s="105" t="str">
        <f>IFERROR(__xludf.DUMMYFUNCTION("FILTER(RawData_SemEval!$F$2:$F$398, 
  REGEXMATCH(RawData_SemEval!$A$2:$A$398, ""(?i)"" &amp; $A$29), 
  REGEXMATCH(RawData_SemEval!$A$2:$A$398, ""(?i)"" &amp; $E$1), 
  REGEXMATCH(RawData_SemEval!$A$2:$A$398, ""(?i)"" &amp; $B$4), 
  NOT(REGEXMATCH(RawData_SemEval!$"&amp;"A$2:$A$398,  ""(?i)ensemble""))
)"),"#N/A")</f>
        <v>#N/A</v>
      </c>
      <c r="G28" s="106" t="str">
        <f>IFERROR(__xludf.DUMMYFUNCTION("FILTER(RawData_SemEval!$B$2:$B$398, 
  REGEXMATCH(RawData_SemEval!$A$2:$A$398, ""(?i)"" &amp; $A$29), 
  REGEXMATCH(RawData_SemEval!$A$2:$A$398, ""(?i)"" &amp; $G$1), 
  REGEXMATCH(RawData_SemEval!$A$2:$A$398, ""(?i)"" &amp; $B$4), 
  NOT(REGEXMATCH(RawData_SemEval!$"&amp;"A$2:$A$398,  ""(?i)ensemble""))
)"),"#REF!")</f>
        <v>#REF!</v>
      </c>
      <c r="H28" s="105" t="str">
        <f>IFERROR(__xludf.DUMMYFUNCTION("FILTER(RawData_SemEval!$F$2:$F$398, 
  REGEXMATCH(RawData_SemEval!$A$2:$A$398, ""(?i)"" &amp; $A$29), 
  REGEXMATCH(RawData_SemEval!$A$2:$A$398, ""(?i)"" &amp; $G$1), 
  REGEXMATCH(RawData_SemEval!$A$2:$A$398, ""(?i)"" &amp; $B$4), 
  NOT(REGEXMATCH(RawData_SemEval!$"&amp;"A$2:$A$398,  ""(?i)ensemble""))
)"),"#REF!")</f>
        <v>#REF!</v>
      </c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</row>
    <row r="29">
      <c r="A29" s="7" t="s">
        <v>15</v>
      </c>
      <c r="B29" s="70" t="s">
        <v>74</v>
      </c>
      <c r="C29" s="105" t="str">
        <f>IFERROR(__xludf.DUMMYFUNCTION("FILTER(RawData_SemEval!$B$2:$B$398, 
  REGEXMATCH(RawData_SemEval!$A$2:$A$398, ""(?i)"" &amp; $A$29), 
  REGEXMATCH(RawData_SemEval!$A$2:$A$398, ""(?i)"" &amp; $C$1), 
  REGEXMATCH(RawData_SemEval!$A$2:$A$398, ""(?i)"" &amp; $B$4), 
  REGEXMATCH(RawData_SemEval!$A$2:"&amp;"$A$398, ""(?i)"" &amp; $B$5)
)"),"#N/A")</f>
        <v>#N/A</v>
      </c>
      <c r="D29" s="105" t="str">
        <f>IFERROR(__xludf.DUMMYFUNCTION("FILTER(RawData_SemEval!$F$2:$F$398, 
  REGEXMATCH(RawData_SemEval!$A$2:$A$398, ""(?i)"" &amp; $A$29), 
  REGEXMATCH(RawData_SemEval!$A$2:$A$398, ""(?i)"" &amp; $C$1), 
  REGEXMATCH(RawData_SemEval!$A$2:$A$398, ""(?i)"" &amp; $B$4), 
  REGEXMATCH(RawData_SemEval!$A$2:"&amp;"$A$398, ""(?i)"" &amp; $B$5)
)"),"#N/A")</f>
        <v>#N/A</v>
      </c>
      <c r="E29" s="106" t="str">
        <f>IFERROR(__xludf.DUMMYFUNCTION("FILTER(RawData_SemEval!$B$2:$B$398, 
  REGEXMATCH(RawData_SemEval!$A$2:$A$398, ""(?i)"" &amp; $A$29), 
  REGEXMATCH(RawData_SemEval!$A$2:$A$398, ""(?i)"" &amp; $E$1), 
  REGEXMATCH(RawData_SemEval!$A$2:$A$398, ""(?i)"" &amp; $B$4), 
  REGEXMATCH(RawData_SemEval!$A$2:"&amp;"$A$398, ""(?i)"" &amp; $B$5)
)"),"#N/A")</f>
        <v>#N/A</v>
      </c>
      <c r="F29" s="105" t="str">
        <f>IFERROR(__xludf.DUMMYFUNCTION("FILTER(RawData_SemEval!$F$2:$F$398, 
  REGEXMATCH(RawData_SemEval!$A$2:$A$398, ""(?i)"" &amp; $A$29), 
  REGEXMATCH(RawData_SemEval!$A$2:$A$398, ""(?i)"" &amp; $E$1), 
  REGEXMATCH(RawData_SemEval!$A$2:$A$398, ""(?i)"" &amp; $B$4), 
  REGEXMATCH(RawData_SemEval!$A$2:"&amp;"$A$398, ""(?i)"" &amp; $B$5)
)"),"#N/A")</f>
        <v>#N/A</v>
      </c>
      <c r="G29" s="106" t="str">
        <f>IFERROR(__xludf.DUMMYFUNCTION("FILTER(RawData_SemEval!$B$2:$B$398, 
  REGEXMATCH(RawData_SemEval!$A$2:$A$398, ""(?i)"" &amp; $A$29), 
  REGEXMATCH(RawData_SemEval!$A$2:$A$398, ""(?i)"" &amp; $G$1), 
  REGEXMATCH(RawData_SemEval!$A$2:$A$398, ""(?i)"" &amp; $B$4), 
  REGEXMATCH(RawData_SemEval!$A$2:"&amp;"$A$398, ""(?i)"" &amp; $B$5)
)"),"#N/A")</f>
        <v>#N/A</v>
      </c>
      <c r="H29" s="105" t="str">
        <f>IFERROR(__xludf.DUMMYFUNCTION("FILTER(RawData_SemEval!$F$2:$F$398, 
  REGEXMATCH(RawData_SemEval!$A$2:$A$398, ""(?i)"" &amp; $A$29), 
  REGEXMATCH(RawData_SemEval!$A$2:$A$398, ""(?i)"" &amp; $G$1), 
  REGEXMATCH(RawData_SemEval!$A$2:$A$398, ""(?i)"" &amp; $B$4), 
  REGEXMATCH(RawData_SemEval!$A$2:"&amp;"$A$398, ""(?i)"" &amp; $B$5)
)"),"#N/A")</f>
        <v>#N/A</v>
      </c>
    </row>
    <row r="30">
      <c r="A30" s="104"/>
      <c r="B30" s="75" t="s">
        <v>75</v>
      </c>
      <c r="C30" s="107" t="str">
        <f>IFERROR(__xludf.DUMMYFUNCTION("FILTER(RawData_SemEval!$B$2:$B$398, 
  REGEXMATCH(RawData_SemEval!$A$2:$A$398, ""(?i)"" &amp; $A$29), 
  REGEXMATCH(RawData_SemEval!$A$2:$A$398, ""(?i)"" &amp; $C$1), 
  REGEXMATCH(RawData_SemEval!$A$2:$A$398, ""(?i)"" &amp; $B$4), 
  REGEXMATCH(RawData_SemEval!$A$2:"&amp;"$A$398, ""(?i)"" &amp; $B$6)
)"),"#N/A")</f>
        <v>#N/A</v>
      </c>
      <c r="D30" s="107" t="str">
        <f>IFERROR(__xludf.DUMMYFUNCTION("FILTER(RawData_SemEval!$F$2:$F$398, 
  REGEXMATCH(RawData_SemEval!$A$2:$A$398, ""(?i)"" &amp; $A$29), 
  REGEXMATCH(RawData_SemEval!$A$2:$A$398, ""(?i)"" &amp; $C$1), 
  REGEXMATCH(RawData_SemEval!$A$2:$A$398, ""(?i)"" &amp; $B$4), 
  REGEXMATCH(RawData_SemEval!$A$2:"&amp;"$A$398, ""(?i)"" &amp; $B$6)
)"),"#N/A")</f>
        <v>#N/A</v>
      </c>
      <c r="E30" s="108" t="str">
        <f>IFERROR(__xludf.DUMMYFUNCTION("FILTER(RawData_SemEval!$B$2:$B$398, 
  REGEXMATCH(RawData_SemEval!$A$2:$A$398, ""(?i)"" &amp; $A$29), 
  REGEXMATCH(RawData_SemEval!$A$2:$A$398, ""(?i)"" &amp; $E$1), 
  REGEXMATCH(RawData_SemEval!$A$2:$A$398, ""(?i)"" &amp; $B$4), 
  REGEXMATCH(RawData_SemEval!$A$2:"&amp;"$A$398, ""(?i)"" &amp; $B$6)
)"),"#N/A")</f>
        <v>#N/A</v>
      </c>
      <c r="F30" s="107" t="str">
        <f>IFERROR(__xludf.DUMMYFUNCTION("FILTER(RawData_SemEval!$F$2:$F$398, 
  REGEXMATCH(RawData_SemEval!$A$2:$A$398, ""(?i)"" &amp; $A$29), 
  REGEXMATCH(RawData_SemEval!$A$2:$A$398, ""(?i)"" &amp; $E$1), 
  REGEXMATCH(RawData_SemEval!$A$2:$A$398, ""(?i)"" &amp; $B$4), 
  REGEXMATCH(RawData_SemEval!$A$2:"&amp;"$A$398, ""(?i)"" &amp; $B$6)
)"),"#N/A")</f>
        <v>#N/A</v>
      </c>
      <c r="G30" s="108" t="str">
        <f>IFERROR(__xludf.DUMMYFUNCTION("FILTER(RawData_SemEval!$B$2:$B$398, 
  REGEXMATCH(RawData_SemEval!$A$2:$A$398, ""(?i)"" &amp; $A$29), 
  REGEXMATCH(RawData_SemEval!$A$2:$A$398, ""(?i)"" &amp; $G$1), 
  REGEXMATCH(RawData_SemEval!$A$2:$A$398, ""(?i)"" &amp; $B$4), 
  REGEXMATCH(RawData_SemEval!$A$2:"&amp;"$A$398, ""(?i)"" &amp; $B$6)
)"),"#N/A")</f>
        <v>#N/A</v>
      </c>
      <c r="H30" s="107" t="str">
        <f>IFERROR(__xludf.DUMMYFUNCTION("FILTER(RawData_SemEval!$F$2:$F$398, 
  REGEXMATCH(RawData_SemEval!$A$2:$A$398, ""(?i)"" &amp; $A$29), 
  REGEXMATCH(RawData_SemEval!$A$2:$A$398, ""(?i)"" &amp; $G$1), 
  REGEXMATCH(RawData_SemEval!$A$2:$A$398, ""(?i)"" &amp; $B$4), 
  REGEXMATCH(RawData_SemEval!$A$2:"&amp;"$A$398, ""(?i)"" &amp; $B$6)
)"),"#N/A")</f>
        <v>#N/A</v>
      </c>
    </row>
    <row r="31">
      <c r="A31" s="104" t="s">
        <v>1347</v>
      </c>
      <c r="B31" s="7" t="s">
        <v>26</v>
      </c>
      <c r="C31" s="105" t="str">
        <f>IFERROR(__xludf.DUMMYFUNCTION("FILTER(RawData_SemEval!$B$2:$B$398, 
  REGEXMATCH(RawData_SemEval!$A$2:$A$398, ""(?i)"" &amp; $A$29), 
  REGEXMATCH(RawData_SemEval!$A$2:$A$398, ""(?i)"" &amp; $C$1), 
  REGEXMATCH(RawData_SemEval!$A$2:$A$398, ""(?i)"" &amp; $B$7), 
  NOT(REGEXMATCH(RawData_SemEval!$"&amp;"A$2:$A$398,  ""(?i)ensemble""))
)"),"#REF!")</f>
        <v>#REF!</v>
      </c>
      <c r="D31" s="105" t="str">
        <f>IFERROR(__xludf.DUMMYFUNCTION("FILTER(RawData_SemEval!$F$2:$F$398, 
  REGEXMATCH(RawData_SemEval!$A$2:$A$398, ""(?i)"" &amp; $A$29), 
  REGEXMATCH(RawData_SemEval!$A$2:$A$398, ""(?i)"" &amp; $C$1), 
  REGEXMATCH(RawData_SemEval!$A$2:$A$398, ""(?i)"" &amp; $B$7), 
  NOT(REGEXMATCH(RawData_SemEval!$"&amp;"A$2:$A$398,  ""(?i)ensemble""))
)"),"#REF!")</f>
        <v>#REF!</v>
      </c>
      <c r="E31" s="106" t="str">
        <f>IFERROR(__xludf.DUMMYFUNCTION("FILTER(RawData_SemEval!$B$2:$B$398, 
  REGEXMATCH(RawData_SemEval!$A$2:$A$398, ""(?i)"" &amp; $A$29), 
  REGEXMATCH(RawData_SemEval!$A$2:$A$398, ""(?i)"" &amp; $E$1), 
  REGEXMATCH(RawData_SemEval!$A$2:$A$398, ""(?i)"" &amp; $B$7), 
  NOT(REGEXMATCH(RawData_SemEval!$"&amp;"A$2:$A$398,  ""(?i)ensemble""))
)"),"#N/A")</f>
        <v>#N/A</v>
      </c>
      <c r="F31" s="105" t="str">
        <f>IFERROR(__xludf.DUMMYFUNCTION("FILTER(RawData_SemEval!$F$2:$F$398, 
  REGEXMATCH(RawData_SemEval!$A$2:$A$398, ""(?i)"" &amp; $A$29), 
  REGEXMATCH(RawData_SemEval!$A$2:$A$398, ""(?i)"" &amp; $E$1), 
  REGEXMATCH(RawData_SemEval!$A$2:$A$398, ""(?i)"" &amp; $B$7), 
  NOT(REGEXMATCH(RawData_SemEval!$"&amp;"A$2:$A$398,  ""(?i)ensemble""))
)"),"#N/A")</f>
        <v>#N/A</v>
      </c>
      <c r="G31" s="106" t="str">
        <f>IFERROR(__xludf.DUMMYFUNCTION("FILTER(RawData_SemEval!$B$2:$B$398, 
  REGEXMATCH(RawData_SemEval!$A$2:$A$398, ""(?i)"" &amp; $A$29), 
  REGEXMATCH(RawData_SemEval!$A$2:$A$398, ""(?i)"" &amp; $G$1), 
  REGEXMATCH(RawData_SemEval!$A$2:$A$398, ""(?i)"" &amp; $B$7), 
  NOT(REGEXMATCH(RawData_SemEval!$"&amp;"A$2:$A$398,  ""(?i)ensemble""))
)"),"#REF!")</f>
        <v>#REF!</v>
      </c>
      <c r="H31" s="105" t="str">
        <f>IFERROR(__xludf.DUMMYFUNCTION("FILTER(RawData_SemEval!$F$2:$F$398, 
  REGEXMATCH(RawData_SemEval!$A$2:$A$398, ""(?i)"" &amp; $A$29), 
  REGEXMATCH(RawData_SemEval!$A$2:$A$398, ""(?i)"" &amp; $G$1), 
  REGEXMATCH(RawData_SemEval!$A$2:$A$398, ""(?i)"" &amp; $B$7), 
  NOT(REGEXMATCH(RawData_SemEval!$"&amp;"A$2:$A$398,  ""(?i)ensemble""))
)"),"#REF!")</f>
        <v>#REF!</v>
      </c>
    </row>
    <row r="32">
      <c r="A32" s="104"/>
      <c r="B32" s="7" t="s">
        <v>74</v>
      </c>
      <c r="C32" s="105" t="str">
        <f>IFERROR(__xludf.DUMMYFUNCTION("FILTER(RawData_SemEval!$B$2:$B$398, 
  REGEXMATCH(RawData_SemEval!$A$2:$A$398, ""(?i)"" &amp; $A$29), 
  REGEXMATCH(RawData_SemEval!$A$2:$A$398, ""(?i)"" &amp; $C$1), 
  REGEXMATCH(RawData_SemEval!$A$2:$A$398, ""(?i)"" &amp; $B$7), 
  REGEXMATCH(RawData_SemEval!$A$2:"&amp;"$A$398, ""(?i)"" &amp; $B$5)
)"),"#N/A")</f>
        <v>#N/A</v>
      </c>
      <c r="D32" s="105" t="str">
        <f>IFERROR(__xludf.DUMMYFUNCTION("FILTER(RawData_SemEval!$F$2:$F$398, 
  REGEXMATCH(RawData_SemEval!$A$2:$A$398, ""(?i)"" &amp; $A$29), 
  REGEXMATCH(RawData_SemEval!$A$2:$A$398, ""(?i)"" &amp; $C$1), 
  REGEXMATCH(RawData_SemEval!$A$2:$A$398, ""(?i)"" &amp; $B$7), 
  REGEXMATCH(RawData_SemEval!$A$2:"&amp;"$A$398, ""(?i)"" &amp; $B$5)
)"),"#N/A")</f>
        <v>#N/A</v>
      </c>
      <c r="E32" s="106" t="str">
        <f>IFERROR(__xludf.DUMMYFUNCTION("FILTER(RawData_SemEval!$B$2:$B$398, 
  REGEXMATCH(RawData_SemEval!$A$2:$A$398, ""(?i)"" &amp; $A$29), 
  REGEXMATCH(RawData_SemEval!$A$2:$A$398, ""(?i)"" &amp; $E$1), 
  REGEXMATCH(RawData_SemEval!$A$2:$A$398, ""(?i)"" &amp; $B$7), 
  REGEXMATCH(RawData_SemEval!$A$2:"&amp;"$A$398, ""(?i)"" &amp; $B$5)
)"),"#N/A")</f>
        <v>#N/A</v>
      </c>
      <c r="F32" s="105" t="str">
        <f>IFERROR(__xludf.DUMMYFUNCTION("FILTER(RawData_SemEval!$F$2:$F$398, 
  REGEXMATCH(RawData_SemEval!$A$2:$A$398, ""(?i)"" &amp; $A$29), 
  REGEXMATCH(RawData_SemEval!$A$2:$A$398, ""(?i)"" &amp; $E$1), 
  REGEXMATCH(RawData_SemEval!$A$2:$A$398, ""(?i)"" &amp; $B$7), 
  REGEXMATCH(RawData_SemEval!$A$2:"&amp;"$A$398, ""(?i)"" &amp; $B$5)
)"),"#N/A")</f>
        <v>#N/A</v>
      </c>
      <c r="G32" s="106" t="str">
        <f>IFERROR(__xludf.DUMMYFUNCTION("FILTER(RawData_SemEval!$B$2:$B$398, 
  REGEXMATCH(RawData_SemEval!$A$2:$A$398, ""(?i)"" &amp; $A$29), 
  REGEXMATCH(RawData_SemEval!$A$2:$A$398, ""(?i)"" &amp; $G$1), 
  REGEXMATCH(RawData_SemEval!$A$2:$A$398, ""(?i)"" &amp; $B$7), 
  REGEXMATCH(RawData_SemEval!$A$2:"&amp;"$A$398, ""(?i)"" &amp; $B$5)
)"),"#N/A")</f>
        <v>#N/A</v>
      </c>
      <c r="H32" s="105" t="str">
        <f>IFERROR(__xludf.DUMMYFUNCTION("FILTER(RawData_SemEval!$F$2:$F$398, 
  REGEXMATCH(RawData_SemEval!$A$2:$A$398, ""(?i)"" &amp; $A$29), 
  REGEXMATCH(RawData_SemEval!$A$2:$A$398, ""(?i)"" &amp; $G$1), 
  REGEXMATCH(RawData_SemEval!$A$2:$A$398, ""(?i)"" &amp; $B$7), 
  REGEXMATCH(RawData_SemEval!$A$2:"&amp;"$A$398, ""(?i)"" &amp; $B$5)
)"),"#N/A")</f>
        <v>#N/A</v>
      </c>
    </row>
    <row r="33">
      <c r="A33" s="104"/>
      <c r="B33" s="74" t="s">
        <v>75</v>
      </c>
      <c r="C33" s="107" t="str">
        <f>IFERROR(__xludf.DUMMYFUNCTION("FILTER(RawData_SemEval!$B$2:$B$398, 
  REGEXMATCH(RawData_SemEval!$A$2:$A$398, ""(?i)"" &amp; $A$29), 
  REGEXMATCH(RawData_SemEval!$A$2:$A$398, ""(?i)"" &amp; $C$1), 
  REGEXMATCH(RawData_SemEval!$A$2:$A$398, ""(?i)"" &amp; $B$7), 
  REGEXMATCH(RawData_SemEval!$A$2:"&amp;"$A$398, ""(?i)"" &amp; $B$6)
)"),"#N/A")</f>
        <v>#N/A</v>
      </c>
      <c r="D33" s="107" t="str">
        <f>IFERROR(__xludf.DUMMYFUNCTION("FILTER(RawData_SemEval!$F$2:$F$398, 
  REGEXMATCH(RawData_SemEval!$A$2:$A$398, ""(?i)"" &amp; $A$29), 
  REGEXMATCH(RawData_SemEval!$A$2:$A$398, ""(?i)"" &amp; $C$1), 
  REGEXMATCH(RawData_SemEval!$A$2:$A$398, ""(?i)"" &amp; $B$7), 
  REGEXMATCH(RawData_SemEval!$A$2:"&amp;"$A$398, ""(?i)"" &amp; $B$6)
)"),"#N/A")</f>
        <v>#N/A</v>
      </c>
      <c r="E33" s="108" t="str">
        <f>IFERROR(__xludf.DUMMYFUNCTION("FILTER(RawData_SemEval!$B$2:$B$398, 
  REGEXMATCH(RawData_SemEval!$A$2:$A$398, ""(?i)"" &amp; $A$29), 
  REGEXMATCH(RawData_SemEval!$A$2:$A$398, ""(?i)"" &amp; $E$1), 
  REGEXMATCH(RawData_SemEval!$A$2:$A$398, ""(?i)"" &amp; $B$7), 
  REGEXMATCH(RawData_SemEval!$A$2:"&amp;"$A$398, ""(?i)"" &amp; $B$6)
)"),"#N/A")</f>
        <v>#N/A</v>
      </c>
      <c r="F33" s="107" t="str">
        <f>IFERROR(__xludf.DUMMYFUNCTION("FILTER(RawData_SemEval!$F$2:$F$398, 
  REGEXMATCH(RawData_SemEval!$A$2:$A$398, ""(?i)"" &amp; $A$29), 
  REGEXMATCH(RawData_SemEval!$A$2:$A$398, ""(?i)"" &amp; $E$1), 
  REGEXMATCH(RawData_SemEval!$A$2:$A$398, ""(?i)"" &amp; $B$7), 
  REGEXMATCH(RawData_SemEval!$A$2:"&amp;"$A$398, ""(?i)"" &amp; $B$6)
)"),"#N/A")</f>
        <v>#N/A</v>
      </c>
      <c r="G33" s="108" t="str">
        <f>IFERROR(__xludf.DUMMYFUNCTION("FILTER(RawData_SemEval!$B$2:$B$398, 
  REGEXMATCH(RawData_SemEval!$A$2:$A$398, ""(?i)"" &amp; $A$29), 
  REGEXMATCH(RawData_SemEval!$A$2:$A$398, ""(?i)"" &amp; $G$1), 
  REGEXMATCH(RawData_SemEval!$A$2:$A$398, ""(?i)"" &amp; $B$7), 
  REGEXMATCH(RawData_SemEval!$A$2:"&amp;"$A$398, ""(?i)"" &amp; $B$6)
)"),"#N/A")</f>
        <v>#N/A</v>
      </c>
      <c r="H33" s="107" t="str">
        <f>IFERROR(__xludf.DUMMYFUNCTION("FILTER(RawData_SemEval!$F$2:$F$398, 
  REGEXMATCH(RawData_SemEval!$A$2:$A$398, ""(?i)"" &amp; $A$29), 
  REGEXMATCH(RawData_SemEval!$A$2:$A$398, ""(?i)"" &amp; $G$1), 
  REGEXMATCH(RawData_SemEval!$A$2:$A$398, ""(?i)"" &amp; $B$7), 
  REGEXMATCH(RawData_SemEval!$A$2:"&amp;"$A$398, ""(?i)"" &amp; $B$6)
)"),"#N/A")</f>
        <v>#N/A</v>
      </c>
    </row>
    <row r="34">
      <c r="A34" s="104" t="s">
        <v>1537</v>
      </c>
      <c r="B34" s="7" t="s">
        <v>20</v>
      </c>
      <c r="C34" s="105" t="str">
        <f>IFERROR(__xludf.DUMMYFUNCTION("FILTER(RawData_SemEval!$B$2:$B$398, 
  REGEXMATCH(RawData_SemEval!$A$2:$A$398, ""(?i)"" &amp; $A$29), 
  REGEXMATCH(RawData_SemEval!$A$2:$A$398, ""(?i)"" &amp; $C$1), 
  REGEXMATCH(RawData_SemEval!$A$2:$A$398, ""(?i)"" &amp; A34), 
  NOT(REGEXMATCH(RawData_SemEval!$A"&amp;"$2:$A$398,  ""(?i)ensemble""))
)"),"#REF!")</f>
        <v>#REF!</v>
      </c>
      <c r="D34" s="105" t="str">
        <f>IFERROR(__xludf.DUMMYFUNCTION("FILTER(RawData_SemEval!$F$2:$F$398, 
  REGEXMATCH(RawData_SemEval!$A$2:$A$398, ""(?i)"" &amp; $A$29), 
  REGEXMATCH(RawData_SemEval!$A$2:$A$398, ""(?i)"" &amp; $C$1), 
  REGEXMATCH(RawData_SemEval!$A$2:$A$398, ""(?i)"" &amp; A34), 
  NOT(REGEXMATCH(RawData_SemEval!$A"&amp;"$2:$A$398,  ""(?i)ensemble""))
)"),"#REF!")</f>
        <v>#REF!</v>
      </c>
      <c r="E34" s="106" t="str">
        <f>IFERROR(__xludf.DUMMYFUNCTION("FILTER(RawData_SemEval!$B$2:$B$398, 
  REGEXMATCH(RawData_SemEval!$A$2:$A$398, ""(?i)"" &amp; $A$29), 
  REGEXMATCH(RawData_SemEval!$A$2:$A$398, ""(?i)"" &amp; $E$1), 
  REGEXMATCH(RawData_SemEval!$A$2:$A$398, ""(?i)"" &amp; A34), 
  NOT(REGEXMATCH(RawData_SemEval!$A"&amp;"$2:$A$398,  ""(?i)ensemble""))
)"),"#N/A")</f>
        <v>#N/A</v>
      </c>
      <c r="F34" s="105" t="str">
        <f>IFERROR(__xludf.DUMMYFUNCTION("FILTER(RawData_SemEval!$F$2:$F$398, 
  REGEXMATCH(RawData_SemEval!$A$2:$A$398, ""(?i)"" &amp; $A$29), 
  REGEXMATCH(RawData_SemEval!$A$2:$A$398, ""(?i)"" &amp; $E$1), 
  REGEXMATCH(RawData_SemEval!$A$2:$A$398, ""(?i)"" &amp; A34), 
  NOT(REGEXMATCH(RawData_SemEval!$A"&amp;"$2:$A$398,  ""(?i)ensemble""))
)"),"#N/A")</f>
        <v>#N/A</v>
      </c>
      <c r="G34" s="106" t="str">
        <f>IFERROR(__xludf.DUMMYFUNCTION("FILTER(RawData_SemEval!$B$2:$B$398, 
  REGEXMATCH(RawData_SemEval!$A$2:$A$398, ""(?i)"" &amp; $A$29), 
  REGEXMATCH(RawData_SemEval!$A$2:$A$398, ""(?i)"" &amp; $G$1), 
  REGEXMATCH(RawData_SemEval!$A$2:$A$398, ""(?i)"" &amp; A34), 
  NOT(REGEXMATCH(RawData_SemEval!$A"&amp;"$2:$A$398,  ""(?i)ensemble""))
)"),"#REF!")</f>
        <v>#REF!</v>
      </c>
      <c r="H34" s="105" t="str">
        <f>IFERROR(__xludf.DUMMYFUNCTION("FILTER(RawData_SemEval!$F$2:$F$398, 
  REGEXMATCH(RawData_SemEval!$A$2:$A$398, ""(?i)"" &amp; $A$29), 
  REGEXMATCH(RawData_SemEval!$A$2:$A$398, ""(?i)"" &amp; $G$1), 
  REGEXMATCH(RawData_SemEval!$A$2:$A$398, ""(?i)"" &amp; A34), 
  NOT(REGEXMATCH(RawData_SemEval!$A"&amp;"$2:$A$398,  ""(?i)ensemble""))
)"),"#REF!")</f>
        <v>#REF!</v>
      </c>
    </row>
    <row r="35">
      <c r="A35" s="104"/>
      <c r="B35" s="7" t="s">
        <v>74</v>
      </c>
      <c r="C35" s="105" t="str">
        <f>IFERROR(__xludf.DUMMYFUNCTION("FILTER(RawData_SemEval!$B$2:$B$398, 
  REGEXMATCH(RawData_SemEval!$A$2:$A$398, ""(?i)"" &amp; $A$29), 
  REGEXMATCH(RawData_SemEval!$A$2:$A$398, ""(?i)"" &amp; $C$1), 
  REGEXMATCH(RawData_SemEval!$A$2:$A$398, ""(?i)"" &amp; A34), 
  REGEXMATCH(RawData_SemEval!$A$2:$"&amp;"A$398, ""(?i)"" &amp; $B$5)
)"),"#N/A")</f>
        <v>#N/A</v>
      </c>
      <c r="D35" s="105" t="str">
        <f>IFERROR(__xludf.DUMMYFUNCTION("FILTER(RawData_SemEval!$F$2:$F$398, 
  REGEXMATCH(RawData_SemEval!$A$2:$A$398, ""(?i)"" &amp; $A$29), 
  REGEXMATCH(RawData_SemEval!$A$2:$A$398, ""(?i)"" &amp; $C$1), 
  REGEXMATCH(RawData_SemEval!$A$2:$A$398, ""(?i)"" &amp; A34), 
  REGEXMATCH(RawData_SemEval!$A$2:$"&amp;"A$398, ""(?i)"" &amp; $B$5)
)"),"#N/A")</f>
        <v>#N/A</v>
      </c>
      <c r="E35" s="106" t="str">
        <f>IFERROR(__xludf.DUMMYFUNCTION("FILTER(RawData_SemEval!$B$2:$B$398, 
  REGEXMATCH(RawData_SemEval!$A$2:$A$398, ""(?i)"" &amp; $A$29), 
  REGEXMATCH(RawData_SemEval!$A$2:$A$398, ""(?i)"" &amp; $E$1), 
  REGEXMATCH(RawData_SemEval!$A$2:$A$398, ""(?i)"" &amp; A34), 
  REGEXMATCH(RawData_SemEval!$A$2:$"&amp;"A$398, ""(?i)"" &amp; $B$5)
)"),"#N/A")</f>
        <v>#N/A</v>
      </c>
      <c r="F35" s="105" t="str">
        <f>IFERROR(__xludf.DUMMYFUNCTION("FILTER(RawData_SemEval!$F$2:$F$398, 
  REGEXMATCH(RawData_SemEval!$A$2:$A$398, ""(?i)"" &amp; $A$29), 
  REGEXMATCH(RawData_SemEval!$A$2:$A$398, ""(?i)"" &amp; $E$1), 
  REGEXMATCH(RawData_SemEval!$A$2:$A$398, ""(?i)"" &amp; A34), 
  REGEXMATCH(RawData_SemEval!$A$2:$"&amp;"A$398, ""(?i)"" &amp; $B$5)
)"),"#N/A")</f>
        <v>#N/A</v>
      </c>
      <c r="G35" s="106" t="str">
        <f>IFERROR(__xludf.DUMMYFUNCTION("FILTER(RawData_SemEval!$B$2:$B$398, 
  REGEXMATCH(RawData_SemEval!$A$2:$A$398, ""(?i)"" &amp; $A$29), 
  REGEXMATCH(RawData_SemEval!$A$2:$A$398, ""(?i)"" &amp; $G$1), 
  REGEXMATCH(RawData_SemEval!$A$2:$A$398, ""(?i)"" &amp; A34), 
  REGEXMATCH(RawData_SemEval!$A$2:$"&amp;"A$398, ""(?i)"" &amp; $B$5)
)"),"#N/A")</f>
        <v>#N/A</v>
      </c>
      <c r="H35" s="105" t="str">
        <f>IFERROR(__xludf.DUMMYFUNCTION("FILTER(RawData_SemEval!$F$2:$F$398, 
  REGEXMATCH(RawData_SemEval!$A$2:$A$398, ""(?i)"" &amp; $A$29), 
  REGEXMATCH(RawData_SemEval!$A$2:$A$398, ""(?i)"" &amp; $G$1), 
  REGEXMATCH(RawData_SemEval!$A$2:$A$398, ""(?i)"" &amp; A34), 
  REGEXMATCH(RawData_SemEval!$A$2:$"&amp;"A$398, ""(?i)"" &amp; $B$5)
)"),"#N/A")</f>
        <v>#N/A</v>
      </c>
    </row>
    <row r="36">
      <c r="A36" s="104"/>
      <c r="B36" s="74" t="s">
        <v>75</v>
      </c>
      <c r="C36" s="107" t="str">
        <f>IFERROR(__xludf.DUMMYFUNCTION("FILTER(RawData_SemEval!$B$2:$B$398, 
  REGEXMATCH(RawData_SemEval!$A$2:$A$398, ""(?i)"" &amp; $A$29), 
  REGEXMATCH(RawData_SemEval!$A$2:$A$398, ""(?i)"" &amp; $C$1), 
  REGEXMATCH(RawData_SemEval!$A$2:$A$398, ""(?i)"" &amp; A34), 
  REGEXMATCH(RawData_SemEval!$A$2:$"&amp;"A$398, ""(?i)"" &amp; $B$6)
)"),"#N/A")</f>
        <v>#N/A</v>
      </c>
      <c r="D36" s="107" t="str">
        <f>IFERROR(__xludf.DUMMYFUNCTION("FILTER(RawData_SemEval!$F$2:$F$398, 
  REGEXMATCH(RawData_SemEval!$A$2:$A$398, ""(?i)"" &amp; $A$29), 
  REGEXMATCH(RawData_SemEval!$A$2:$A$398, ""(?i)"" &amp; $C$1), 
  REGEXMATCH(RawData_SemEval!$A$2:$A$398, ""(?i)"" &amp; A34), 
  REGEXMATCH(RawData_SemEval!$A$2:$"&amp;"A$398, ""(?i)"" &amp; $B$6)
)"),"#N/A")</f>
        <v>#N/A</v>
      </c>
      <c r="E36" s="108" t="str">
        <f>IFERROR(__xludf.DUMMYFUNCTION("FILTER(RawData_SemEval!$B$2:$B$398, 
  REGEXMATCH(RawData_SemEval!$A$2:$A$398, ""(?i)"" &amp; $A$29), 
  REGEXMATCH(RawData_SemEval!$A$2:$A$398, ""(?i)"" &amp; $E$1), 
  REGEXMATCH(RawData_SemEval!$A$2:$A$398, ""(?i)"" &amp; A34), 
  REGEXMATCH(RawData_SemEval!$A$2:$"&amp;"A$398, ""(?i)"" &amp; $B$6)
)"),"#N/A")</f>
        <v>#N/A</v>
      </c>
      <c r="F36" s="107" t="str">
        <f>IFERROR(__xludf.DUMMYFUNCTION("FILTER(RawData_SemEval!$F$2:$F$398, 
  REGEXMATCH(RawData_SemEval!$A$2:$A$398, ""(?i)"" &amp; $A$29), 
  REGEXMATCH(RawData_SemEval!$A$2:$A$398, ""(?i)"" &amp; $E$1), 
  REGEXMATCH(RawData_SemEval!$A$2:$A$398, ""(?i)"" &amp; A34), 
  REGEXMATCH(RawData_SemEval!$A$2:$"&amp;"A$398, ""(?i)"" &amp; $B$6)
)"),"#N/A")</f>
        <v>#N/A</v>
      </c>
      <c r="G36" s="108" t="str">
        <f>IFERROR(__xludf.DUMMYFUNCTION("FILTER(RawData_SemEval!$B$2:$B$398, 
  REGEXMATCH(RawData_SemEval!$A$2:$A$398, ""(?i)"" &amp; $A$29), 
  REGEXMATCH(RawData_SemEval!$A$2:$A$398, ""(?i)"" &amp; $G$1), 
  REGEXMATCH(RawData_SemEval!$A$2:$A$398, ""(?i)"" &amp; A34), 
  REGEXMATCH(RawData_SemEval!$A$2:$"&amp;"A$398, ""(?i)"" &amp; $B$6)
)"),"#N/A")</f>
        <v>#N/A</v>
      </c>
      <c r="H36" s="107" t="str">
        <f>IFERROR(__xludf.DUMMYFUNCTION("FILTER(RawData_SemEval!$F$2:$F$398, 
  REGEXMATCH(RawData_SemEval!$A$2:$A$398, ""(?i)"" &amp; $A$29), 
  REGEXMATCH(RawData_SemEval!$A$2:$A$398, ""(?i)"" &amp; $G$1), 
  REGEXMATCH(RawData_SemEval!$A$2:$A$398, ""(?i)"" &amp; A34), 
  REGEXMATCH(RawData_SemEval!$A$2:$"&amp;"A$398, ""(?i)"" &amp; $B$6)
)"),"#N/A")</f>
        <v>#N/A</v>
      </c>
    </row>
    <row r="37">
      <c r="A37" s="104" t="s">
        <v>1734</v>
      </c>
      <c r="B37" s="7" t="s">
        <v>24</v>
      </c>
      <c r="C37" s="105" t="str">
        <f>IFERROR(__xludf.DUMMYFUNCTION("FILTER(RawData_SemEval!$B$2:$B$398, 
  REGEXMATCH(RawData_SemEval!$A$2:$A$398, ""(?i)"" &amp; $A$29), 
  REGEXMATCH(RawData_SemEval!$A$2:$A$398, ""(?i)"" &amp; $C$1), 
  REGEXMATCH(RawData_SemEval!$A$2:$A$398, ""(?i)"" &amp; $A$37), 
  NOT(REGEXMATCH(RawData_SemEval!"&amp;"$A$2:$A$398,  ""(?i)ensemble"")),NOT(REGEXMATCH(RawData_SemEval!$A$2:$A$398,  ""(?i)complete""))
)"),"#REF!")</f>
        <v>#REF!</v>
      </c>
      <c r="D37" s="105" t="str">
        <f>IFERROR(__xludf.DUMMYFUNCTION("FILTER(RawData_SemEval!$F$2:$F$398, 
  REGEXMATCH(RawData_SemEval!$A$2:$A$398, ""(?i)"" &amp; $A$29), 
  REGEXMATCH(RawData_SemEval!$A$2:$A$398, ""(?i)"" &amp; $C$1), 
  REGEXMATCH(RawData_SemEval!$A$2:$A$398, ""(?i)"" &amp; $A$37), 
  NOT(REGEXMATCH(RawData_SemEval!"&amp;"$A$2:$A$398,  ""(?i)ensemble""))
)"),"#REF!")</f>
        <v>#REF!</v>
      </c>
      <c r="E37" s="106" t="str">
        <f>IFERROR(__xludf.DUMMYFUNCTION("FILTER(RawData_SemEval!$B$2:$B$398, 
  REGEXMATCH(RawData_SemEval!$A$2:$A$398, ""(?i)"" &amp; $A$29), 
  REGEXMATCH(RawData_SemEval!$A$2:$A$398, ""(?i)"" &amp; $E$1), 
  REGEXMATCH(RawData_SemEval!$A$2:$A$398, ""(?i)"" &amp; $A$37), 
  NOT(REGEXMATCH(RawData_SemEval!"&amp;"$A$2:$A$398,  ""(?i)ensemble"")),NOT(REGEXMATCH(RawData_SemEval!$A$2:$A$398,  ""(?i)complete""))
)"),"#N/A")</f>
        <v>#N/A</v>
      </c>
      <c r="F37" s="105" t="str">
        <f>IFERROR(__xludf.DUMMYFUNCTION("FILTER(RawData_SemEval!$F$2:$F$398, 
  REGEXMATCH(RawData_SemEval!$A$2:$A$398, ""(?i)"" &amp; $A$29), 
  REGEXMATCH(RawData_SemEval!$A$2:$A$398, ""(?i)"" &amp; $E$1), 
  REGEXMATCH(RawData_SemEval!$A$2:$A$398, ""(?i)"" &amp; $A$37), 
  NOT(REGEXMATCH(RawData_SemEval!"&amp;"$A$2:$A$398,  ""(?i)ensemble"")),NOT(REGEXMATCH(RawData_SemEval!$A$2:$A$398,  ""(?i)complete""))
)"),"#N/A")</f>
        <v>#N/A</v>
      </c>
      <c r="G37" s="106" t="str">
        <f>IFERROR(__xludf.DUMMYFUNCTION("FILTER(RawData_SemEval!$B$2:$B$398, 
  REGEXMATCH(RawData_SemEval!$A$2:$A$398, ""(?i)"" &amp; $A$29), 
  REGEXMATCH(RawData_SemEval!$A$2:$A$398, ""(?i)"" &amp; $G$1), 
  REGEXMATCH(RawData_SemEval!$A$2:$A$398, ""(?i)"" &amp; $A$37), 
  NOT(REGEXMATCH(RawData_SemEval!"&amp;"$A$2:$A$398,  ""(?i)ensemble"")),NOT(REGEXMATCH(RawData_SemEval!$A$2:$A$398,  ""(?i)complete""))
)"),"#REF!")</f>
        <v>#REF!</v>
      </c>
      <c r="H37" s="105" t="str">
        <f>IFERROR(__xludf.DUMMYFUNCTION("FILTER(RawData_SemEval!$F$2:$F$398, 
  REGEXMATCH(RawData_SemEval!$A$2:$A$398, ""(?i)"" &amp; $A$29), 
  REGEXMATCH(RawData_SemEval!$A$2:$A$398, ""(?i)"" &amp; $G$1), 
  REGEXMATCH(RawData_SemEval!$A$2:$A$398, ""(?i)"" &amp; $A$37), 
  NOT(REGEXMATCH(RawData_SemEval!"&amp;"$A$2:$A$398,  ""(?i)ensemble"")),NOT(REGEXMATCH(RawData_SemEval!$A$2:$A$398,  ""(?i)complete""))
)"),"#REF!")</f>
        <v>#REF!</v>
      </c>
    </row>
    <row r="38">
      <c r="A38" s="104"/>
      <c r="B38" s="7" t="s">
        <v>74</v>
      </c>
      <c r="C38" s="105" t="str">
        <f>IFERROR(__xludf.DUMMYFUNCTION("FILTER(RawData_SemEval!$B$2:$B$398, 
  REGEXMATCH(RawData_SemEval!$A$2:$A$398, ""(?i)"" &amp; $A$29), 
  REGEXMATCH(RawData_SemEval!$A$2:$A$398, ""(?i)"" &amp; $C$1), 
  REGEXMATCH(RawData_SemEval!$A$2:$A$398, ""(?i)"" &amp; $A$37), 
  REGEXMATCH(RawData_SemEval!$A$2"&amp;":$A$398, ""(?i)"" &amp; $B$5),NOT(REGEXMATCH(RawData_SemEval!$A$2:$A$398,  ""(?i)complete""))
)"),"#N/A")</f>
        <v>#N/A</v>
      </c>
      <c r="D38" s="105" t="str">
        <f>IFERROR(__xludf.DUMMYFUNCTION("FILTER(RawData_SemEval!$F$2:$F$398, 
  REGEXMATCH(RawData_SemEval!$A$2:$A$398, ""(?i)"" &amp; $A$29), 
  REGEXMATCH(RawData_SemEval!$A$2:$A$398, ""(?i)"" &amp; $C$1), 
  REGEXMATCH(RawData_SemEval!$A$2:$A$398, ""(?i)"" &amp; $A$37), 
  REGEXMATCH(RawData_SemEval!$A$2"&amp;":$A$398, ""(?i)"" &amp; $B$5),NOT(REGEXMATCH(RawData_SemEval!$A$2:$A$398,  ""(?i)complete""))
)"),"#N/A")</f>
        <v>#N/A</v>
      </c>
      <c r="E38" s="106" t="str">
        <f>IFERROR(__xludf.DUMMYFUNCTION("FILTER(RawData_SemEval!$B$2:$B$398, 
  REGEXMATCH(RawData_SemEval!$A$2:$A$398, ""(?i)"" &amp; $A$29), 
  REGEXMATCH(RawData_SemEval!$A$2:$A$398, ""(?i)"" &amp; $E$1), 
  REGEXMATCH(RawData_SemEval!$A$2:$A$398, ""(?i)"" &amp; $A$37), 
  REGEXMATCH(RawData_SemEval!$A$2"&amp;":$A$398, ""(?i)"" &amp; $B$5),NOT(REGEXMATCH(RawData_SemEval!$A$2:$A$398,  ""(?i)complete""))
)"),"#N/A")</f>
        <v>#N/A</v>
      </c>
      <c r="F38" s="105" t="str">
        <f>IFERROR(__xludf.DUMMYFUNCTION("FILTER(RawData_SemEval!$F$2:$F$398, 
  REGEXMATCH(RawData_SemEval!$A$2:$A$398, ""(?i)"" &amp; $A$29), 
  REGEXMATCH(RawData_SemEval!$A$2:$A$398, ""(?i)"" &amp; $E$1), 
  REGEXMATCH(RawData_SemEval!$A$2:$A$398, ""(?i)"" &amp; $A$37), 
  REGEXMATCH(RawData_SemEval!$A$2"&amp;":$A$398, ""(?i)"" &amp; $B$5),NOT(REGEXMATCH(RawData_SemEval!$A$2:$A$398,  ""(?i)complete""))
)"),"#N/A")</f>
        <v>#N/A</v>
      </c>
      <c r="G38" s="106" t="str">
        <f>IFERROR(__xludf.DUMMYFUNCTION("FILTER(RawData_SemEval!$B$2:$B$398, 
  REGEXMATCH(RawData_SemEval!$A$2:$A$398, ""(?i)"" &amp; $A$29), 
  REGEXMATCH(RawData_SemEval!$A$2:$A$398, ""(?i)"" &amp; $G$1), 
  REGEXMATCH(RawData_SemEval!$A$2:$A$398, ""(?i)"" &amp; $A$37), 
  REGEXMATCH(RawData_SemEval!$A$2"&amp;":$A$398, ""(?i)"" &amp; $B$5),NOT(REGEXMATCH(RawData_SemEval!$A$2:$A$398,  ""(?i)complete""))
)"),"#N/A")</f>
        <v>#N/A</v>
      </c>
      <c r="H38" s="105" t="str">
        <f>IFERROR(__xludf.DUMMYFUNCTION("FILTER(RawData_SemEval!$F$2:$F$398, 
  REGEXMATCH(RawData_SemEval!$A$2:$A$398, ""(?i)"" &amp; $A$29), 
  REGEXMATCH(RawData_SemEval!$A$2:$A$398, ""(?i)"" &amp; $G$1), 
  REGEXMATCH(RawData_SemEval!$A$2:$A$398, ""(?i)"" &amp; $A$37), 
  REGEXMATCH(RawData_SemEval!$A$2"&amp;":$A$398, ""(?i)"" &amp; $B$5),NOT(REGEXMATCH(RawData_SemEval!$A$2:$A$398,  ""(?i)complete""))
)"),"#N/A")</f>
        <v>#N/A</v>
      </c>
    </row>
    <row r="39">
      <c r="A39" s="104"/>
      <c r="B39" s="74" t="s">
        <v>75</v>
      </c>
      <c r="C39" s="107" t="str">
        <f>IFERROR(__xludf.DUMMYFUNCTION("FILTER(RawData_SemEval!$B$2:$B$398, 
  REGEXMATCH(RawData_SemEval!$A$2:$A$398, ""(?i)"" &amp; $A$29), 
  REGEXMATCH(RawData_SemEval!$A$2:$A$398, ""(?i)"" &amp; $C$1), 
  REGEXMATCH(RawData_SemEval!$A$2:$A$398, ""(?i)"" &amp; $A$37), 
  REGEXMATCH(RawData_SemEval!$A$2"&amp;":$A$398, ""(?i)"" &amp; $B$6),NOT(REGEXMATCH(RawData_SemEval!$A$2:$A$398,  ""(?i)complete""))
)"),"#N/A")</f>
        <v>#N/A</v>
      </c>
      <c r="D39" s="107" t="str">
        <f>IFERROR(__xludf.DUMMYFUNCTION("FILTER(RawData_SemEval!$F$2:$F$398, 
  REGEXMATCH(RawData_SemEval!$A$2:$A$398, ""(?i)"" &amp; $A$29), 
  REGEXMATCH(RawData_SemEval!$A$2:$A$398, ""(?i)"" &amp; $C$1), 
  REGEXMATCH(RawData_SemEval!$A$2:$A$398, ""(?i)"" &amp; $A$37), 
  REGEXMATCH(RawData_SemEval!$A$2"&amp;":$A$398, ""(?i)"" &amp; $B$6),NOT(REGEXMATCH(RawData_SemEval!$A$2:$A$398,  ""(?i)complete""))
)"),"#N/A")</f>
        <v>#N/A</v>
      </c>
      <c r="E39" s="108" t="str">
        <f>IFERROR(__xludf.DUMMYFUNCTION("FILTER(RawData_SemEval!$B$2:$B$398, 
  REGEXMATCH(RawData_SemEval!$A$2:$A$398, ""(?i)"" &amp; $A$29), 
  REGEXMATCH(RawData_SemEval!$A$2:$A$398, ""(?i)"" &amp; $E$1), 
  REGEXMATCH(RawData_SemEval!$A$2:$A$398, ""(?i)"" &amp; $A$37), 
  REGEXMATCH(RawData_SemEval!$A$2"&amp;":$A$398, ""(?i)"" &amp; $B$6),NOT(REGEXMATCH(RawData_SemEval!$A$2:$A$398,  ""(?i)complete""))
)"),"#N/A")</f>
        <v>#N/A</v>
      </c>
      <c r="F39" s="107" t="str">
        <f>IFERROR(__xludf.DUMMYFUNCTION("FILTER(RawData_SemEval!$F$2:$F$398, 
  REGEXMATCH(RawData_SemEval!$A$2:$A$398, ""(?i)"" &amp; $A$29), 
  REGEXMATCH(RawData_SemEval!$A$2:$A$398, ""(?i)"" &amp; $E$1), 
  REGEXMATCH(RawData_SemEval!$A$2:$A$398, ""(?i)"" &amp; $A$37), 
  REGEXMATCH(RawData_SemEval!$A$2"&amp;":$A$398, ""(?i)"" &amp; $B$6),NOT(REGEXMATCH(RawData_SemEval!$A$2:$A$398,  ""(?i)complete""))
)"),"#N/A")</f>
        <v>#N/A</v>
      </c>
      <c r="G39" s="108" t="str">
        <f>IFERROR(__xludf.DUMMYFUNCTION("FILTER(RawData_SemEval!$B$2:$B$398, 
  REGEXMATCH(RawData_SemEval!$A$2:$A$398, ""(?i)"" &amp; $A$29), 
  REGEXMATCH(RawData_SemEval!$A$2:$A$398, ""(?i)"" &amp; $G$1), 
  REGEXMATCH(RawData_SemEval!$A$2:$A$398, ""(?i)"" &amp; $A$37), 
  REGEXMATCH(RawData_SemEval!$A$2"&amp;":$A$398, ""(?i)"" &amp; $B$6),NOT(REGEXMATCH(RawData_SemEval!$A$2:$A$398,  ""(?i)complete""))
)"),"#N/A")</f>
        <v>#N/A</v>
      </c>
      <c r="H39" s="107" t="str">
        <f>IFERROR(__xludf.DUMMYFUNCTION("FILTER(RawData_SemEval!$F$2:$F$398, 
  REGEXMATCH(RawData_SemEval!$A$2:$A$398, ""(?i)"" &amp; $A$29), 
  REGEXMATCH(RawData_SemEval!$A$2:$A$398, ""(?i)"" &amp; $G$1), 
  REGEXMATCH(RawData_SemEval!$A$2:$A$398, ""(?i)"" &amp; $A$37), 
  REGEXMATCH(RawData_SemEval!$A$2"&amp;":$A$398, ""(?i)"" &amp; $B$6),NOT(REGEXMATCH(RawData_SemEval!$A$2:$A$398,  ""(?i)complete""))
)"),"#N/A")</f>
        <v>#N/A</v>
      </c>
    </row>
    <row r="40">
      <c r="A40" s="104" t="s">
        <v>1821</v>
      </c>
      <c r="B40" s="7" t="s">
        <v>28</v>
      </c>
      <c r="C40" s="109"/>
      <c r="D40" s="109"/>
      <c r="E40" s="106" t="str">
        <f>IFERROR(__xludf.DUMMYFUNCTION("FILTER(RawData_SemEval!$B$2:$B$398, 
  REGEXMATCH(RawData_SemEval!$A$2:$A$398, ""(?i)"" &amp; $A$29), 
  REGEXMATCH(RawData_SemEval!$A$2:$A$398, ""(?i)"" &amp; $E$1), 
  REGEXMATCH(RawData_SemEval!$A$2:$A$398, ""(?i)"" &amp; $A$40), 
  NOT(REGEXMATCH(RawData_SemEval!"&amp;"$A$2:$A$398,  ""(?i)ensemble""))
)"),"#N/A")</f>
        <v>#N/A</v>
      </c>
      <c r="F40" s="105" t="str">
        <f>IFERROR(__xludf.DUMMYFUNCTION("FILTER(RawData_SemEval!$F$2:$F$398, 
  REGEXMATCH(RawData_SemEval!$A$2:$A$398, ""(?i)"" &amp; $A$29), 
  REGEXMATCH(RawData_SemEval!$A$2:$A$398, ""(?i)"" &amp; $E$1), 
  REGEXMATCH(RawData_SemEval!$A$2:$A$398, ""(?i)"" &amp; $A$40), 
  NOT(REGEXMATCH(RawData_SemEval!"&amp;"$A$2:$A$398,  ""(?i)ensemble""))
)"),"#N/A")</f>
        <v>#N/A</v>
      </c>
      <c r="G40" s="106" t="str">
        <f>IFERROR(__xludf.DUMMYFUNCTION("FILTER(RawData_SemEval!$B$2:$B$398, 
  REGEXMATCH(RawData_SemEval!$A$2:$A$398, ""(?i)"" &amp; $A$29), 
  REGEXMATCH(RawData_SemEval!$A$2:$A$398, ""(?i)"" &amp; $G$1), 
  REGEXMATCH(RawData_SemEval!$A$2:$A$398, ""(?i)"" &amp; $A$40), 
  NOT(REGEXMATCH(RawData_SemEval!"&amp;"$A$2:$A$398,  ""(?i)ensemble""))
)"),"#REF!")</f>
        <v>#REF!</v>
      </c>
      <c r="H40" s="105" t="str">
        <f>IFERROR(__xludf.DUMMYFUNCTION("FILTER(RawData_SemEval!$F$2:$F$398, 
  REGEXMATCH(RawData_SemEval!$A$2:$A$398, ""(?i)"" &amp; $A$29), 
  REGEXMATCH(RawData_SemEval!$A$2:$A$398, ""(?i)"" &amp; $G$1), 
  REGEXMATCH(RawData_SemEval!$A$2:$A$398, ""(?i)"" &amp; $A$40), 
  NOT(REGEXMATCH(RawData_SemEval!"&amp;"$A$2:$A$398,  ""(?i)ensemble""))
)"),"#REF!")</f>
        <v>#REF!</v>
      </c>
    </row>
    <row r="41">
      <c r="A41" s="104"/>
      <c r="B41" s="7" t="s">
        <v>74</v>
      </c>
      <c r="C41" s="109"/>
      <c r="D41" s="109"/>
      <c r="E41" s="106" t="str">
        <f>IFERROR(__xludf.DUMMYFUNCTION("FILTER(RawData_SemEval!$B$2:$B$398, 
  REGEXMATCH(RawData_SemEval!$A$2:$A$398, ""(?i)"" &amp; $A$29), 
  REGEXMATCH(RawData_SemEval!$A$2:$A$398, ""(?i)"" &amp; $E$1), 
  REGEXMATCH(RawData_SemEval!$A$2:$A$398, ""(?i)"" &amp; $A$40), 
  REGEXMATCH(RawData_SemEval!$A$2"&amp;":$A$398, ""(?i)"" &amp; $B$5)
)"),"#N/A")</f>
        <v>#N/A</v>
      </c>
      <c r="F41" s="105" t="str">
        <f>IFERROR(__xludf.DUMMYFUNCTION("FILTER(RawData_SemEval!$F$2:$F$398, 
  REGEXMATCH(RawData_SemEval!$A$2:$A$398, ""(?i)"" &amp; $A$29), 
  REGEXMATCH(RawData_SemEval!$A$2:$A$398, ""(?i)"" &amp; $E$1), 
  REGEXMATCH(RawData_SemEval!$A$2:$A$398, ""(?i)"" &amp; $A$40), 
  REGEXMATCH(RawData_SemEval!$A$2"&amp;":$A$398, ""(?i)"" &amp; $B$5)
)"),"#N/A")</f>
        <v>#N/A</v>
      </c>
      <c r="G41" s="106" t="str">
        <f>IFERROR(__xludf.DUMMYFUNCTION("FILTER(RawData_SemEval!$B$2:$B$398, 
  REGEXMATCH(RawData_SemEval!$A$2:$A$398, ""(?i)"" &amp; $A$29), 
  REGEXMATCH(RawData_SemEval!$A$2:$A$398, ""(?i)"" &amp; $G$1), 
  REGEXMATCH(RawData_SemEval!$A$2:$A$398, ""(?i)"" &amp; $A$40), 
  REGEXMATCH(RawData_SemEval!$A$2"&amp;":$A$398, ""(?i)"" &amp; $B$5)
)"),"#N/A")</f>
        <v>#N/A</v>
      </c>
      <c r="H41" s="105" t="str">
        <f>IFERROR(__xludf.DUMMYFUNCTION("FILTER(RawData_SemEval!$F$2:$F$398, 
  REGEXMATCH(RawData_SemEval!$A$2:$A$398, ""(?i)"" &amp; $A$29), 
  REGEXMATCH(RawData_SemEval!$A$2:$A$398, ""(?i)"" &amp; $G$1), 
  REGEXMATCH(RawData_SemEval!$A$2:$A$398, ""(?i)"" &amp; $A$40), 
  REGEXMATCH(RawData_SemEval!$A$2"&amp;":$A$398, ""(?i)"" &amp; $B$5)
)"),"#N/A")</f>
        <v>#N/A</v>
      </c>
    </row>
    <row r="42">
      <c r="A42" s="104"/>
      <c r="B42" s="74" t="s">
        <v>75</v>
      </c>
      <c r="C42" s="110"/>
      <c r="D42" s="110"/>
      <c r="E42" s="108" t="str">
        <f>IFERROR(__xludf.DUMMYFUNCTION("FILTER(RawData_SemEval!$B$2:$B$398, 
  REGEXMATCH(RawData_SemEval!$A$2:$A$398, ""(?i)"" &amp; $A$29), 
  REGEXMATCH(RawData_SemEval!$A$2:$A$398, ""(?i)"" &amp; $E$1), 
  REGEXMATCH(RawData_SemEval!$A$2:$A$398, ""(?i)"" &amp; $A$40), 
  REGEXMATCH(RawData_SemEval!$A$2"&amp;":$A$398, ""(?i)"" &amp; $B$6)
)"),"#N/A")</f>
        <v>#N/A</v>
      </c>
      <c r="F42" s="107" t="str">
        <f>IFERROR(__xludf.DUMMYFUNCTION("FILTER(RawData_SemEval!$F$2:$F$398, 
  REGEXMATCH(RawData_SemEval!$A$2:$A$398, ""(?i)"" &amp; $A$29), 
  REGEXMATCH(RawData_SemEval!$A$2:$A$398, ""(?i)"" &amp; $E$1), 
  REGEXMATCH(RawData_SemEval!$A$2:$A$398, ""(?i)"" &amp; $A$40), 
  REGEXMATCH(RawData_SemEval!$A$2"&amp;":$A$398, ""(?i)"" &amp; $B$6)
)"),"#N/A")</f>
        <v>#N/A</v>
      </c>
      <c r="G42" s="108" t="str">
        <f>IFERROR(__xludf.DUMMYFUNCTION("FILTER(RawData_SemEval!$B$2:$B$398, 
  REGEXMATCH(RawData_SemEval!$A$2:$A$398, ""(?i)"" &amp; $A$29), 
  REGEXMATCH(RawData_SemEval!$A$2:$A$398, ""(?i)"" &amp; $G$1), 
  REGEXMATCH(RawData_SemEval!$A$2:$A$398, ""(?i)"" &amp; $A$40), 
  REGEXMATCH(RawData_SemEval!$A$2"&amp;":$A$398, ""(?i)"" &amp; $B$6)
)"),"#N/A")</f>
        <v>#N/A</v>
      </c>
      <c r="H42" s="107" t="str">
        <f>IFERROR(__xludf.DUMMYFUNCTION("FILTER(RawData_SemEval!$F$2:$F$398, 
  REGEXMATCH(RawData_SemEval!$A$2:$A$398, ""(?i)"" &amp; $A$29), 
  REGEXMATCH(RawData_SemEval!$A$2:$A$398, ""(?i)"" &amp; $G$1), 
  REGEXMATCH(RawData_SemEval!$A$2:$A$398, ""(?i)"" &amp; $A$40), 
  REGEXMATCH(RawData_SemEval!$A$2"&amp;":$A$398, ""(?i)"" &amp; $B$6)
)"),"#N/A")</f>
        <v>#N/A</v>
      </c>
    </row>
    <row r="43">
      <c r="A43" s="104" t="s">
        <v>2096</v>
      </c>
      <c r="B43" s="7" t="s">
        <v>22</v>
      </c>
      <c r="C43" s="105" t="str">
        <f>IFERROR(__xludf.DUMMYFUNCTION("FILTER(RawData_SemEval!$B$2:$B$398, 
  REGEXMATCH(RawData_SemEval!$A$2:$A$398, ""(?i)"" &amp; $A$29), 
  REGEXMATCH(RawData_SemEval!$A$2:$A$398, ""(?i)"" &amp; $C$1), 
  REGEXMATCH(RawData_SemEval!$A$2:$A$398, ""(?i)gpt_only_title""), 
  NOT(REGEXMATCH(RawData_Se"&amp;"mEval!$A$2:$A$398,  ""(?i)ensemble""))
)"),"#REF!")</f>
        <v>#REF!</v>
      </c>
      <c r="D43" s="105" t="str">
        <f>IFERROR(__xludf.DUMMYFUNCTION("FILTER(RawData_SemEval!$F$2:$F$398, 
  REGEXMATCH(RawData_SemEval!$A$2:$A$398, ""(?i)"" &amp; $A$29), 
  REGEXMATCH(RawData_SemEval!$A$2:$A$398, ""(?i)"" &amp; $C$1), 
  REGEXMATCH(RawData_SemEval!$A$2:$A$398, ""(?i)gpt_only_title""), 
  NOT(REGEXMATCH(RawData_Se"&amp;"mEval!$A$2:$A$398,  ""(?i)ensemble""))
)"),"#REF!")</f>
        <v>#REF!</v>
      </c>
      <c r="E43" s="106" t="str">
        <f>IFERROR(__xludf.DUMMYFUNCTION("FILTER(RawData_SemEval!$B$2:$B$398, 
  REGEXMATCH(RawData_SemEval!$A$2:$A$398, ""(?i)"" &amp; $A$29), 
  REGEXMATCH(RawData_SemEval!$A$2:$A$398, ""(?i)"" &amp; $E$1), 
  REGEXMATCH(RawData_SemEval!$A$2:$A$398, ""(?i)gpt_only_title""), 
  NOT(REGEXMATCH(RawData_Se"&amp;"mEval!$A$2:$A$398,  ""(?i)ensemble""))
)"),"#N/A")</f>
        <v>#N/A</v>
      </c>
      <c r="F43" s="105" t="str">
        <f>IFERROR(__xludf.DUMMYFUNCTION("FILTER(RawData_SemEval!$F$2:$F$398, 
  REGEXMATCH(RawData_SemEval!$A$2:$A$398, ""(?i)"" &amp; $A$29), 
  REGEXMATCH(RawData_SemEval!$A$2:$A$398, ""(?i)"" &amp; $E$1), 
  REGEXMATCH(RawData_SemEval!$A$2:$A$398, ""(?i)gpt_only_title""), 
  NOT(REGEXMATCH(RawData_Se"&amp;"mEval!$A$2:$A$398,  ""(?i)ensemble""))
)"),"#N/A")</f>
        <v>#N/A</v>
      </c>
      <c r="G43" s="106" t="str">
        <f>IFERROR(__xludf.DUMMYFUNCTION("FILTER(RawData_SemEval!$B$2:$B$398, 
  REGEXMATCH(RawData_SemEval!$A$2:$A$398, ""(?i)"" &amp; $A$29), 
  REGEXMATCH(RawData_SemEval!$A$2:$A$398, ""(?i)"" &amp; $G$1), 
  REGEXMATCH(RawData_SemEval!$A$2:$A$398, ""(?i)gpt_only_title""), 
  NOT(REGEXMATCH(RawData_Se"&amp;"mEval!$A$2:$A$398,  ""(?i)ensemble""))
)"),"#REF!")</f>
        <v>#REF!</v>
      </c>
      <c r="H43" s="105" t="str">
        <f>IFERROR(__xludf.DUMMYFUNCTION("FILTER(RawData_SemEval!$F$2:$F$398, 
  REGEXMATCH(RawData_SemEval!$A$2:$A$398, ""(?i)"" &amp; $A$29), 
  REGEXMATCH(RawData_SemEval!$A$2:$A$398, ""(?i)"" &amp; $G$1), 
  REGEXMATCH(RawData_SemEval!$A$2:$A$398, ""(?i)gpt_only_title""), 
  NOT(REGEXMATCH(RawData_Se"&amp;"mEval!$A$2:$A$398,  ""(?i)ensemble""))
)"),"#REF!")</f>
        <v>#REF!</v>
      </c>
    </row>
    <row r="44">
      <c r="A44" s="104"/>
      <c r="B44" s="7" t="s">
        <v>74</v>
      </c>
      <c r="C44" s="105" t="str">
        <f>IFERROR(__xludf.DUMMYFUNCTION("FILTER(RawData_SemEval!$B$2:$B$398, 
  REGEXMATCH(RawData_SemEval!$A$2:$A$398, ""(?i)"" &amp; $A$29), 
  REGEXMATCH(RawData_SemEval!$A$2:$A$398, ""(?i)"" &amp; $C$1), 
  REGEXMATCH(RawData_SemEval!$A$2:$A$398, ""(?i)gpt_only_title""), 
  REGEXMATCH(RawData_SemEva"&amp;"l!$A$2:$A$398, ""(?i)"" &amp; $B$5)
)"),"#N/A")</f>
        <v>#N/A</v>
      </c>
      <c r="D44" s="105" t="str">
        <f>IFERROR(__xludf.DUMMYFUNCTION("FILTER(RawData_SemEval!$F$2:$F$398, 
  REGEXMATCH(RawData_SemEval!$A$2:$A$398, ""(?i)"" &amp; $A$29), 
  REGEXMATCH(RawData_SemEval!$A$2:$A$398, ""(?i)"" &amp; $C$1), 
  REGEXMATCH(RawData_SemEval!$A$2:$A$398, ""(?i)gpt_only_title""), 
  REGEXMATCH(RawData_SemEva"&amp;"l!$A$2:$A$398, ""(?i)"" &amp; $B$5)
)"),"#N/A")</f>
        <v>#N/A</v>
      </c>
      <c r="E44" s="106" t="str">
        <f>IFERROR(__xludf.DUMMYFUNCTION("FILTER(RawData_SemEval!$B$2:$B$398, 
  REGEXMATCH(RawData_SemEval!$A$2:$A$398, ""(?i)"" &amp; $A$29), 
  REGEXMATCH(RawData_SemEval!$A$2:$A$398, ""(?i)"" &amp; $E$1), 
  REGEXMATCH(RawData_SemEval!$A$2:$A$398, ""(?i)gpt_only_title""), 
  REGEXMATCH(RawData_SemEva"&amp;"l!$A$2:$A$398, ""(?i)"" &amp; $B$5)
)"),"#N/A")</f>
        <v>#N/A</v>
      </c>
      <c r="F44" s="105" t="str">
        <f>IFERROR(__xludf.DUMMYFUNCTION("FILTER(RawData_SemEval!$F$2:$F$398, 
  REGEXMATCH(RawData_SemEval!$A$2:$A$398, ""(?i)"" &amp; $A$29), 
  REGEXMATCH(RawData_SemEval!$A$2:$A$398, ""(?i)"" &amp; $E$1), 
  REGEXMATCH(RawData_SemEval!$A$2:$A$398, ""(?i)gpt_only_title""), 
  REGEXMATCH(RawData_SemEva"&amp;"l!$A$2:$A$398, ""(?i)"" &amp; $B$5)
)"),"#N/A")</f>
        <v>#N/A</v>
      </c>
      <c r="G44" s="106" t="str">
        <f>IFERROR(__xludf.DUMMYFUNCTION("FILTER(RawData_SemEval!$B$2:$B$398, 
  REGEXMATCH(RawData_SemEval!$A$2:$A$398, ""(?i)"" &amp; $A$29), 
  REGEXMATCH(RawData_SemEval!$A$2:$A$398, ""(?i)"" &amp; $G$1), 
  REGEXMATCH(RawData_SemEval!$A$2:$A$398, ""(?i)gpt_only_title""), 
  REGEXMATCH(RawData_SemEva"&amp;"l!$A$2:$A$398, ""(?i)"" &amp; $B$5)
)"),"#N/A")</f>
        <v>#N/A</v>
      </c>
      <c r="H44" s="105" t="str">
        <f>IFERROR(__xludf.DUMMYFUNCTION("FILTER(RawData_SemEval!$F$2:$F$398, 
  REGEXMATCH(RawData_SemEval!$A$2:$A$398, ""(?i)"" &amp; $A$29), 
  REGEXMATCH(RawData_SemEval!$A$2:$A$398, ""(?i)"" &amp; $G$1), 
  REGEXMATCH(RawData_SemEval!$A$2:$A$398, ""(?i)gpt_only_title""), 
  REGEXMATCH(RawData_SemEva"&amp;"l!$A$2:$A$398, ""(?i)"" &amp; $B$5)
)"),"#N/A")</f>
        <v>#N/A</v>
      </c>
    </row>
    <row r="45">
      <c r="A45" s="104"/>
      <c r="B45" s="74" t="s">
        <v>75</v>
      </c>
      <c r="C45" s="107" t="str">
        <f>IFERROR(__xludf.DUMMYFUNCTION("FILTER(RawData_SemEval!$B$2:$B$398, 
  REGEXMATCH(RawData_SemEval!$A$2:$A$398, ""(?i)"" &amp; $A$29), 
  REGEXMATCH(RawData_SemEval!$A$2:$A$398, ""(?i)"" &amp; $C$1), 
  REGEXMATCH(RawData_SemEval!$A$2:$A$398, ""(?i)gpt_only_title""), 
  REGEXMATCH(RawData_SemEva"&amp;"l!$A$2:$A$398, ""(?i)"" &amp; $B$6)
)"),"#N/A")</f>
        <v>#N/A</v>
      </c>
      <c r="D45" s="107" t="str">
        <f>IFERROR(__xludf.DUMMYFUNCTION("FILTER(RawData_SemEval!$F$2:$F$398, 
  REGEXMATCH(RawData_SemEval!$A$2:$A$398, ""(?i)"" &amp; $A$29), 
  REGEXMATCH(RawData_SemEval!$A$2:$A$398, ""(?i)"" &amp; $C$1), 
  REGEXMATCH(RawData_SemEval!$A$2:$A$398, ""(?i)gpt_only_title""), 
  REGEXMATCH(RawData_SemEva"&amp;"l!$A$2:$A$398, ""(?i)"" &amp; $B$6)
)"),"#N/A")</f>
        <v>#N/A</v>
      </c>
      <c r="E45" s="108" t="str">
        <f>IFERROR(__xludf.DUMMYFUNCTION("FILTER(RawData_SemEval!$B$2:$B$398, 
  REGEXMATCH(RawData_SemEval!$A$2:$A$398, ""(?i)"" &amp; $A$29), 
  REGEXMATCH(RawData_SemEval!$A$2:$A$398, ""(?i)"" &amp; $E$1), 
  REGEXMATCH(RawData_SemEval!$A$2:$A$398, ""(?i)gpt_only_title""), 
  REGEXMATCH(RawData_SemEva"&amp;"l!$A$2:$A$398, ""(?i)"" &amp; $B$6)
)"),"#N/A")</f>
        <v>#N/A</v>
      </c>
      <c r="F45" s="107" t="str">
        <f>IFERROR(__xludf.DUMMYFUNCTION("FILTER(RawData_SemEval!$F$2:$F$398, 
  REGEXMATCH(RawData_SemEval!$A$2:$A$398, ""(?i)"" &amp; $A$29), 
  REGEXMATCH(RawData_SemEval!$A$2:$A$398, ""(?i)"" &amp; $E$1), 
  REGEXMATCH(RawData_SemEval!$A$2:$A$398, ""(?i)gpt_only_title""), 
  REGEXMATCH(RawData_SemEva"&amp;"l!$A$2:$A$398, ""(?i)"" &amp; $B$6)
)"),"#N/A")</f>
        <v>#N/A</v>
      </c>
      <c r="G45" s="108" t="str">
        <f>IFERROR(__xludf.DUMMYFUNCTION("FILTER(RawData_SemEval!$B$2:$B$398, 
  REGEXMATCH(RawData_SemEval!$A$2:$A$398, ""(?i)"" &amp; $A$29), 
  REGEXMATCH(RawData_SemEval!$A$2:$A$398, ""(?i)"" &amp; $G$1), 
  REGEXMATCH(RawData_SemEval!$A$2:$A$398, ""(?i)gpt_only_title""), 
  REGEXMATCH(RawData_SemEva"&amp;"l!$A$2:$A$398, ""(?i)"" &amp; $B$6)
)"),"#N/A")</f>
        <v>#N/A</v>
      </c>
      <c r="H45" s="107" t="str">
        <f>IFERROR(__xludf.DUMMYFUNCTION("FILTER(RawData_SemEval!$F$2:$F$398, 
  REGEXMATCH(RawData_SemEval!$A$2:$A$398, ""(?i)"" &amp; $A$29), 
  REGEXMATCH(RawData_SemEval!$A$2:$A$398, ""(?i)"" &amp; $G$1), 
  REGEXMATCH(RawData_SemEval!$A$2:$A$398, ""(?i)gpt_only_title""), 
  REGEXMATCH(RawData_SemEva"&amp;"l!$A$2:$A$398, ""(?i)"" &amp; $B$6)
)"),"#N/A")</f>
        <v>#N/A</v>
      </c>
    </row>
    <row r="46">
      <c r="A46" s="104" t="s">
        <v>2155</v>
      </c>
      <c r="B46" s="7" t="s">
        <v>25</v>
      </c>
      <c r="C46" s="105" t="str">
        <f>IFERROR(__xludf.DUMMYFUNCTION("FILTER(RawData_SemEval!$B$2:$B$398, 
  REGEXMATCH(RawData_SemEval!$A$2:$A$398, ""(?i)"" &amp; $A$29), 
  REGEXMATCH(RawData_SemEval!$A$2:$A$398, ""(?i)"" &amp; $C$1), 
  REGEXMATCH(RawData_SemEval!$A$2:$A$398, ""(?i)gpt_title_description""), 
  NOT(REGEXMATCH(Raw"&amp;"Data_SemEval!$A$2:$A$398,  ""(?i)ensemble"")),NOT(REGEXMATCH(RawData_SemEval!$A$2:$A$398,  ""(?i)complete""))
)"),"#REF!")</f>
        <v>#REF!</v>
      </c>
      <c r="D46" s="105" t="str">
        <f>IFERROR(__xludf.DUMMYFUNCTION("FILTER(RawData_SemEval!$F$2:$F$398, 
  REGEXMATCH(RawData_SemEval!$A$2:$A$398, ""(?i)"" &amp; $A$29), 
  REGEXMATCH(RawData_SemEval!$A$2:$A$398, ""(?i)"" &amp; $C$1), 
  REGEXMATCH(RawData_SemEval!$A$2:$A$398, ""(?i)gpt_title_description""), 
  NOT(REGEXMATCH(Raw"&amp;"Data_SemEval!$A$2:$A$398,  ""(?i)ensemble""))
)"),"#REF!")</f>
        <v>#REF!</v>
      </c>
      <c r="E46" s="106" t="str">
        <f>IFERROR(__xludf.DUMMYFUNCTION("FILTER(RawData_SemEval!$B$2:$B$398, 
  REGEXMATCH(RawData_SemEval!$A$2:$A$398, ""(?i)"" &amp; $A$29), 
  REGEXMATCH(RawData_SemEval!$A$2:$A$398, ""(?i)"" &amp; $E$1), 
  REGEXMATCH(RawData_SemEval!$A$2:$A$398, ""(?i)gpt_title_description""), 
  NOT(REGEXMATCH(Raw"&amp;"Data_SemEval!$A$2:$A$398,  ""(?i)ensemble"")),NOT(REGEXMATCH(RawData_SemEval!$A$2:$A$398,  ""(?i)complete""))
)"),"#N/A")</f>
        <v>#N/A</v>
      </c>
      <c r="F46" s="105" t="str">
        <f>IFERROR(__xludf.DUMMYFUNCTION("FILTER(RawData_SemEval!$F$2:$F$398, 
  REGEXMATCH(RawData_SemEval!$A$2:$A$398, ""(?i)"" &amp; $A$29), 
  REGEXMATCH(RawData_SemEval!$A$2:$A$398, ""(?i)"" &amp; $E$1), 
  REGEXMATCH(RawData_SemEval!$A$2:$A$398, ""(?i)gpt_title_description""), 
  NOT(REGEXMATCH(Raw"&amp;"Data_SemEval!$A$2:$A$398,  ""(?i)ensemble"")),NOT(REGEXMATCH(RawData_SemEval!$A$2:$A$398,  ""(?i)complete""))
)"),"#N/A")</f>
        <v>#N/A</v>
      </c>
      <c r="G46" s="106" t="str">
        <f>IFERROR(__xludf.DUMMYFUNCTION("FILTER(RawData_SemEval!$B$2:$B$398, 
  REGEXMATCH(RawData_SemEval!$A$2:$A$398, ""(?i)"" &amp; $A$29), 
  REGEXMATCH(RawData_SemEval!$A$2:$A$398, ""(?i)"" &amp; $G$1), 
  REGEXMATCH(RawData_SemEval!$A$2:$A$398, ""(?i)gpt_title_description""), 
  NOT(REGEXMATCH(Raw"&amp;"Data_SemEval!$A$2:$A$398,  ""(?i)ensemble"")),NOT(REGEXMATCH(RawData_SemEval!$A$2:$A$398,  ""(?i)complete""))
)"),"#REF!")</f>
        <v>#REF!</v>
      </c>
      <c r="H46" s="105" t="str">
        <f>IFERROR(__xludf.DUMMYFUNCTION("FILTER(RawData_SemEval!$F$2:$F$398, 
  REGEXMATCH(RawData_SemEval!$A$2:$A$398, ""(?i)"" &amp; $A$29), 
  REGEXMATCH(RawData_SemEval!$A$2:$A$398, ""(?i)"" &amp; $G$1), 
  REGEXMATCH(RawData_SemEval!$A$2:$A$398, ""(?i)gpt_title_description""), 
  NOT(REGEXMATCH(Raw"&amp;"Data_SemEval!$A$2:$A$398,  ""(?i)ensemble"")),NOT(REGEXMATCH(RawData_SemEval!$A$2:$A$398,  ""(?i)complete""))
)"),"#REF!")</f>
        <v>#REF!</v>
      </c>
    </row>
    <row r="47">
      <c r="A47" s="104"/>
      <c r="B47" s="7" t="s">
        <v>74</v>
      </c>
      <c r="C47" s="105" t="str">
        <f>IFERROR(__xludf.DUMMYFUNCTION("FILTER(RawData_SemEval!$B$2:$B$398, 
  REGEXMATCH(RawData_SemEval!$A$2:$A$398, ""(?i)"" &amp; $A$29), 
  REGEXMATCH(RawData_SemEval!$A$2:$A$398, ""(?i)"" &amp; $C$1), 
  REGEXMATCH(RawData_SemEval!$A$2:$A$398, ""(?i)gpt_title_description""), 
  REGEXMATCH(RawData"&amp;"_SemEval!$A$2:$A$398, ""(?i)"" &amp; $B$5),NOT(REGEXMATCH(RawData_SemEval!$A$2:$A$398,  ""(?i)complete""))
)"),"#N/A")</f>
        <v>#N/A</v>
      </c>
      <c r="D47" s="105" t="str">
        <f>IFERROR(__xludf.DUMMYFUNCTION("FILTER(RawData_SemEval!$F$2:$F$398, 
  REGEXMATCH(RawData_SemEval!$A$2:$A$398, ""(?i)"" &amp; $A$29), 
  REGEXMATCH(RawData_SemEval!$A$2:$A$398, ""(?i)"" &amp; $C$1), 
  REGEXMATCH(RawData_SemEval!$A$2:$A$398, ""(?i)gpt_title_description""), 
  REGEXMATCH(RawData"&amp;"_SemEval!$A$2:$A$398, ""(?i)"" &amp; $B$5),NOT(REGEXMATCH(RawData_SemEval!$A$2:$A$398,  ""(?i)complete""))
)"),"#N/A")</f>
        <v>#N/A</v>
      </c>
      <c r="E47" s="106" t="str">
        <f>IFERROR(__xludf.DUMMYFUNCTION("FILTER(RawData_SemEval!$B$2:$B$398, 
  REGEXMATCH(RawData_SemEval!$A$2:$A$398, ""(?i)"" &amp; $A$29), 
  REGEXMATCH(RawData_SemEval!$A$2:$A$398, ""(?i)"" &amp; $E$1), 
  REGEXMATCH(RawData_SemEval!$A$2:$A$398, ""(?i)gpt_title_description""), 
  REGEXMATCH(RawData"&amp;"_SemEval!$A$2:$A$398, ""(?i)"" &amp; $B$5),NOT(REGEXMATCH(RawData_SemEval!$A$2:$A$398,  ""(?i)complete""))
)"),"#N/A")</f>
        <v>#N/A</v>
      </c>
      <c r="F47" s="105" t="str">
        <f>IFERROR(__xludf.DUMMYFUNCTION("FILTER(RawData_SemEval!$F$2:$F$398, 
  REGEXMATCH(RawData_SemEval!$A$2:$A$398, ""(?i)"" &amp; $A$29), 
  REGEXMATCH(RawData_SemEval!$A$2:$A$398, ""(?i)"" &amp; $E$1), 
  REGEXMATCH(RawData_SemEval!$A$2:$A$398, ""(?i)gpt_title_description""), 
  REGEXMATCH(RawData"&amp;"_SemEval!$A$2:$A$398, ""(?i)"" &amp; $B$5),NOT(REGEXMATCH(RawData_SemEval!$A$2:$A$398,  ""(?i)complete""))
)"),"#N/A")</f>
        <v>#N/A</v>
      </c>
      <c r="G47" s="106" t="str">
        <f>IFERROR(__xludf.DUMMYFUNCTION("FILTER(RawData_SemEval!$B$2:$B$398, 
  REGEXMATCH(RawData_SemEval!$A$2:$A$398, ""(?i)"" &amp; $A$29), 
  REGEXMATCH(RawData_SemEval!$A$2:$A$398, ""(?i)"" &amp; $G$1), 
  REGEXMATCH(RawData_SemEval!$A$2:$A$398, ""(?i)gpt_title_description""), 
  REGEXMATCH(RawData"&amp;"_SemEval!$A$2:$A$398, ""(?i)"" &amp; $B$5),NOT(REGEXMATCH(RawData_SemEval!$A$2:$A$398,  ""(?i)complete""))
)"),"#N/A")</f>
        <v>#N/A</v>
      </c>
      <c r="H47" s="105" t="str">
        <f>IFERROR(__xludf.DUMMYFUNCTION("FILTER(RawData_SemEval!$F$2:$F$398, 
  REGEXMATCH(RawData_SemEval!$A$2:$A$398, ""(?i)"" &amp; $A$29), 
  REGEXMATCH(RawData_SemEval!$A$2:$A$398, ""(?i)"" &amp; $G$1), 
  REGEXMATCH(RawData_SemEval!$A$2:$A$398, ""(?i)gpt_title_description""), 
  REGEXMATCH(RawData"&amp;"_SemEval!$A$2:$A$398, ""(?i)"" &amp; $B$5),NOT(REGEXMATCH(RawData_SemEval!$A$2:$A$398,  ""(?i)complete""))
)"),"#N/A")</f>
        <v>#N/A</v>
      </c>
    </row>
    <row r="48">
      <c r="A48" s="104"/>
      <c r="B48" s="74" t="s">
        <v>75</v>
      </c>
      <c r="C48" s="107" t="str">
        <f>IFERROR(__xludf.DUMMYFUNCTION("FILTER(RawData_SemEval!$B$2:$B$398, 
  REGEXMATCH(RawData_SemEval!$A$2:$A$398, ""(?i)"" &amp; $A$29), 
  REGEXMATCH(RawData_SemEval!$A$2:$A$398, ""(?i)"" &amp; $C$1), 
  REGEXMATCH(RawData_SemEval!$A$2:$A$398, ""(?i)gpt_title_description""), 
  REGEXMATCH(RawData"&amp;"_SemEval!$A$2:$A$398, ""(?i)"" &amp; $B$6),NOT(REGEXMATCH(RawData_SemEval!$A$2:$A$398,  ""(?i)complete""))
)"),"#N/A")</f>
        <v>#N/A</v>
      </c>
      <c r="D48" s="107" t="str">
        <f>IFERROR(__xludf.DUMMYFUNCTION("FILTER(RawData_SemEval!$F$2:$F$398, 
  REGEXMATCH(RawData_SemEval!$A$2:$A$398, ""(?i)"" &amp; $A$29), 
  REGEXMATCH(RawData_SemEval!$A$2:$A$398, ""(?i)"" &amp; $C$1), 
  REGEXMATCH(RawData_SemEval!$A$2:$A$398, ""(?i)gpt_title_description""), 
  REGEXMATCH(RawData"&amp;"_SemEval!$A$2:$A$398, ""(?i)"" &amp; $B$6),NOT(REGEXMATCH(RawData_SemEval!$A$2:$A$398,  ""(?i)complete""))
)"),"#N/A")</f>
        <v>#N/A</v>
      </c>
      <c r="E48" s="108" t="str">
        <f>IFERROR(__xludf.DUMMYFUNCTION("FILTER(RawData_SemEval!$B$2:$B$398, 
  REGEXMATCH(RawData_SemEval!$A$2:$A$398, ""(?i)"" &amp; $A$29), 
  REGEXMATCH(RawData_SemEval!$A$2:$A$398, ""(?i)"" &amp; $E$1), 
  REGEXMATCH(RawData_SemEval!$A$2:$A$398, ""(?i)gpt_title_description""), 
  REGEXMATCH(RawData"&amp;"_SemEval!$A$2:$A$398, ""(?i)"" &amp; $B$6),NOT(REGEXMATCH(RawData_SemEval!$A$2:$A$398,  ""(?i)complete""))
)"),"#N/A")</f>
        <v>#N/A</v>
      </c>
      <c r="F48" s="107" t="str">
        <f>IFERROR(__xludf.DUMMYFUNCTION("FILTER(RawData_SemEval!$F$2:$F$398, 
  REGEXMATCH(RawData_SemEval!$A$2:$A$398, ""(?i)"" &amp; $A$29), 
  REGEXMATCH(RawData_SemEval!$A$2:$A$398, ""(?i)"" &amp; $E$1), 
  REGEXMATCH(RawData_SemEval!$A$2:$A$398, ""(?i)gpt_title_description""), 
  REGEXMATCH(RawData"&amp;"_SemEval!$A$2:$A$398, ""(?i)"" &amp; $B$6),NOT(REGEXMATCH(RawData_SemEval!$A$2:$A$398,  ""(?i)complete""))
)"),"#N/A")</f>
        <v>#N/A</v>
      </c>
      <c r="G48" s="108" t="str">
        <f>IFERROR(__xludf.DUMMYFUNCTION("FILTER(RawData_SemEval!$B$2:$B$398, 
  REGEXMATCH(RawData_SemEval!$A$2:$A$398, ""(?i)"" &amp; $A$29), 
  REGEXMATCH(RawData_SemEval!$A$2:$A$398, ""(?i)"" &amp; $G$1), 
  REGEXMATCH(RawData_SemEval!$A$2:$A$398, ""(?i)gpt_title_description""), 
  REGEXMATCH(RawData"&amp;"_SemEval!$A$2:$A$398, ""(?i)"" &amp; $B$6),NOT(REGEXMATCH(RawData_SemEval!$A$2:$A$398,  ""(?i)complete""))
)"),"#N/A")</f>
        <v>#N/A</v>
      </c>
      <c r="H48" s="107" t="str">
        <f>IFERROR(__xludf.DUMMYFUNCTION("FILTER(RawData_SemEval!$F$2:$F$398, 
  REGEXMATCH(RawData_SemEval!$A$2:$A$398, ""(?i)"" &amp; $A$29), 
  REGEXMATCH(RawData_SemEval!$A$2:$A$398, ""(?i)"" &amp; $G$1), 
  REGEXMATCH(RawData_SemEval!$A$2:$A$398, ""(?i)gpt_title_description""), 
  REGEXMATCH(RawData"&amp;"_SemEval!$A$2:$A$398, ""(?i)"" &amp; $B$6),NOT(REGEXMATCH(RawData_SemEval!$A$2:$A$398,  ""(?i)complete""))
)"),"#N/A")</f>
        <v>#N/A</v>
      </c>
    </row>
    <row r="49">
      <c r="A49" s="104" t="s">
        <v>2208</v>
      </c>
      <c r="B49" s="7" t="s">
        <v>29</v>
      </c>
      <c r="C49" s="109"/>
      <c r="D49" s="109"/>
      <c r="E49" s="106" t="str">
        <f>IFERROR(__xludf.DUMMYFUNCTION("FILTER(RawData_SemEval!$B$2:$B$398, 
  REGEXMATCH(RawData_SemEval!$A$2:$A$398, ""(?i)"" &amp; $A$29), 
  REGEXMATCH(RawData_SemEval!$A$2:$A$398, ""(?i)"" &amp; $E$1), 
  REGEXMATCH(RawData_SemEval!$A$2:$A$398, ""(?i)gpt_title_description_complete""), 
  NOT(REGEX"&amp;"MATCH(RawData_SemEval!$A$2:$A$398,  ""(?i)ensemble""))
)"),"#N/A")</f>
        <v>#N/A</v>
      </c>
      <c r="F49" s="105" t="str">
        <f>IFERROR(__xludf.DUMMYFUNCTION("FILTER(RawData_SemEval!$F$2:$F$398, 
  REGEXMATCH(RawData_SemEval!$A$2:$A$398, ""(?i)"" &amp; $A$29), 
  REGEXMATCH(RawData_SemEval!$A$2:$A$398, ""(?i)"" &amp; $E$1), 
  REGEXMATCH(RawData_SemEval!$A$2:$A$398, ""(?i)gpt_title_description_complete""), 
  NOT(REGEX"&amp;"MATCH(RawData_SemEval!$A$2:$A$398,  ""(?i)ensemble""))
)"),"#N/A")</f>
        <v>#N/A</v>
      </c>
      <c r="G49" s="106" t="str">
        <f>IFERROR(__xludf.DUMMYFUNCTION("FILTER(RawData_SemEval!$B$2:$B$398, 
  REGEXMATCH(RawData_SemEval!$A$2:$A$398, ""(?i)"" &amp; $A$29), 
  REGEXMATCH(RawData_SemEval!$A$2:$A$398, ""(?i)"" &amp; $G$1), 
  REGEXMATCH(RawData_SemEval!$A$2:$A$398, ""(?i)gpt_title_description_complete""), 
  NOT(REGEX"&amp;"MATCH(RawData_SemEval!$A$2:$A$398,  ""(?i)ensemble""))
)"),"#REF!")</f>
        <v>#REF!</v>
      </c>
      <c r="H49" s="105" t="str">
        <f>IFERROR(__xludf.DUMMYFUNCTION("FILTER(RawData_SemEval!$F$2:$F$398, 
  REGEXMATCH(RawData_SemEval!$A$2:$A$398, ""(?i)"" &amp; $A$29), 
  REGEXMATCH(RawData_SemEval!$A$2:$A$398, ""(?i)"" &amp; $G$1), 
  REGEXMATCH(RawData_SemEval!$A$2:$A$398, ""(?i)gpt_title_description_complete""), 
  NOT(REGEX"&amp;"MATCH(RawData_SemEval!$A$2:$A$398,  ""(?i)ensemble""))
)"),"#REF!")</f>
        <v>#REF!</v>
      </c>
    </row>
    <row r="50">
      <c r="A50" s="104"/>
      <c r="B50" s="7" t="s">
        <v>74</v>
      </c>
      <c r="C50" s="109"/>
      <c r="D50" s="109"/>
      <c r="E50" s="106" t="str">
        <f>IFERROR(__xludf.DUMMYFUNCTION("FILTER(RawData_SemEval!$B$2:$B$398, 
  REGEXMATCH(RawData_SemEval!$A$2:$A$398, ""(?i)"" &amp; $A$29), 
  REGEXMATCH(RawData_SemEval!$A$2:$A$398, ""(?i)"" &amp; $E$1), 
  REGEXMATCH(RawData_SemEval!$A$2:$A$398, ""(?i)gpt_title_description_complete""), 
  REGEXMATC"&amp;"H(RawData_SemEval!$A$2:$A$398, ""(?i)"" &amp; $B$5)
)"),"#N/A")</f>
        <v>#N/A</v>
      </c>
      <c r="F50" s="105" t="str">
        <f>IFERROR(__xludf.DUMMYFUNCTION("FILTER(RawData_SemEval!$F$2:$F$398, 
  REGEXMATCH(RawData_SemEval!$A$2:$A$398, ""(?i)"" &amp; $A$29), 
  REGEXMATCH(RawData_SemEval!$A$2:$A$398, ""(?i)"" &amp; $E$1), 
  REGEXMATCH(RawData_SemEval!$A$2:$A$398, ""(?i)gpt_title_description_complete""), 
  REGEXMATC"&amp;"H(RawData_SemEval!$A$2:$A$398, ""(?i)"" &amp; $B$5)
)"),"#N/A")</f>
        <v>#N/A</v>
      </c>
      <c r="G50" s="106" t="str">
        <f>IFERROR(__xludf.DUMMYFUNCTION("FILTER(RawData_SemEval!$B$2:$B$398, 
  REGEXMATCH(RawData_SemEval!$A$2:$A$398, ""(?i)"" &amp; $A$29), 
  REGEXMATCH(RawData_SemEval!$A$2:$A$398, ""(?i)"" &amp; $G$1), 
  REGEXMATCH(RawData_SemEval!$A$2:$A$398, ""(?i)gpt_title_description_complete""), 
  REGEXMATC"&amp;"H(RawData_SemEval!$A$2:$A$398, ""(?i)"" &amp; $B$5)
)"),"#N/A")</f>
        <v>#N/A</v>
      </c>
      <c r="H50" s="105" t="str">
        <f>IFERROR(__xludf.DUMMYFUNCTION("FILTER(RawData_SemEval!$F$2:$F$398, 
  REGEXMATCH(RawData_SemEval!$A$2:$A$398, ""(?i)"" &amp; $A$29), 
  REGEXMATCH(RawData_SemEval!$A$2:$A$398, ""(?i)"" &amp; $G$1), 
  REGEXMATCH(RawData_SemEval!$A$2:$A$398, ""(?i)gpt_title_description_complete""), 
  REGEXMATC"&amp;"H(RawData_SemEval!$A$2:$A$398, ""(?i)"" &amp; $B$5)
)"),"#N/A")</f>
        <v>#N/A</v>
      </c>
    </row>
    <row r="51">
      <c r="A51" s="111"/>
      <c r="B51" s="75" t="s">
        <v>75</v>
      </c>
      <c r="C51" s="110"/>
      <c r="D51" s="110"/>
      <c r="E51" s="108" t="str">
        <f>IFERROR(__xludf.DUMMYFUNCTION("FILTER(RawData_SemEval!$B$2:$B$398, 
  REGEXMATCH(RawData_SemEval!$A$2:$A$398, ""(?i)"" &amp; $A$29), 
  REGEXMATCH(RawData_SemEval!$A$2:$A$398, ""(?i)"" &amp; $E$1), 
  REGEXMATCH(RawData_SemEval!$A$2:$A$398, ""(?i)gpt_title_description_complete""), 
  REGEXMATC"&amp;"H(RawData_SemEval!$A$2:$A$398, ""(?i)"" &amp; $B$6)
)"),"#N/A")</f>
        <v>#N/A</v>
      </c>
      <c r="F51" s="107" t="str">
        <f>IFERROR(__xludf.DUMMYFUNCTION("FILTER(RawData_SemEval!$F$2:$F$398, 
  REGEXMATCH(RawData_SemEval!$A$2:$A$398, ""(?i)"" &amp; $A$29), 
  REGEXMATCH(RawData_SemEval!$A$2:$A$398, ""(?i)"" &amp; $E$1), 
  REGEXMATCH(RawData_SemEval!$A$2:$A$398, ""(?i)gpt_title_description_complete""), 
  REGEXMATC"&amp;"H(RawData_SemEval!$A$2:$A$398, ""(?i)"" &amp; $B$6)
)"),"#N/A")</f>
        <v>#N/A</v>
      </c>
      <c r="G51" s="108" t="str">
        <f>IFERROR(__xludf.DUMMYFUNCTION("FILTER(RawData_SemEval!$B$2:$B$398, 
  REGEXMATCH(RawData_SemEval!$A$2:$A$398, ""(?i)"" &amp; $A$29), 
  REGEXMATCH(RawData_SemEval!$A$2:$A$398, ""(?i)"" &amp; $G$1), 
  REGEXMATCH(RawData_SemEval!$A$2:$A$398, ""(?i)gpt_title_description_complete""), 
  REGEXMATC"&amp;"H(RawData_SemEval!$A$2:$A$398, ""(?i)"" &amp; $B$6)
)"),"#N/A")</f>
        <v>#N/A</v>
      </c>
      <c r="H51" s="107" t="str">
        <f>IFERROR(__xludf.DUMMYFUNCTION("FILTER(RawData_SemEval!$F$2:$F$398, 
  REGEXMATCH(RawData_SemEval!$A$2:$A$398, ""(?i)"" &amp; $A$29), 
  REGEXMATCH(RawData_SemEval!$A$2:$A$398, ""(?i)"" &amp; $G$1), 
  REGEXMATCH(RawData_SemEval!$A$2:$A$398, ""(?i)gpt_title_description_complete""), 
  REGEXMATC"&amp;"H(RawData_SemEval!$A$2:$A$398, ""(?i)"" &amp; $B$6)
)"),"#N/A")</f>
        <v>#N/A</v>
      </c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</row>
    <row r="52">
      <c r="A52" s="7" t="s">
        <v>1988</v>
      </c>
      <c r="B52" s="70" t="s">
        <v>21</v>
      </c>
      <c r="C52" s="105" t="str">
        <f>IFERROR(__xludf.DUMMYFUNCTION("FILTER(RawData_SemEval!$B$2:$B$398, 
  REGEXMATCH(RawData_SemEval!$A$2:$A$398, ""(?i)"" &amp; $A$53), 
  REGEXMATCH(RawData_SemEval!$A$2:$A$398, ""(?i)"" &amp; $C$1), 
  REGEXMATCH(RawData_SemEval!$A$2:$A$398, ""(?i)"" &amp; $B$4), 
  NOT(REGEXMATCH(RawData_SemEval!$"&amp;"A$2:$A$398,  ""(?i)ensemble""))
)"),"#REF!")</f>
        <v>#REF!</v>
      </c>
      <c r="D52" s="105" t="str">
        <f>IFERROR(__xludf.DUMMYFUNCTION("FILTER(RawData_SemEval!$F$2:$F$398, 
  REGEXMATCH(RawData_SemEval!$A$2:$A$398, ""(?i)"" &amp; $A$53), 
  REGEXMATCH(RawData_SemEval!$A$2:$A$398, ""(?i)"" &amp; $C$1), 
  REGEXMATCH(RawData_SemEval!$A$2:$A$398, ""(?i)"" &amp; $B$4), 
  NOT(REGEXMATCH(RawData_SemEval!$"&amp;"A$2:$A$398,  ""(?i)ensemble""))
)"),"#REF!")</f>
        <v>#REF!</v>
      </c>
      <c r="E52" s="106" t="str">
        <f>IFERROR(__xludf.DUMMYFUNCTION("FILTER(RawData_SemEval!$B$2:$B$398, 
  REGEXMATCH(RawData_SemEval!$A$2:$A$398, ""(?i)"" &amp; $A$53), 
  REGEXMATCH(RawData_SemEval!$A$2:$A$398, ""(?i)"" &amp; $E$1), 
  REGEXMATCH(RawData_SemEval!$A$2:$A$398, ""(?i)"" &amp; $B$4), 
  NOT(REGEXMATCH(RawData_SemEval!$"&amp;"A$2:$A$398,  ""(?i)ensemble""))
)"),"#N/A")</f>
        <v>#N/A</v>
      </c>
      <c r="F52" s="105" t="str">
        <f>IFERROR(__xludf.DUMMYFUNCTION("FILTER(RawData_SemEval!$F$2:$F$398, 
  REGEXMATCH(RawData_SemEval!$A$2:$A$398, ""(?i)"" &amp; $A$53), 
  REGEXMATCH(RawData_SemEval!$A$2:$A$398, ""(?i)"" &amp; $E$1), 
  REGEXMATCH(RawData_SemEval!$A$2:$A$398, ""(?i)"" &amp; $B$4), 
  NOT(REGEXMATCH(RawData_SemEval!$"&amp;"A$2:$A$398,  ""(?i)ensemble""))
)"),"#N/A")</f>
        <v>#N/A</v>
      </c>
      <c r="G52" s="106" t="str">
        <f>IFERROR(__xludf.DUMMYFUNCTION("FILTER(RawData_SemEval!$B$2:$B$398, 
  REGEXMATCH(RawData_SemEval!$A$2:$A$398, ""(?i)"" &amp; $A$53), 
  REGEXMATCH(RawData_SemEval!$A$2:$A$398, ""(?i)"" &amp; $G$1), 
  REGEXMATCH(RawData_SemEval!$A$2:$A$398, ""(?i)"" &amp; $B$4), 
  NOT(REGEXMATCH(RawData_SemEval!$"&amp;"A$2:$A$398,  ""(?i)ensemble""))
)"),"#REF!")</f>
        <v>#REF!</v>
      </c>
      <c r="H52" s="105" t="str">
        <f>IFERROR(__xludf.DUMMYFUNCTION("FILTER(RawData_SemEval!$F$2:$F$398, 
  REGEXMATCH(RawData_SemEval!$A$2:$A$398, ""(?i)"" &amp; $A$53), 
  REGEXMATCH(RawData_SemEval!$A$2:$A$398, ""(?i)"" &amp; $G$1), 
  REGEXMATCH(RawData_SemEval!$A$2:$A$398, ""(?i)"" &amp; $B$4), 
  NOT(REGEXMATCH(RawData_SemEval!$"&amp;"A$2:$A$398,  ""(?i)ensemble""))
)"),"#REF!")</f>
        <v>#REF!</v>
      </c>
    </row>
    <row r="53">
      <c r="A53" s="104" t="s">
        <v>16</v>
      </c>
      <c r="B53" s="70" t="s">
        <v>74</v>
      </c>
      <c r="C53" s="105" t="str">
        <f>IFERROR(__xludf.DUMMYFUNCTION("FILTER(RawData_SemEval!$B$2:$B$398, 
  REGEXMATCH(RawData_SemEval!$A$2:$A$398, ""(?i)"" &amp; $A$53), 
  REGEXMATCH(RawData_SemEval!$A$2:$A$398, ""(?i)"" &amp; $C$1), 
  REGEXMATCH(RawData_SemEval!$A$2:$A$398, ""(?i)"" &amp; $B$4), 
  REGEXMATCH(RawData_SemEval!$A$2:"&amp;"$A$398, ""(?i)"" &amp; $B$5)
)"),"#N/A")</f>
        <v>#N/A</v>
      </c>
      <c r="D53" s="105" t="str">
        <f>IFERROR(__xludf.DUMMYFUNCTION("FILTER(RawData_SemEval!$F$2:$F$398, 
  REGEXMATCH(RawData_SemEval!$A$2:$A$398, ""(?i)"" &amp; $A$53), 
  REGEXMATCH(RawData_SemEval!$A$2:$A$398, ""(?i)"" &amp; $C$1), 
  REGEXMATCH(RawData_SemEval!$A$2:$A$398, ""(?i)"" &amp; $B$4), 
  REGEXMATCH(RawData_SemEval!$A$2:"&amp;"$A$398, ""(?i)"" &amp; $B$5)
)"),"#N/A")</f>
        <v>#N/A</v>
      </c>
      <c r="E53" s="106" t="str">
        <f>IFERROR(__xludf.DUMMYFUNCTION("FILTER(RawData_SemEval!$B$2:$B$398, 
  REGEXMATCH(RawData_SemEval!$A$2:$A$398, ""(?i)"" &amp; $A$53), 
  REGEXMATCH(RawData_SemEval!$A$2:$A$398, ""(?i)"" &amp; $E$1), 
  REGEXMATCH(RawData_SemEval!$A$2:$A$398, ""(?i)"" &amp; $B$4), 
  REGEXMATCH(RawData_SemEval!$A$2:"&amp;"$A$398, ""(?i)"" &amp; $B$5)
)"),"#N/A")</f>
        <v>#N/A</v>
      </c>
      <c r="F53" s="105" t="str">
        <f>IFERROR(__xludf.DUMMYFUNCTION("FILTER(RawData_SemEval!$F$2:$F$398, 
  REGEXMATCH(RawData_SemEval!$A$2:$A$398, ""(?i)"" &amp; $A$53), 
  REGEXMATCH(RawData_SemEval!$A$2:$A$398, ""(?i)"" &amp; $E$1), 
  REGEXMATCH(RawData_SemEval!$A$2:$A$398, ""(?i)"" &amp; $B$4), 
  REGEXMATCH(RawData_SemEval!$A$2:"&amp;"$A$398, ""(?i)"" &amp; $B$5)
)"),"#N/A")</f>
        <v>#N/A</v>
      </c>
      <c r="G53" s="106" t="str">
        <f>IFERROR(__xludf.DUMMYFUNCTION("FILTER(RawData_SemEval!$B$2:$B$398, 
  REGEXMATCH(RawData_SemEval!$A$2:$A$398, ""(?i)"" &amp; $A$53), 
  REGEXMATCH(RawData_SemEval!$A$2:$A$398, ""(?i)"" &amp; $G$1), 
  REGEXMATCH(RawData_SemEval!$A$2:$A$398, ""(?i)"" &amp; $B$4), 
  REGEXMATCH(RawData_SemEval!$A$2:"&amp;"$A$398, ""(?i)"" &amp; $B$5)
)"),"#N/A")</f>
        <v>#N/A</v>
      </c>
      <c r="H53" s="105" t="str">
        <f>IFERROR(__xludf.DUMMYFUNCTION("FILTER(RawData_SemEval!$F$2:$F$398, 
  REGEXMATCH(RawData_SemEval!$A$2:$A$398, ""(?i)"" &amp; $A$53), 
  REGEXMATCH(RawData_SemEval!$A$2:$A$398, ""(?i)"" &amp; $G$1), 
  REGEXMATCH(RawData_SemEval!$A$2:$A$398, ""(?i)"" &amp; $B$4), 
  REGEXMATCH(RawData_SemEval!$A$2:"&amp;"$A$398, ""(?i)"" &amp; $B$5)
)"),"#N/A")</f>
        <v>#N/A</v>
      </c>
    </row>
    <row r="54">
      <c r="A54" s="104"/>
      <c r="B54" s="74" t="s">
        <v>75</v>
      </c>
      <c r="C54" s="107" t="str">
        <f>IFERROR(__xludf.DUMMYFUNCTION("FILTER(RawData_SemEval!$B$2:$B$398, 
  REGEXMATCH(RawData_SemEval!$A$2:$A$398, ""(?i)"" &amp; $A$53), 
  REGEXMATCH(RawData_SemEval!$A$2:$A$398, ""(?i)"" &amp; $C$1), 
  REGEXMATCH(RawData_SemEval!$A$2:$A$398, ""(?i)"" &amp; $B$4), 
  REGEXMATCH(RawData_SemEval!$A$2:"&amp;"$A$398, ""(?i)"" &amp; $B$6)
)"),"#N/A")</f>
        <v>#N/A</v>
      </c>
      <c r="D54" s="107" t="str">
        <f>IFERROR(__xludf.DUMMYFUNCTION("FILTER(RawData_SemEval!$F$2:$F$398, 
  REGEXMATCH(RawData_SemEval!$A$2:$A$398, ""(?i)"" &amp; $A$53), 
  REGEXMATCH(RawData_SemEval!$A$2:$A$398, ""(?i)"" &amp; $C$1), 
  REGEXMATCH(RawData_SemEval!$A$2:$A$398, ""(?i)"" &amp; $B$4), 
  REGEXMATCH(RawData_SemEval!$A$2:"&amp;"$A$398, ""(?i)"" &amp; $B$6)
)"),"#N/A")</f>
        <v>#N/A</v>
      </c>
      <c r="E54" s="108" t="str">
        <f>IFERROR(__xludf.DUMMYFUNCTION("FILTER(RawData_SemEval!$B$2:$B$398, 
  REGEXMATCH(RawData_SemEval!$A$2:$A$398, ""(?i)"" &amp; $A$53), 
  REGEXMATCH(RawData_SemEval!$A$2:$A$398, ""(?i)"" &amp; $E$1), 
  REGEXMATCH(RawData_SemEval!$A$2:$A$398, ""(?i)"" &amp; $B$4), 
  REGEXMATCH(RawData_SemEval!$A$2:"&amp;"$A$398, ""(?i)"" &amp; $B$6)
)"),"#N/A")</f>
        <v>#N/A</v>
      </c>
      <c r="F54" s="107" t="str">
        <f>IFERROR(__xludf.DUMMYFUNCTION("FILTER(RawData_SemEval!$F$2:$F$398, 
  REGEXMATCH(RawData_SemEval!$A$2:$A$398, ""(?i)"" &amp; $A$53), 
  REGEXMATCH(RawData_SemEval!$A$2:$A$398, ""(?i)"" &amp; $E$1), 
  REGEXMATCH(RawData_SemEval!$A$2:$A$398, ""(?i)"" &amp; $B$4), 
  REGEXMATCH(RawData_SemEval!$A$2:"&amp;"$A$398, ""(?i)"" &amp; $B$6)
)"),"#N/A")</f>
        <v>#N/A</v>
      </c>
      <c r="G54" s="108" t="str">
        <f>IFERROR(__xludf.DUMMYFUNCTION("FILTER(RawData_SemEval!$B$2:$B$398, 
  REGEXMATCH(RawData_SemEval!$A$2:$A$398, ""(?i)"" &amp; $A$53), 
  REGEXMATCH(RawData_SemEval!$A$2:$A$398, ""(?i)"" &amp; $G$1), 
  REGEXMATCH(RawData_SemEval!$A$2:$A$398, ""(?i)"" &amp; $B$4), 
  REGEXMATCH(RawData_SemEval!$A$2:"&amp;"$A$398, ""(?i)"" &amp; $B$6)
)"),"#N/A")</f>
        <v>#N/A</v>
      </c>
      <c r="H54" s="107" t="str">
        <f>IFERROR(__xludf.DUMMYFUNCTION("FILTER(RawData_SemEval!$F$2:$F$398, 
  REGEXMATCH(RawData_SemEval!$A$2:$A$398, ""(?i)"" &amp; $A$53), 
  REGEXMATCH(RawData_SemEval!$A$2:$A$398, ""(?i)"" &amp; $G$1), 
  REGEXMATCH(RawData_SemEval!$A$2:$A$398, ""(?i)"" &amp; $B$4), 
  REGEXMATCH(RawData_SemEval!$A$2:"&amp;"$A$398, ""(?i)"" &amp; $B$6)
)"),"#N/A")</f>
        <v>#N/A</v>
      </c>
    </row>
    <row r="55">
      <c r="A55" s="104" t="s">
        <v>2022</v>
      </c>
      <c r="B55" s="7" t="s">
        <v>26</v>
      </c>
      <c r="C55" s="105" t="str">
        <f>IFERROR(__xludf.DUMMYFUNCTION("FILTER(RawData_SemEval!$B$2:$B$398, 
  REGEXMATCH(RawData_SemEval!$A$2:$A$398, ""(?i)"" &amp; $A$53), 
  REGEXMATCH(RawData_SemEval!$A$2:$A$398, ""(?i)"" &amp; $C$1), 
  REGEXMATCH(RawData_SemEval!$A$2:$A$398, ""(?i)"" &amp; $B$7), 
  NOT(REGEXMATCH(RawData_SemEval!$"&amp;"A$2:$A$398,  ""(?i)ensemble""))
)"),"#REF!")</f>
        <v>#REF!</v>
      </c>
      <c r="D55" s="105" t="str">
        <f>IFERROR(__xludf.DUMMYFUNCTION("FILTER(RawData_SemEval!$F$2:$F$398, 
  REGEXMATCH(RawData_SemEval!$A$2:$A$398, ""(?i)"" &amp; $A$53), 
  REGEXMATCH(RawData_SemEval!$A$2:$A$398, ""(?i)"" &amp; $C$1), 
  REGEXMATCH(RawData_SemEval!$A$2:$A$398, ""(?i)"" &amp; $B$7), 
  NOT(REGEXMATCH(RawData_SemEval!$"&amp;"A$2:$A$398,  ""(?i)ensemble""))
)"),"#REF!")</f>
        <v>#REF!</v>
      </c>
      <c r="E55" s="106" t="str">
        <f>IFERROR(__xludf.DUMMYFUNCTION("FILTER(RawData_SemEval!$B$2:$B$398, 
  REGEXMATCH(RawData_SemEval!$A$2:$A$398, ""(?i)"" &amp; $A$53), 
  REGEXMATCH(RawData_SemEval!$A$2:$A$398, ""(?i)"" &amp; $E$1), 
  REGEXMATCH(RawData_SemEval!$A$2:$A$398, ""(?i)"" &amp; $B$7), 
  NOT(REGEXMATCH(RawData_SemEval!$"&amp;"A$2:$A$398,  ""(?i)ensemble""))
)"),"#N/A")</f>
        <v>#N/A</v>
      </c>
      <c r="F55" s="105" t="str">
        <f>IFERROR(__xludf.DUMMYFUNCTION("FILTER(RawData_SemEval!$F$2:$F$398, 
  REGEXMATCH(RawData_SemEval!$A$2:$A$398, ""(?i)"" &amp; $A$53), 
  REGEXMATCH(RawData_SemEval!$A$2:$A$398, ""(?i)"" &amp; $E$1), 
  REGEXMATCH(RawData_SemEval!$A$2:$A$398, ""(?i)"" &amp; $B$7), 
  NOT(REGEXMATCH(RawData_SemEval!$"&amp;"A$2:$A$398,  ""(?i)ensemble""))
)"),"#N/A")</f>
        <v>#N/A</v>
      </c>
      <c r="G55" s="106" t="str">
        <f>IFERROR(__xludf.DUMMYFUNCTION("FILTER(RawData_SemEval!$B$2:$B$398, 
  REGEXMATCH(RawData_SemEval!$A$2:$A$398, ""(?i)"" &amp; $A$53), 
  REGEXMATCH(RawData_SemEval!$A$2:$A$398, ""(?i)"" &amp; $G$1), 
  REGEXMATCH(RawData_SemEval!$A$2:$A$398, ""(?i)"" &amp; $B$7), 
  NOT(REGEXMATCH(RawData_SemEval!$"&amp;"A$2:$A$398,  ""(?i)ensemble""))
)"),"#REF!")</f>
        <v>#REF!</v>
      </c>
      <c r="H55" s="105" t="str">
        <f>IFERROR(__xludf.DUMMYFUNCTION("FILTER(RawData_SemEval!$F$2:$F$398, 
  REGEXMATCH(RawData_SemEval!$A$2:$A$398, ""(?i)"" &amp; $A$53), 
  REGEXMATCH(RawData_SemEval!$A$2:$A$398, ""(?i)"" &amp; $G$1), 
  REGEXMATCH(RawData_SemEval!$A$2:$A$398, ""(?i)"" &amp; $B$7), 
  NOT(REGEXMATCH(RawData_SemEval!$"&amp;"A$2:$A$398,  ""(?i)ensemble""))
)"),"#REF!")</f>
        <v>#REF!</v>
      </c>
    </row>
    <row r="56">
      <c r="A56" s="104"/>
      <c r="B56" s="7" t="s">
        <v>74</v>
      </c>
      <c r="C56" s="105" t="str">
        <f>IFERROR(__xludf.DUMMYFUNCTION("FILTER(RawData_SemEval!$B$2:$B$398, 
  REGEXMATCH(RawData_SemEval!$A$2:$A$398, ""(?i)"" &amp; $A$53), 
  REGEXMATCH(RawData_SemEval!$A$2:$A$398, ""(?i)"" &amp; $C$1), 
  REGEXMATCH(RawData_SemEval!$A$2:$A$398, ""(?i)"" &amp; $B$7), 
  REGEXMATCH(RawData_SemEval!$A$2:"&amp;"$A$398, ""(?i)"" &amp; $B$5)
)"),"#N/A")</f>
        <v>#N/A</v>
      </c>
      <c r="D56" s="105" t="str">
        <f>IFERROR(__xludf.DUMMYFUNCTION("FILTER(RawData_SemEval!$F$2:$F$398, 
  REGEXMATCH(RawData_SemEval!$A$2:$A$398, ""(?i)"" &amp; $A$53), 
  REGEXMATCH(RawData_SemEval!$A$2:$A$398, ""(?i)"" &amp; $C$1), 
  REGEXMATCH(RawData_SemEval!$A$2:$A$398, ""(?i)"" &amp; $B$7), 
  REGEXMATCH(RawData_SemEval!$A$2:"&amp;"$A$398, ""(?i)"" &amp; $B$5)
)"),"#N/A")</f>
        <v>#N/A</v>
      </c>
      <c r="E56" s="106" t="str">
        <f>IFERROR(__xludf.DUMMYFUNCTION("FILTER(RawData_SemEval!$B$2:$B$398, 
  REGEXMATCH(RawData_SemEval!$A$2:$A$398, ""(?i)"" &amp; $A$53), 
  REGEXMATCH(RawData_SemEval!$A$2:$A$398, ""(?i)"" &amp; $E$1), 
  REGEXMATCH(RawData_SemEval!$A$2:$A$398, ""(?i)"" &amp; $B$7), 
  REGEXMATCH(RawData_SemEval!$A$2:"&amp;"$A$398, ""(?i)"" &amp; $B$5)
)"),"#N/A")</f>
        <v>#N/A</v>
      </c>
      <c r="F56" s="105" t="str">
        <f>IFERROR(__xludf.DUMMYFUNCTION("FILTER(RawData_SemEval!$F$2:$F$398, 
  REGEXMATCH(RawData_SemEval!$A$2:$A$398, ""(?i)"" &amp; $A$53), 
  REGEXMATCH(RawData_SemEval!$A$2:$A$398, ""(?i)"" &amp; $E$1), 
  REGEXMATCH(RawData_SemEval!$A$2:$A$398, ""(?i)"" &amp; $B$7), 
  REGEXMATCH(RawData_SemEval!$A$2:"&amp;"$A$398, ""(?i)"" &amp; $B$5)
)"),"#N/A")</f>
        <v>#N/A</v>
      </c>
      <c r="G56" s="106" t="str">
        <f>IFERROR(__xludf.DUMMYFUNCTION("FILTER(RawData_SemEval!$B$2:$B$398, 
  REGEXMATCH(RawData_SemEval!$A$2:$A$398, ""(?i)"" &amp; $A$53), 
  REGEXMATCH(RawData_SemEval!$A$2:$A$398, ""(?i)"" &amp; $G$1), 
  REGEXMATCH(RawData_SemEval!$A$2:$A$398, ""(?i)"" &amp; $B$7), 
  REGEXMATCH(RawData_SemEval!$A$2:"&amp;"$A$398, ""(?i)"" &amp; $B$5)
)"),"#N/A")</f>
        <v>#N/A</v>
      </c>
      <c r="H56" s="105" t="str">
        <f>IFERROR(__xludf.DUMMYFUNCTION("FILTER(RawData_SemEval!$F$2:$F$398, 
  REGEXMATCH(RawData_SemEval!$A$2:$A$398, ""(?i)"" &amp; $A$53), 
  REGEXMATCH(RawData_SemEval!$A$2:$A$398, ""(?i)"" &amp; $G$1), 
  REGEXMATCH(RawData_SemEval!$A$2:$A$398, ""(?i)"" &amp; $B$7), 
  REGEXMATCH(RawData_SemEval!$A$2:"&amp;"$A$398, ""(?i)"" &amp; $B$5)
)"),"#N/A")</f>
        <v>#N/A</v>
      </c>
    </row>
    <row r="57">
      <c r="A57" s="104"/>
      <c r="B57" s="74" t="s">
        <v>75</v>
      </c>
      <c r="C57" s="107" t="str">
        <f>IFERROR(__xludf.DUMMYFUNCTION("FILTER(RawData_SemEval!$B$2:$B$398, 
  REGEXMATCH(RawData_SemEval!$A$2:$A$398, ""(?i)"" &amp; $A$53), 
  REGEXMATCH(RawData_SemEval!$A$2:$A$398, ""(?i)"" &amp; $C$1), 
  REGEXMATCH(RawData_SemEval!$A$2:$A$398, ""(?i)"" &amp; $B$7), 
  REGEXMATCH(RawData_SemEval!$A$2:"&amp;"$A$398, ""(?i)"" &amp; $B$6)
)"),"#N/A")</f>
        <v>#N/A</v>
      </c>
      <c r="D57" s="107" t="str">
        <f>IFERROR(__xludf.DUMMYFUNCTION("FILTER(RawData_SemEval!$F$2:$F$398, 
  REGEXMATCH(RawData_SemEval!$A$2:$A$398, ""(?i)"" &amp; $A$53), 
  REGEXMATCH(RawData_SemEval!$A$2:$A$398, ""(?i)"" &amp; $C$1), 
  REGEXMATCH(RawData_SemEval!$A$2:$A$398, ""(?i)"" &amp; $B$7), 
  REGEXMATCH(RawData_SemEval!$A$2:"&amp;"$A$398, ""(?i)"" &amp; $B$6)
)"),"#N/A")</f>
        <v>#N/A</v>
      </c>
      <c r="E57" s="108" t="str">
        <f>IFERROR(__xludf.DUMMYFUNCTION("FILTER(RawData_SemEval!$B$2:$B$398, 
  REGEXMATCH(RawData_SemEval!$A$2:$A$398, ""(?i)"" &amp; $A$53), 
  REGEXMATCH(RawData_SemEval!$A$2:$A$398, ""(?i)"" &amp; $E$1), 
  REGEXMATCH(RawData_SemEval!$A$2:$A$398, ""(?i)"" &amp; $B$7), 
  REGEXMATCH(RawData_SemEval!$A$2:"&amp;"$A$398, ""(?i)"" &amp; $B$6)
)"),"#N/A")</f>
        <v>#N/A</v>
      </c>
      <c r="F57" s="107" t="str">
        <f>IFERROR(__xludf.DUMMYFUNCTION("FILTER(RawData_SemEval!$F$2:$F$398, 
  REGEXMATCH(RawData_SemEval!$A$2:$A$398, ""(?i)"" &amp; $A$53), 
  REGEXMATCH(RawData_SemEval!$A$2:$A$398, ""(?i)"" &amp; $E$1), 
  REGEXMATCH(RawData_SemEval!$A$2:$A$398, ""(?i)"" &amp; $B$7), 
  REGEXMATCH(RawData_SemEval!$A$2:"&amp;"$A$398, ""(?i)"" &amp; $B$6)
)"),"#N/A")</f>
        <v>#N/A</v>
      </c>
      <c r="G57" s="108" t="str">
        <f>IFERROR(__xludf.DUMMYFUNCTION("FILTER(RawData_SemEval!$B$2:$B$398, 
  REGEXMATCH(RawData_SemEval!$A$2:$A$398, ""(?i)"" &amp; $A$53), 
  REGEXMATCH(RawData_SemEval!$A$2:$A$398, ""(?i)"" &amp; $G$1), 
  REGEXMATCH(RawData_SemEval!$A$2:$A$398, ""(?i)"" &amp; $B$7), 
  REGEXMATCH(RawData_SemEval!$A$2:"&amp;"$A$398, ""(?i)"" &amp; $B$6)
)"),"#N/A")</f>
        <v>#N/A</v>
      </c>
      <c r="H57" s="107" t="str">
        <f>IFERROR(__xludf.DUMMYFUNCTION("FILTER(RawData_SemEval!$F$2:$F$398, 
  REGEXMATCH(RawData_SemEval!$A$2:$A$398, ""(?i)"" &amp; $A$53), 
  REGEXMATCH(RawData_SemEval!$A$2:$A$398, ""(?i)"" &amp; $G$1), 
  REGEXMATCH(RawData_SemEval!$A$2:$A$398, ""(?i)"" &amp; $B$7), 
  REGEXMATCH(RawData_SemEval!$A$2:"&amp;"$A$398, ""(?i)"" &amp; $B$6)
)"),"#N/A")</f>
        <v>#N/A</v>
      </c>
    </row>
    <row r="58">
      <c r="A58" s="104" t="s">
        <v>2030</v>
      </c>
      <c r="B58" s="7" t="s">
        <v>20</v>
      </c>
      <c r="C58" s="105" t="str">
        <f>IFERROR(__xludf.DUMMYFUNCTION("FILTER(RawData_SemEval!$B$2:$B$398, 
  REGEXMATCH(RawData_SemEval!$A$2:$A$398, ""(?i)"" &amp; $A$58), 
  REGEXMATCH(RawData_SemEval!$A$2:$A$398, ""(?i)"" &amp; $C$1), 
  REGEXMATCH(RawData_SemEval!$A$2:$A$398, ""(?i)"" &amp; $A$53), 
  NOT(REGEXMATCH(RawData_SemEval!"&amp;"$A$2:$A$398,  ""(?i)ensemble""))
)"),"#REF!")</f>
        <v>#REF!</v>
      </c>
      <c r="D58" s="105" t="str">
        <f>IFERROR(__xludf.DUMMYFUNCTION("FILTER(RawData_SemEval!$F$2:$F$398, 
  REGEXMATCH(RawData_SemEval!$A$2:$A$398, ""(?i)"" &amp; $A$58), 
  REGEXMATCH(RawData_SemEval!$A$2:$A$398, ""(?i)"" &amp; $C$1), 
  REGEXMATCH(RawData_SemEval!$A$2:$A$398, ""(?i)"" &amp; $A$53), 
  NOT(REGEXMATCH(RawData_SemEval!"&amp;"$A$2:$A$398,  ""(?i)ensemble""))
)"),"#REF!")</f>
        <v>#REF!</v>
      </c>
      <c r="E58" s="106" t="str">
        <f>IFERROR(__xludf.DUMMYFUNCTION("FILTER(RawData_SemEval!$B$2:$B$398, 
  REGEXMATCH(RawData_SemEval!$A$2:$A$398, ""(?i)"" &amp; $A$58), 
  REGEXMATCH(RawData_SemEval!$A$2:$A$398, ""(?i)"" &amp; $E$1), 
  REGEXMATCH(RawData_SemEval!$A$2:$A$398, ""(?i)"" &amp; $A$53), 
  NOT(REGEXMATCH(RawData_SemEval!"&amp;"$A$2:$A$398,  ""(?i)ensemble""))
)"),"#N/A")</f>
        <v>#N/A</v>
      </c>
      <c r="F58" s="105" t="str">
        <f>IFERROR(__xludf.DUMMYFUNCTION("FILTER(RawData_SemEval!$F$2:$F$398, 
  REGEXMATCH(RawData_SemEval!$A$2:$A$398, ""(?i)"" &amp; $A$58), 
  REGEXMATCH(RawData_SemEval!$A$2:$A$398, ""(?i)"" &amp; $E$1), 
  REGEXMATCH(RawData_SemEval!$A$2:$A$398, ""(?i)"" &amp; $A$53), 
  NOT(REGEXMATCH(RawData_SemEval!"&amp;"$A$2:$A$398,  ""(?i)ensemble""))
)"),"#N/A")</f>
        <v>#N/A</v>
      </c>
      <c r="G58" s="106" t="str">
        <f>IFERROR(__xludf.DUMMYFUNCTION("FILTER(RawData_SemEval!$B$2:$B$398, 
  REGEXMATCH(RawData_SemEval!$A$2:$A$398, ""(?i)"" &amp; $A$58), 
  REGEXMATCH(RawData_SemEval!$A$2:$A$398, ""(?i)"" &amp; $G$1), 
  REGEXMATCH(RawData_SemEval!$A$2:$A$398, ""(?i)"" &amp; $A$53), 
  NOT(REGEXMATCH(RawData_SemEval!"&amp;"$A$2:$A$398,  ""(?i)ensemble""))
)"),"#REF!")</f>
        <v>#REF!</v>
      </c>
      <c r="H58" s="105" t="str">
        <f>IFERROR(__xludf.DUMMYFUNCTION("FILTER(RawData_SemEval!$F$2:$F$398, 
  REGEXMATCH(RawData_SemEval!$A$2:$A$398, ""(?i)"" &amp; $A$58), 
  REGEXMATCH(RawData_SemEval!$A$2:$A$398, ""(?i)"" &amp; $G$1), 
  REGEXMATCH(RawData_SemEval!$A$2:$A$398, ""(?i)"" &amp; $A$53), 
  NOT(REGEXMATCH(RawData_SemEval!"&amp;"$A$2:$A$398,  ""(?i)ensemble""))
)"),"#REF!")</f>
        <v>#REF!</v>
      </c>
    </row>
    <row r="59">
      <c r="A59" s="104"/>
      <c r="B59" s="7" t="s">
        <v>74</v>
      </c>
      <c r="C59" s="105" t="str">
        <f>IFERROR(__xludf.DUMMYFUNCTION("FILTER(RawData_SemEval!$B$2:$B$398, 
  REGEXMATCH(RawData_SemEval!$A$2:$A$398, ""(?i)"" &amp; $A$58), 
  REGEXMATCH(RawData_SemEval!$A$2:$A$398, ""(?i)"" &amp; $C$1), 
  REGEXMATCH(RawData_SemEval!$A$2:$A$398, ""(?i)"" &amp; $A$53), 
  REGEXMATCH(RawData_SemEval!$A$2"&amp;":$A$398, ""(?i)"" &amp; $B$5)
)"),"#N/A")</f>
        <v>#N/A</v>
      </c>
      <c r="D59" s="105" t="str">
        <f>IFERROR(__xludf.DUMMYFUNCTION("FILTER(RawData_SemEval!$F$2:$F$398, 
  REGEXMATCH(RawData_SemEval!$A$2:$A$398, ""(?i)"" &amp; $A$58), 
  REGEXMATCH(RawData_SemEval!$A$2:$A$398, ""(?i)"" &amp; $C$1), 
  REGEXMATCH(RawData_SemEval!$A$2:$A$398, ""(?i)"" &amp; $A$53), 
  REGEXMATCH(RawData_SemEval!$A$2"&amp;":$A$398, ""(?i)"" &amp; $B$5)
)"),"#N/A")</f>
        <v>#N/A</v>
      </c>
      <c r="E59" s="106" t="str">
        <f>IFERROR(__xludf.DUMMYFUNCTION("FILTER(RawData_SemEval!$B$2:$B$398, 
  REGEXMATCH(RawData_SemEval!$A$2:$A$398, ""(?i)"" &amp; $A$58), 
  REGEXMATCH(RawData_SemEval!$A$2:$A$398, ""(?i)"" &amp; $E$1), 
  REGEXMATCH(RawData_SemEval!$A$2:$A$398, ""(?i)"" &amp; $A$53), 
  REGEXMATCH(RawData_SemEval!$A$2"&amp;":$A$398, ""(?i)"" &amp; $B$5)
)"),"#N/A")</f>
        <v>#N/A</v>
      </c>
      <c r="F59" s="105" t="str">
        <f>IFERROR(__xludf.DUMMYFUNCTION("FILTER(RawData_SemEval!$F$2:$F$398, 
  REGEXMATCH(RawData_SemEval!$A$2:$A$398, ""(?i)"" &amp; $A$58), 
  REGEXMATCH(RawData_SemEval!$A$2:$A$398, ""(?i)"" &amp; $E$1), 
  REGEXMATCH(RawData_SemEval!$A$2:$A$398, ""(?i)"" &amp; $A$53), 
  REGEXMATCH(RawData_SemEval!$A$2"&amp;":$A$398, ""(?i)"" &amp; $B$5)
)"),"#N/A")</f>
        <v>#N/A</v>
      </c>
      <c r="G59" s="106" t="str">
        <f>IFERROR(__xludf.DUMMYFUNCTION("FILTER(RawData_SemEval!$B$2:$B$398, 
  REGEXMATCH(RawData_SemEval!$A$2:$A$398, ""(?i)"" &amp; $A$58), 
  REGEXMATCH(RawData_SemEval!$A$2:$A$398, ""(?i)"" &amp; $G$1), 
  REGEXMATCH(RawData_SemEval!$A$2:$A$398, ""(?i)"" &amp; $A$53), 
  REGEXMATCH(RawData_SemEval!$A$2"&amp;":$A$398, ""(?i)"" &amp; $B$5)
)"),"#N/A")</f>
        <v>#N/A</v>
      </c>
      <c r="H59" s="105" t="str">
        <f>IFERROR(__xludf.DUMMYFUNCTION("FILTER(RawData_SemEval!$F$2:$F$398, 
  REGEXMATCH(RawData_SemEval!$A$2:$A$398, ""(?i)"" &amp; $A$58), 
  REGEXMATCH(RawData_SemEval!$A$2:$A$398, ""(?i)"" &amp; $G$1), 
  REGEXMATCH(RawData_SemEval!$A$2:$A$398, ""(?i)"" &amp; $A$53), 
  REGEXMATCH(RawData_SemEval!$A$2"&amp;":$A$398, ""(?i)"" &amp; $B$5)
)"),"#N/A")</f>
        <v>#N/A</v>
      </c>
    </row>
    <row r="60">
      <c r="A60" s="104"/>
      <c r="B60" s="74" t="s">
        <v>75</v>
      </c>
      <c r="C60" s="107" t="str">
        <f>IFERROR(__xludf.DUMMYFUNCTION("FILTER(RawData_SemEval!$B$2:$B$398, 
  REGEXMATCH(RawData_SemEval!$A$2:$A$398, ""(?i)"" &amp; $A$58), 
  REGEXMATCH(RawData_SemEval!$A$2:$A$398, ""(?i)"" &amp; $C$1), 
  REGEXMATCH(RawData_SemEval!$A$2:$A$398, ""(?i)"" &amp; $A$53), 
  REGEXMATCH(RawData_SemEval!$A$2"&amp;":$A$398, ""(?i)"" &amp; $B$6)
)"),"#N/A")</f>
        <v>#N/A</v>
      </c>
      <c r="D60" s="107" t="str">
        <f>IFERROR(__xludf.DUMMYFUNCTION("FILTER(RawData_SemEval!$F$2:$F$398, 
  REGEXMATCH(RawData_SemEval!$A$2:$A$398, ""(?i)"" &amp; $A$58), 
  REGEXMATCH(RawData_SemEval!$A$2:$A$398, ""(?i)"" &amp; $C$1), 
  REGEXMATCH(RawData_SemEval!$A$2:$A$398, ""(?i)"" &amp; $A$53), 
  REGEXMATCH(RawData_SemEval!$A$2"&amp;":$A$398, ""(?i)"" &amp; $B$6)
)"),"#N/A")</f>
        <v>#N/A</v>
      </c>
      <c r="E60" s="108" t="str">
        <f>IFERROR(__xludf.DUMMYFUNCTION("FILTER(RawData_SemEval!$B$2:$B$398, 
  REGEXMATCH(RawData_SemEval!$A$2:$A$398, ""(?i)"" &amp; $A$58), 
  REGEXMATCH(RawData_SemEval!$A$2:$A$398, ""(?i)"" &amp; $E$1), 
  REGEXMATCH(RawData_SemEval!$A$2:$A$398, ""(?i)"" &amp; $A$53), 
  REGEXMATCH(RawData_SemEval!$A$2"&amp;":$A$398, ""(?i)"" &amp; $B$6)
)"),"#N/A")</f>
        <v>#N/A</v>
      </c>
      <c r="F60" s="107" t="str">
        <f>IFERROR(__xludf.DUMMYFUNCTION("FILTER(RawData_SemEval!$F$2:$F$398, 
  REGEXMATCH(RawData_SemEval!$A$2:$A$398, ""(?i)"" &amp; $A$58), 
  REGEXMATCH(RawData_SemEval!$A$2:$A$398, ""(?i)"" &amp; $E$1), 
  REGEXMATCH(RawData_SemEval!$A$2:$A$398, ""(?i)"" &amp; $A$53), 
  REGEXMATCH(RawData_SemEval!$A$2"&amp;":$A$398, ""(?i)"" &amp; $B$6)
)"),"#N/A")</f>
        <v>#N/A</v>
      </c>
      <c r="G60" s="108" t="str">
        <f>IFERROR(__xludf.DUMMYFUNCTION("FILTER(RawData_SemEval!$B$2:$B$398, 
  REGEXMATCH(RawData_SemEval!$A$2:$A$398, ""(?i)"" &amp; $A$58), 
  REGEXMATCH(RawData_SemEval!$A$2:$A$398, ""(?i)"" &amp; $G$1), 
  REGEXMATCH(RawData_SemEval!$A$2:$A$398, ""(?i)"" &amp; $A$53), 
  REGEXMATCH(RawData_SemEval!$A$2"&amp;":$A$398, ""(?i)"" &amp; $B$6)
)"),"#N/A")</f>
        <v>#N/A</v>
      </c>
      <c r="H60" s="107" t="str">
        <f>IFERROR(__xludf.DUMMYFUNCTION("FILTER(RawData_SemEval!$F$2:$F$398, 
  REGEXMATCH(RawData_SemEval!$A$2:$A$398, ""(?i)"" &amp; $A$58), 
  REGEXMATCH(RawData_SemEval!$A$2:$A$398, ""(?i)"" &amp; $G$1), 
  REGEXMATCH(RawData_SemEval!$A$2:$A$398, ""(?i)"" &amp; $A$53), 
  REGEXMATCH(RawData_SemEval!$A$2"&amp;":$A$398, ""(?i)"" &amp; $B$6)
)"),"#N/A")</f>
        <v>#N/A</v>
      </c>
    </row>
    <row r="61">
      <c r="A61" s="104" t="s">
        <v>2040</v>
      </c>
      <c r="B61" s="7" t="s">
        <v>24</v>
      </c>
      <c r="C61" s="105" t="str">
        <f>IFERROR(__xludf.DUMMYFUNCTION("FILTER(RawData_SemEval!$B$2:$B$398, 
  REGEXMATCH(RawData_SemEval!$A$2:$A$398, ""(?i)"" &amp; $A$53), 
  REGEXMATCH(RawData_SemEval!$A$2:$A$398, ""(?i)"" &amp; $C$1), 
  REGEXMATCH(RawData_SemEval!$A$2:$A$398, ""(?i)"" &amp; $A$61), 
  NOT(REGEXMATCH(RawData_SemEval!"&amp;"$A$2:$A$398,  ""(?i)ensemble"")),NOT(REGEXMATCH(RawData_SemEval!$A$2:$A$398,  ""(?i)complete""))
)"),"#REF!")</f>
        <v>#REF!</v>
      </c>
      <c r="D61" s="105" t="str">
        <f>IFERROR(__xludf.DUMMYFUNCTION("FILTER(RawData_SemEval!$F$2:$F$398, 
  REGEXMATCH(RawData_SemEval!$A$2:$A$398, ""(?i)"" &amp; $A$53), 
  REGEXMATCH(RawData_SemEval!$A$2:$A$398, ""(?i)"" &amp; $C$1), 
  REGEXMATCH(RawData_SemEval!$A$2:$A$398, ""(?i)"" &amp; $A$61), 
  NOT(REGEXMATCH(RawData_SemEval!"&amp;"$A$2:$A$398,  ""(?i)ensemble""))
)"),"#REF!")</f>
        <v>#REF!</v>
      </c>
      <c r="E61" s="106" t="str">
        <f>IFERROR(__xludf.DUMMYFUNCTION("FILTER(RawData_SemEval!$B$2:$B$398, 
  REGEXMATCH(RawData_SemEval!$A$2:$A$398, ""(?i)"" &amp; $A$53), 
  REGEXMATCH(RawData_SemEval!$A$2:$A$398, ""(?i)"" &amp; $E$1), 
  REGEXMATCH(RawData_SemEval!$A$2:$A$398, ""(?i)"" &amp; $A$61), 
  NOT(REGEXMATCH(RawData_SemEval!"&amp;"$A$2:$A$398,  ""(?i)ensemble"")),NOT(REGEXMATCH(RawData_SemEval!$A$2:$A$398,  ""(?i)complete""))
)"),"#N/A")</f>
        <v>#N/A</v>
      </c>
      <c r="F61" s="105" t="str">
        <f>IFERROR(__xludf.DUMMYFUNCTION("FILTER(RawData_SemEval!$F$2:$F$398, 
  REGEXMATCH(RawData_SemEval!$A$2:$A$398, ""(?i)"" &amp; $A$53), 
  REGEXMATCH(RawData_SemEval!$A$2:$A$398, ""(?i)"" &amp; $E$1), 
  REGEXMATCH(RawData_SemEval!$A$2:$A$398, ""(?i)"" &amp; $A$61), 
  NOT(REGEXMATCH(RawData_SemEval!"&amp;"$A$2:$A$398,  ""(?i)ensemble"")),NOT(REGEXMATCH(RawData_SemEval!$A$2:$A$398,  ""(?i)complete""))
)"),"#N/A")</f>
        <v>#N/A</v>
      </c>
      <c r="G61" s="106" t="str">
        <f>IFERROR(__xludf.DUMMYFUNCTION("FILTER(RawData_SemEval!$B$2:$B$398, 
  REGEXMATCH(RawData_SemEval!$A$2:$A$398, ""(?i)"" &amp; $A$53), 
  REGEXMATCH(RawData_SemEval!$A$2:$A$398, ""(?i)"" &amp; $G$1), 
  REGEXMATCH(RawData_SemEval!$A$2:$A$398, ""(?i)"" &amp; $A$61), 
  NOT(REGEXMATCH(RawData_SemEval!"&amp;"$A$2:$A$398,  ""(?i)ensemble"")),NOT(REGEXMATCH(RawData_SemEval!$A$2:$A$398,  ""(?i)complete""))
)"),"#REF!")</f>
        <v>#REF!</v>
      </c>
      <c r="H61" s="105" t="str">
        <f>IFERROR(__xludf.DUMMYFUNCTION("FILTER(RawData_SemEval!$F$2:$F$398, 
  REGEXMATCH(RawData_SemEval!$A$2:$A$398, ""(?i)"" &amp; $A$53), 
  REGEXMATCH(RawData_SemEval!$A$2:$A$398, ""(?i)"" &amp; $G$1), 
  REGEXMATCH(RawData_SemEval!$A$2:$A$398, ""(?i)"" &amp; $A$61), 
  NOT(REGEXMATCH(RawData_SemEval!"&amp;"$A$2:$A$398,  ""(?i)ensemble"")),NOT(REGEXMATCH(RawData_SemEval!$A$2:$A$398,  ""(?i)complete""))
)"),"#REF!")</f>
        <v>#REF!</v>
      </c>
    </row>
    <row r="62">
      <c r="A62" s="104"/>
      <c r="B62" s="7" t="s">
        <v>74</v>
      </c>
      <c r="C62" s="105" t="str">
        <f>IFERROR(__xludf.DUMMYFUNCTION("FILTER(RawData_SemEval!$B$2:$B$398, 
  REGEXMATCH(RawData_SemEval!$A$2:$A$398, ""(?i)"" &amp; $A$53), 
  REGEXMATCH(RawData_SemEval!$A$2:$A$398, ""(?i)"" &amp; $C$1), 
  REGEXMATCH(RawData_SemEval!$A$2:$A$398, ""(?i)"" &amp; $A$61), 
  REGEXMATCH(RawData_SemEval!$A$2"&amp;":$A$398, ""(?i)"" &amp; $B$5),NOT(REGEXMATCH(RawData_SemEval!$A$2:$A$398,  ""(?i)complete""))
)"),"#N/A")</f>
        <v>#N/A</v>
      </c>
      <c r="D62" s="105" t="str">
        <f>IFERROR(__xludf.DUMMYFUNCTION("FILTER(RawData_SemEval!$F$2:$F$398, 
  REGEXMATCH(RawData_SemEval!$A$2:$A$398, ""(?i)"" &amp; $A$53), 
  REGEXMATCH(RawData_SemEval!$A$2:$A$398, ""(?i)"" &amp; $C$1), 
  REGEXMATCH(RawData_SemEval!$A$2:$A$398, ""(?i)"" &amp; $A$61), 
  REGEXMATCH(RawData_SemEval!$A$2"&amp;":$A$398, ""(?i)"" &amp; $B$5),NOT(REGEXMATCH(RawData_SemEval!$A$2:$A$398,  ""(?i)complete""))
)"),"#N/A")</f>
        <v>#N/A</v>
      </c>
      <c r="E62" s="106" t="str">
        <f>IFERROR(__xludf.DUMMYFUNCTION("FILTER(RawData_SemEval!$B$2:$B$398, 
  REGEXMATCH(RawData_SemEval!$A$2:$A$398, ""(?i)"" &amp; $A$53), 
  REGEXMATCH(RawData_SemEval!$A$2:$A$398, ""(?i)"" &amp; $E$1), 
  REGEXMATCH(RawData_SemEval!$A$2:$A$398, ""(?i)"" &amp; $A$61), 
  REGEXMATCH(RawData_SemEval!$A$2"&amp;":$A$398, ""(?i)"" &amp; $B$5),NOT(REGEXMATCH(RawData_SemEval!$A$2:$A$398,  ""(?i)complete""))
)"),"#N/A")</f>
        <v>#N/A</v>
      </c>
      <c r="F62" s="105" t="str">
        <f>IFERROR(__xludf.DUMMYFUNCTION("FILTER(RawData_SemEval!$F$2:$F$398, 
  REGEXMATCH(RawData_SemEval!$A$2:$A$398, ""(?i)"" &amp; $A$53), 
  REGEXMATCH(RawData_SemEval!$A$2:$A$398, ""(?i)"" &amp; $E$1), 
  REGEXMATCH(RawData_SemEval!$A$2:$A$398, ""(?i)"" &amp; $A$61), 
  REGEXMATCH(RawData_SemEval!$A$2"&amp;":$A$398, ""(?i)"" &amp; $B$5),NOT(REGEXMATCH(RawData_SemEval!$A$2:$A$398,  ""(?i)complete""))
)"),"#N/A")</f>
        <v>#N/A</v>
      </c>
      <c r="G62" s="106" t="str">
        <f>IFERROR(__xludf.DUMMYFUNCTION("FILTER(RawData_SemEval!$B$2:$B$398, 
  REGEXMATCH(RawData_SemEval!$A$2:$A$398, ""(?i)"" &amp; $A$53), 
  REGEXMATCH(RawData_SemEval!$A$2:$A$398, ""(?i)"" &amp; $G$1), 
  REGEXMATCH(RawData_SemEval!$A$2:$A$398, ""(?i)"" &amp; $A$61), 
  REGEXMATCH(RawData_SemEval!$A$2"&amp;":$A$398, ""(?i)"" &amp; $B$5),NOT(REGEXMATCH(RawData_SemEval!$A$2:$A$398,  ""(?i)complete""))
)"),"#N/A")</f>
        <v>#N/A</v>
      </c>
      <c r="H62" s="105" t="str">
        <f>IFERROR(__xludf.DUMMYFUNCTION("FILTER(RawData_SemEval!$F$2:$F$398, 
  REGEXMATCH(RawData_SemEval!$A$2:$A$398, ""(?i)"" &amp; $A$53), 
  REGEXMATCH(RawData_SemEval!$A$2:$A$398, ""(?i)"" &amp; $G$1), 
  REGEXMATCH(RawData_SemEval!$A$2:$A$398, ""(?i)"" &amp; $A$61), 
  REGEXMATCH(RawData_SemEval!$A$2"&amp;":$A$398, ""(?i)"" &amp; $B$5),NOT(REGEXMATCH(RawData_SemEval!$A$2:$A$398,  ""(?i)complete""))
)"),"#N/A")</f>
        <v>#N/A</v>
      </c>
    </row>
    <row r="63">
      <c r="A63" s="104"/>
      <c r="B63" s="74" t="s">
        <v>75</v>
      </c>
      <c r="C63" s="107" t="str">
        <f>IFERROR(__xludf.DUMMYFUNCTION("FILTER(RawData_SemEval!$B$2:$B$398, 
  REGEXMATCH(RawData_SemEval!$A$2:$A$398, ""(?i)"" &amp; $A$53), 
  REGEXMATCH(RawData_SemEval!$A$2:$A$398, ""(?i)"" &amp; $C$1), 
  REGEXMATCH(RawData_SemEval!$A$2:$A$398, ""(?i)"" &amp; $A$61), 
  REGEXMATCH(RawData_SemEval!$A$2"&amp;":$A$398, ""(?i)"" &amp; $B$6),NOT(REGEXMATCH(RawData_SemEval!$A$2:$A$398,  ""(?i)complete""))
)"),"#N/A")</f>
        <v>#N/A</v>
      </c>
      <c r="D63" s="107" t="str">
        <f>IFERROR(__xludf.DUMMYFUNCTION("FILTER(RawData_SemEval!$F$2:$F$398, 
  REGEXMATCH(RawData_SemEval!$A$2:$A$398, ""(?i)"" &amp; $A$53), 
  REGEXMATCH(RawData_SemEval!$A$2:$A$398, ""(?i)"" &amp; $C$1), 
  REGEXMATCH(RawData_SemEval!$A$2:$A$398, ""(?i)"" &amp; $A$61), 
  REGEXMATCH(RawData_SemEval!$A$2"&amp;":$A$398, ""(?i)"" &amp; $B$6),NOT(REGEXMATCH(RawData_SemEval!$A$2:$A$398,  ""(?i)complete""))
)"),"#N/A")</f>
        <v>#N/A</v>
      </c>
      <c r="E63" s="108" t="str">
        <f>IFERROR(__xludf.DUMMYFUNCTION("FILTER(RawData_SemEval!$B$2:$B$398, 
  REGEXMATCH(RawData_SemEval!$A$2:$A$398, ""(?i)"" &amp; $A$53), 
  REGEXMATCH(RawData_SemEval!$A$2:$A$398, ""(?i)"" &amp; $E$1), 
  REGEXMATCH(RawData_SemEval!$A$2:$A$398, ""(?i)"" &amp; $A$61), 
  REGEXMATCH(RawData_SemEval!$A$2"&amp;":$A$398, ""(?i)"" &amp; $B$6),NOT(REGEXMATCH(RawData_SemEval!$A$2:$A$398,  ""(?i)complete""))
)"),"#N/A")</f>
        <v>#N/A</v>
      </c>
      <c r="F63" s="107" t="str">
        <f>IFERROR(__xludf.DUMMYFUNCTION("FILTER(RawData_SemEval!$F$2:$F$398, 
  REGEXMATCH(RawData_SemEval!$A$2:$A$398, ""(?i)"" &amp; $A$53), 
  REGEXMATCH(RawData_SemEval!$A$2:$A$398, ""(?i)"" &amp; $E$1), 
  REGEXMATCH(RawData_SemEval!$A$2:$A$398, ""(?i)"" &amp; $A$61), 
  REGEXMATCH(RawData_SemEval!$A$2"&amp;":$A$398, ""(?i)"" &amp; $B$6),NOT(REGEXMATCH(RawData_SemEval!$A$2:$A$398,  ""(?i)complete""))
)"),"#N/A")</f>
        <v>#N/A</v>
      </c>
      <c r="G63" s="108" t="str">
        <f>IFERROR(__xludf.DUMMYFUNCTION("FILTER(RawData_SemEval!$B$2:$B$398, 
  REGEXMATCH(RawData_SemEval!$A$2:$A$398, ""(?i)"" &amp; $A$53), 
  REGEXMATCH(RawData_SemEval!$A$2:$A$398, ""(?i)"" &amp; $G$1), 
  REGEXMATCH(RawData_SemEval!$A$2:$A$398, ""(?i)"" &amp; $A$61), 
  REGEXMATCH(RawData_SemEval!$A$2"&amp;":$A$398, ""(?i)"" &amp; $B$6),NOT(REGEXMATCH(RawData_SemEval!$A$2:$A$398,  ""(?i)complete""))
)"),"#N/A")</f>
        <v>#N/A</v>
      </c>
      <c r="H63" s="107" t="str">
        <f>IFERROR(__xludf.DUMMYFUNCTION("FILTER(RawData_SemEval!$F$2:$F$398, 
  REGEXMATCH(RawData_SemEval!$A$2:$A$398, ""(?i)"" &amp; $A$53), 
  REGEXMATCH(RawData_SemEval!$A$2:$A$398, ""(?i)"" &amp; $G$1), 
  REGEXMATCH(RawData_SemEval!$A$2:$A$398, ""(?i)"" &amp; $A$61), 
  REGEXMATCH(RawData_SemEval!$A$2"&amp;":$A$398, ""(?i)"" &amp; $B$6),NOT(REGEXMATCH(RawData_SemEval!$A$2:$A$398,  ""(?i)complete""))
)"),"#N/A")</f>
        <v>#N/A</v>
      </c>
    </row>
    <row r="64">
      <c r="A64" s="104" t="s">
        <v>2137</v>
      </c>
      <c r="B64" s="7" t="s">
        <v>28</v>
      </c>
      <c r="C64" s="109"/>
      <c r="D64" s="109"/>
      <c r="E64" s="106" t="str">
        <f>IFERROR(__xludf.DUMMYFUNCTION("FILTER(RawData_SemEval!$B$2:$B$398, 
  REGEXMATCH(RawData_SemEval!$A$2:$A$398, ""(?i)"" &amp; $A$53), 
  REGEXMATCH(RawData_SemEval!$A$2:$A$398, ""(?i)"" &amp; $E$1), 
  REGEXMATCH(RawData_SemEval!$A$2:$A$398, ""(?i)"" &amp; $A$64), 
  NOT(REGEXMATCH(RawData_SemEval!"&amp;"$A$2:$A$398,  ""(?i)ensemble""))
)"),"#N/A")</f>
        <v>#N/A</v>
      </c>
      <c r="F64" s="105" t="str">
        <f>IFERROR(__xludf.DUMMYFUNCTION("FILTER(RawData_SemEval!$F$2:$F$398, 
  REGEXMATCH(RawData_SemEval!$A$2:$A$398, ""(?i)"" &amp; $A$53), 
  REGEXMATCH(RawData_SemEval!$A$2:$A$398, ""(?i)"" &amp; $E$1), 
  REGEXMATCH(RawData_SemEval!$A$2:$A$398, ""(?i)"" &amp; $A$64), 
  NOT(REGEXMATCH(RawData_SemEval!"&amp;"$A$2:$A$398,  ""(?i)ensemble""))
)"),"#N/A")</f>
        <v>#N/A</v>
      </c>
      <c r="G64" s="106" t="str">
        <f>IFERROR(__xludf.DUMMYFUNCTION("FILTER(RawData_SemEval!$B$2:$B$398, 
  REGEXMATCH(RawData_SemEval!$A$2:$A$398, ""(?i)"" &amp; $A$53), 
  REGEXMATCH(RawData_SemEval!$A$2:$A$398, ""(?i)"" &amp; $G$1), 
  REGEXMATCH(RawData_SemEval!$A$2:$A$398, ""(?i)"" &amp; $A$64), 
  NOT(REGEXMATCH(RawData_SemEval!"&amp;"$A$2:$A$398,  ""(?i)ensemble""))
)"),"#REF!")</f>
        <v>#REF!</v>
      </c>
      <c r="H64" s="105" t="str">
        <f>IFERROR(__xludf.DUMMYFUNCTION("FILTER(RawData_SemEval!$F$2:$F$398, 
  REGEXMATCH(RawData_SemEval!$A$2:$A$398, ""(?i)"" &amp; $A$53), 
  REGEXMATCH(RawData_SemEval!$A$2:$A$398, ""(?i)"" &amp; $G$1), 
  REGEXMATCH(RawData_SemEval!$A$2:$A$398, ""(?i)"" &amp; $A$64), 
  NOT(REGEXMATCH(RawData_SemEval!"&amp;"$A$2:$A$398,  ""(?i)ensemble""))
)"),"#REF!")</f>
        <v>#REF!</v>
      </c>
    </row>
    <row r="65">
      <c r="A65" s="104"/>
      <c r="B65" s="7" t="s">
        <v>74</v>
      </c>
      <c r="C65" s="109"/>
      <c r="D65" s="109"/>
      <c r="E65" s="106" t="str">
        <f>IFERROR(__xludf.DUMMYFUNCTION("FILTER(RawData_SemEval!$B$2:$B$398, 
  REGEXMATCH(RawData_SemEval!$A$2:$A$398, ""(?i)"" &amp; $A$53), 
  REGEXMATCH(RawData_SemEval!$A$2:$A$398, ""(?i)"" &amp; $E$1), 
  REGEXMATCH(RawData_SemEval!$A$2:$A$398, ""(?i)"" &amp; $A$64), 
  REGEXMATCH(RawData_SemEval!$A$2"&amp;":$A$398, ""(?i)"" &amp; $B$5)
)"),"#N/A")</f>
        <v>#N/A</v>
      </c>
      <c r="F65" s="105" t="str">
        <f>IFERROR(__xludf.DUMMYFUNCTION("FILTER(RawData_SemEval!$F$2:$F$398, 
  REGEXMATCH(RawData_SemEval!$A$2:$A$398, ""(?i)"" &amp; $A$53), 
  REGEXMATCH(RawData_SemEval!$A$2:$A$398, ""(?i)"" &amp; $E$1), 
  REGEXMATCH(RawData_SemEval!$A$2:$A$398, ""(?i)"" &amp; $A$64), 
  REGEXMATCH(RawData_SemEval!$A$2"&amp;":$A$398, ""(?i)"" &amp; $B$5)
)"),"#N/A")</f>
        <v>#N/A</v>
      </c>
      <c r="G65" s="106" t="str">
        <f>IFERROR(__xludf.DUMMYFUNCTION("FILTER(RawData_SemEval!$B$2:$B$398, 
  REGEXMATCH(RawData_SemEval!$A$2:$A$398, ""(?i)"" &amp; $A$53), 
  REGEXMATCH(RawData_SemEval!$A$2:$A$398, ""(?i)"" &amp; $G$1), 
  REGEXMATCH(RawData_SemEval!$A$2:$A$398, ""(?i)"" &amp; $A$64), 
  REGEXMATCH(RawData_SemEval!$A$2"&amp;":$A$398, ""(?i)"" &amp; $B$5)
)"),"#N/A")</f>
        <v>#N/A</v>
      </c>
      <c r="H65" s="105" t="str">
        <f>IFERROR(__xludf.DUMMYFUNCTION("FILTER(RawData_SemEval!$F$2:$F$398, 
  REGEXMATCH(RawData_SemEval!$A$2:$A$398, ""(?i)"" &amp; $A$53), 
  REGEXMATCH(RawData_SemEval!$A$2:$A$398, ""(?i)"" &amp; $G$1), 
  REGEXMATCH(RawData_SemEval!$A$2:$A$398, ""(?i)"" &amp; $A$64), 
  REGEXMATCH(RawData_SemEval!$A$2"&amp;":$A$398, ""(?i)"" &amp; $B$5)
)"),"#N/A")</f>
        <v>#N/A</v>
      </c>
    </row>
    <row r="66">
      <c r="A66" s="104"/>
      <c r="B66" s="74" t="s">
        <v>75</v>
      </c>
      <c r="C66" s="110"/>
      <c r="D66" s="110"/>
      <c r="E66" s="108" t="str">
        <f>IFERROR(__xludf.DUMMYFUNCTION("FILTER(RawData_SemEval!$B$2:$B$398, 
  REGEXMATCH(RawData_SemEval!$A$2:$A$398, ""(?i)"" &amp; $A$53), 
  REGEXMATCH(RawData_SemEval!$A$2:$A$398, ""(?i)"" &amp; $E$1), 
  REGEXMATCH(RawData_SemEval!$A$2:$A$398, ""(?i)"" &amp; $A$64), 
  REGEXMATCH(RawData_SemEval!$A$2"&amp;":$A$398, ""(?i)"" &amp; $B$6)
)"),"#N/A")</f>
        <v>#N/A</v>
      </c>
      <c r="F66" s="107" t="str">
        <f>IFERROR(__xludf.DUMMYFUNCTION("FILTER(RawData_SemEval!$F$2:$F$398, 
  REGEXMATCH(RawData_SemEval!$A$2:$A$398, ""(?i)"" &amp; $A$53), 
  REGEXMATCH(RawData_SemEval!$A$2:$A$398, ""(?i)"" &amp; $E$1), 
  REGEXMATCH(RawData_SemEval!$A$2:$A$398, ""(?i)"" &amp; $A$64), 
  REGEXMATCH(RawData_SemEval!$A$2"&amp;":$A$398, ""(?i)"" &amp; $B$6)
)"),"#N/A")</f>
        <v>#N/A</v>
      </c>
      <c r="G66" s="108" t="str">
        <f>IFERROR(__xludf.DUMMYFUNCTION("FILTER(RawData_SemEval!$B$2:$B$398, 
  REGEXMATCH(RawData_SemEval!$A$2:$A$398, ""(?i)"" &amp; $A$53), 
  REGEXMATCH(RawData_SemEval!$A$2:$A$398, ""(?i)"" &amp; $G$1), 
  REGEXMATCH(RawData_SemEval!$A$2:$A$398, ""(?i)"" &amp; $A$64), 
  REGEXMATCH(RawData_SemEval!$A$2"&amp;":$A$398, ""(?i)"" &amp; $B$6)
)"),"#N/A")</f>
        <v>#N/A</v>
      </c>
      <c r="H66" s="107" t="str">
        <f>IFERROR(__xludf.DUMMYFUNCTION("FILTER(RawData_SemEval!$F$2:$F$398, 
  REGEXMATCH(RawData_SemEval!$A$2:$A$398, ""(?i)"" &amp; $A$53), 
  REGEXMATCH(RawData_SemEval!$A$2:$A$398, ""(?i)"" &amp; $G$1), 
  REGEXMATCH(RawData_SemEval!$A$2:$A$398, ""(?i)"" &amp; $A$64), 
  REGEXMATCH(RawData_SemEval!$A$2"&amp;":$A$398, ""(?i)"" &amp; $B$6)
)"),"#N/A")</f>
        <v>#N/A</v>
      </c>
    </row>
    <row r="67">
      <c r="A67" s="104" t="s">
        <v>2314</v>
      </c>
      <c r="B67" s="7" t="s">
        <v>22</v>
      </c>
      <c r="C67" s="105" t="str">
        <f>IFERROR(__xludf.DUMMYFUNCTION("FILTER(RawData_SemEval!$B$2:$B$398, 
  REGEXMATCH(RawData_SemEval!$A$2:$A$398, ""(?i)"" &amp; $A$53), 
  REGEXMATCH(RawData_SemEval!$A$2:$A$398, ""(?i)"" &amp; $C$1), 
  REGEXMATCH(RawData_SemEval!$A$2:$A$398, ""(?i)gpt_only_title""), 
  NOT(REGEXMATCH(RawData_Se"&amp;"mEval!$A$2:$A$398,  ""(?i)ensemble""))
)"),"#REF!")</f>
        <v>#REF!</v>
      </c>
      <c r="D67" s="105" t="str">
        <f>IFERROR(__xludf.DUMMYFUNCTION("FILTER(RawData_SemEval!$F$2:$F$398, 
  REGEXMATCH(RawData_SemEval!$A$2:$A$398, ""(?i)"" &amp; $A$53), 
  REGEXMATCH(RawData_SemEval!$A$2:$A$398, ""(?i)"" &amp; $C$1), 
  REGEXMATCH(RawData_SemEval!$A$2:$A$398, ""(?i)gpt_only_title""), 
  NOT(REGEXMATCH(RawData_Se"&amp;"mEval!$A$2:$A$398,  ""(?i)ensemble""))
)"),"#REF!")</f>
        <v>#REF!</v>
      </c>
      <c r="E67" s="106" t="str">
        <f>IFERROR(__xludf.DUMMYFUNCTION("FILTER(RawData_SemEval!$B$2:$B$398, 
  REGEXMATCH(RawData_SemEval!$A$2:$A$398, ""(?i)"" &amp; $A$53), 
  REGEXMATCH(RawData_SemEval!$A$2:$A$398, ""(?i)"" &amp; $E$1), 
  REGEXMATCH(RawData_SemEval!$A$2:$A$398, ""(?i)gpt_only_title""), 
  NOT(REGEXMATCH(RawData_Se"&amp;"mEval!$A$2:$A$398,  ""(?i)ensemble""))
)"),"#N/A")</f>
        <v>#N/A</v>
      </c>
      <c r="F67" s="105" t="str">
        <f>IFERROR(__xludf.DUMMYFUNCTION("FILTER(RawData_SemEval!$F$2:$F$398, 
  REGEXMATCH(RawData_SemEval!$A$2:$A$398, ""(?i)"" &amp; $A$53), 
  REGEXMATCH(RawData_SemEval!$A$2:$A$398, ""(?i)"" &amp; $E$1), 
  REGEXMATCH(RawData_SemEval!$A$2:$A$398, ""(?i)gpt_only_title""), 
  NOT(REGEXMATCH(RawData_Se"&amp;"mEval!$A$2:$A$398,  ""(?i)ensemble""))
)"),"#N/A")</f>
        <v>#N/A</v>
      </c>
      <c r="G67" s="106" t="str">
        <f>IFERROR(__xludf.DUMMYFUNCTION("FILTER(RawData_SemEval!$B$2:$B$398, 
  REGEXMATCH(RawData_SemEval!$A$2:$A$398, ""(?i)"" &amp; $A$53), 
  REGEXMATCH(RawData_SemEval!$A$2:$A$398, ""(?i)"" &amp; $G$1), 
  REGEXMATCH(RawData_SemEval!$A$2:$A$398, ""(?i)gpt_only_title""), 
  NOT(REGEXMATCH(RawData_Se"&amp;"mEval!$A$2:$A$398,  ""(?i)ensemble""))
)"),"#REF!")</f>
        <v>#REF!</v>
      </c>
      <c r="H67" s="105" t="str">
        <f>IFERROR(__xludf.DUMMYFUNCTION("FILTER(RawData_SemEval!$F$2:$F$398, 
  REGEXMATCH(RawData_SemEval!$A$2:$A$398, ""(?i)"" &amp; $A$53), 
  REGEXMATCH(RawData_SemEval!$A$2:$A$398, ""(?i)"" &amp; $G$1), 
  REGEXMATCH(RawData_SemEval!$A$2:$A$398, ""(?i)gpt_only_title""), 
  NOT(REGEXMATCH(RawData_Se"&amp;"mEval!$A$2:$A$398,  ""(?i)ensemble""))
)"),"#REF!")</f>
        <v>#REF!</v>
      </c>
    </row>
    <row r="68">
      <c r="A68" s="104"/>
      <c r="B68" s="7" t="s">
        <v>74</v>
      </c>
      <c r="C68" s="105" t="str">
        <f>IFERROR(__xludf.DUMMYFUNCTION("FILTER(RawData_SemEval!$B$2:$B$398, 
  REGEXMATCH(RawData_SemEval!$A$2:$A$398, ""(?i)"" &amp; $A$53), 
  REGEXMATCH(RawData_SemEval!$A$2:$A$398, ""(?i)"" &amp; $C$1), 
  REGEXMATCH(RawData_SemEval!$A$2:$A$398, ""(?i)gpt_only_title""), 
  REGEXMATCH(RawData_SemEva"&amp;"l!$A$2:$A$398, ""(?i)"" &amp; $B$5)
)"),"#N/A")</f>
        <v>#N/A</v>
      </c>
      <c r="D68" s="105" t="str">
        <f>IFERROR(__xludf.DUMMYFUNCTION("FILTER(RawData_SemEval!$F$2:$F$398, 
  REGEXMATCH(RawData_SemEval!$A$2:$A$398, ""(?i)"" &amp; $A$53), 
  REGEXMATCH(RawData_SemEval!$A$2:$A$398, ""(?i)"" &amp; $C$1), 
  REGEXMATCH(RawData_SemEval!$A$2:$A$398, ""(?i)gpt_only_title""), 
  REGEXMATCH(RawData_SemEva"&amp;"l!$A$2:$A$398, ""(?i)"" &amp; $B$5)
)"),"#N/A")</f>
        <v>#N/A</v>
      </c>
      <c r="E68" s="106" t="str">
        <f>IFERROR(__xludf.DUMMYFUNCTION("FILTER(RawData_SemEval!$B$2:$B$398, 
  REGEXMATCH(RawData_SemEval!$A$2:$A$398, ""(?i)"" &amp; $A$53), 
  REGEXMATCH(RawData_SemEval!$A$2:$A$398, ""(?i)"" &amp; $E$1), 
  REGEXMATCH(RawData_SemEval!$A$2:$A$398, ""(?i)gpt_only_title""), 
  REGEXMATCH(RawData_SemEva"&amp;"l!$A$2:$A$398, ""(?i)"" &amp; $B$5)
)"),"#N/A")</f>
        <v>#N/A</v>
      </c>
      <c r="F68" s="105" t="str">
        <f>IFERROR(__xludf.DUMMYFUNCTION("FILTER(RawData_SemEval!$F$2:$F$398, 
  REGEXMATCH(RawData_SemEval!$A$2:$A$398, ""(?i)"" &amp; $A$53), 
  REGEXMATCH(RawData_SemEval!$A$2:$A$398, ""(?i)"" &amp; $E$1), 
  REGEXMATCH(RawData_SemEval!$A$2:$A$398, ""(?i)gpt_only_title""), 
  REGEXMATCH(RawData_SemEva"&amp;"l!$A$2:$A$398, ""(?i)"" &amp; $B$5)
)"),"#N/A")</f>
        <v>#N/A</v>
      </c>
      <c r="G68" s="106" t="str">
        <f>IFERROR(__xludf.DUMMYFUNCTION("FILTER(RawData_SemEval!$B$2:$B$398, 
  REGEXMATCH(RawData_SemEval!$A$2:$A$398, ""(?i)"" &amp; $A$53), 
  REGEXMATCH(RawData_SemEval!$A$2:$A$398, ""(?i)"" &amp; $G$1), 
  REGEXMATCH(RawData_SemEval!$A$2:$A$398, ""(?i)gpt_only_title""), 
  REGEXMATCH(RawData_SemEva"&amp;"l!$A$2:$A$398, ""(?i)"" &amp; $B$5)
)"),"#N/A")</f>
        <v>#N/A</v>
      </c>
      <c r="H68" s="105" t="str">
        <f>IFERROR(__xludf.DUMMYFUNCTION("FILTER(RawData_SemEval!$F$2:$F$398, 
  REGEXMATCH(RawData_SemEval!$A$2:$A$398, ""(?i)"" &amp; $A$53), 
  REGEXMATCH(RawData_SemEval!$A$2:$A$398, ""(?i)"" &amp; $G$1), 
  REGEXMATCH(RawData_SemEval!$A$2:$A$398, ""(?i)gpt_only_title""), 
  REGEXMATCH(RawData_SemEva"&amp;"l!$A$2:$A$398, ""(?i)"" &amp; $B$5)
)"),"#N/A")</f>
        <v>#N/A</v>
      </c>
    </row>
    <row r="69">
      <c r="A69" s="104"/>
      <c r="B69" s="74" t="s">
        <v>75</v>
      </c>
      <c r="C69" s="107" t="str">
        <f>IFERROR(__xludf.DUMMYFUNCTION("FILTER(RawData_SemEval!$B$2:$B$398, 
  REGEXMATCH(RawData_SemEval!$A$2:$A$398, ""(?i)"" &amp; $A$53), 
  REGEXMATCH(RawData_SemEval!$A$2:$A$398, ""(?i)"" &amp; $C$1), 
  REGEXMATCH(RawData_SemEval!$A$2:$A$398, ""(?i)gpt_only_title""), 
  REGEXMATCH(RawData_SemEva"&amp;"l!$A$2:$A$398, ""(?i)"" &amp; $B$6)
)"),"#N/A")</f>
        <v>#N/A</v>
      </c>
      <c r="D69" s="107" t="str">
        <f>IFERROR(__xludf.DUMMYFUNCTION("FILTER(RawData_SemEval!$F$2:$F$398, 
  REGEXMATCH(RawData_SemEval!$A$2:$A$398, ""(?i)"" &amp; $A$53), 
  REGEXMATCH(RawData_SemEval!$A$2:$A$398, ""(?i)"" &amp; $C$1), 
  REGEXMATCH(RawData_SemEval!$A$2:$A$398, ""(?i)gpt_only_title""), 
  REGEXMATCH(RawData_SemEva"&amp;"l!$A$2:$A$398, ""(?i)"" &amp; $B$6)
)"),"#N/A")</f>
        <v>#N/A</v>
      </c>
      <c r="E69" s="108" t="str">
        <f>IFERROR(__xludf.DUMMYFUNCTION("FILTER(RawData_SemEval!$B$2:$B$398, 
  REGEXMATCH(RawData_SemEval!$A$2:$A$398, ""(?i)"" &amp; $A$53), 
  REGEXMATCH(RawData_SemEval!$A$2:$A$398, ""(?i)"" &amp; $E$1), 
  REGEXMATCH(RawData_SemEval!$A$2:$A$398, ""(?i)gpt_only_title""), 
  REGEXMATCH(RawData_SemEva"&amp;"l!$A$2:$A$398, ""(?i)"" &amp; $B$6)
)"),"#N/A")</f>
        <v>#N/A</v>
      </c>
      <c r="F69" s="107" t="str">
        <f>IFERROR(__xludf.DUMMYFUNCTION("FILTER(RawData_SemEval!$F$2:$F$398, 
  REGEXMATCH(RawData_SemEval!$A$2:$A$398, ""(?i)"" &amp; $A$53), 
  REGEXMATCH(RawData_SemEval!$A$2:$A$398, ""(?i)"" &amp; $E$1), 
  REGEXMATCH(RawData_SemEval!$A$2:$A$398, ""(?i)gpt_only_title""), 
  REGEXMATCH(RawData_SemEva"&amp;"l!$A$2:$A$398, ""(?i)"" &amp; $B$6)
)"),"#N/A")</f>
        <v>#N/A</v>
      </c>
      <c r="G69" s="108" t="str">
        <f>IFERROR(__xludf.DUMMYFUNCTION("FILTER(RawData_SemEval!$B$2:$B$398, 
  REGEXMATCH(RawData_SemEval!$A$2:$A$398, ""(?i)"" &amp; $A$53), 
  REGEXMATCH(RawData_SemEval!$A$2:$A$398, ""(?i)"" &amp; $G$1), 
  REGEXMATCH(RawData_SemEval!$A$2:$A$398, ""(?i)gpt_only_title""), 
  REGEXMATCH(RawData_SemEva"&amp;"l!$A$2:$A$398, ""(?i)"" &amp; $B$6)
)"),"#N/A")</f>
        <v>#N/A</v>
      </c>
      <c r="H69" s="107" t="str">
        <f>IFERROR(__xludf.DUMMYFUNCTION("FILTER(RawData_SemEval!$F$2:$F$398, 
  REGEXMATCH(RawData_SemEval!$A$2:$A$398, ""(?i)"" &amp; $A$53), 
  REGEXMATCH(RawData_SemEval!$A$2:$A$398, ""(?i)"" &amp; $G$1), 
  REGEXMATCH(RawData_SemEval!$A$2:$A$398, ""(?i)gpt_only_title""), 
  REGEXMATCH(RawData_SemEva"&amp;"l!$A$2:$A$398, ""(?i)"" &amp; $B$6)
)"),"#N/A")</f>
        <v>#N/A</v>
      </c>
    </row>
    <row r="70">
      <c r="A70" s="104" t="s">
        <v>2316</v>
      </c>
      <c r="B70" s="7" t="s">
        <v>25</v>
      </c>
      <c r="C70" s="105" t="str">
        <f>IFERROR(__xludf.DUMMYFUNCTION("FILTER(RawData_SemEval!$B$2:$B$398, 
  REGEXMATCH(RawData_SemEval!$A$2:$A$398, ""(?i)"" &amp; $A$53), 
  REGEXMATCH(RawData_SemEval!$A$2:$A$398, ""(?i)"" &amp; $C$1), 
  REGEXMATCH(RawData_SemEval!$A$2:$A$398, ""(?i)gpt_title_description""), 
  NOT(REGEXMATCH(Raw"&amp;"Data_SemEval!$A$2:$A$398,  ""(?i)ensemble"")),NOT(REGEXMATCH(RawData_SemEval!$A$2:$A$398,  ""(?i)complete""))
)"),"#REF!")</f>
        <v>#REF!</v>
      </c>
      <c r="D70" s="105" t="str">
        <f>IFERROR(__xludf.DUMMYFUNCTION("FILTER(RawData_SemEval!$F$2:$F$398, 
  REGEXMATCH(RawData_SemEval!$A$2:$A$398, ""(?i)"" &amp; $A$53), 
  REGEXMATCH(RawData_SemEval!$A$2:$A$398, ""(?i)"" &amp; $C$1), 
  REGEXMATCH(RawData_SemEval!$A$2:$A$398, ""(?i)gpt_title_description""), 
  NOT(REGEXMATCH(Raw"&amp;"Data_SemEval!$A$2:$A$398,  ""(?i)ensemble""))
)"),"#REF!")</f>
        <v>#REF!</v>
      </c>
      <c r="E70" s="106" t="str">
        <f>IFERROR(__xludf.DUMMYFUNCTION("FILTER(RawData_SemEval!$B$2:$B$398, 
  REGEXMATCH(RawData_SemEval!$A$2:$A$398, ""(?i)"" &amp; $A$53), 
  REGEXMATCH(RawData_SemEval!$A$2:$A$398, ""(?i)"" &amp; $E$1), 
  REGEXMATCH(RawData_SemEval!$A$2:$A$398, ""(?i)gpt_title_description""), 
  NOT(REGEXMATCH(Raw"&amp;"Data_SemEval!$A$2:$A$398,  ""(?i)ensemble"")),NOT(REGEXMATCH(RawData_SemEval!$A$2:$A$398,  ""(?i)complete""))
)"),"#N/A")</f>
        <v>#N/A</v>
      </c>
      <c r="F70" s="105" t="str">
        <f>IFERROR(__xludf.DUMMYFUNCTION("FILTER(RawData_SemEval!$F$2:$F$398, 
  REGEXMATCH(RawData_SemEval!$A$2:$A$398, ""(?i)"" &amp; $A$53), 
  REGEXMATCH(RawData_SemEval!$A$2:$A$398, ""(?i)"" &amp; $E$1), 
  REGEXMATCH(RawData_SemEval!$A$2:$A$398, ""(?i)gpt_title_description""), 
  NOT(REGEXMATCH(Raw"&amp;"Data_SemEval!$A$2:$A$398,  ""(?i)ensemble"")),NOT(REGEXMATCH(RawData_SemEval!$A$2:$A$398,  ""(?i)complete""))
)"),"#N/A")</f>
        <v>#N/A</v>
      </c>
      <c r="G70" s="106" t="str">
        <f>IFERROR(__xludf.DUMMYFUNCTION("FILTER(RawData_SemEval!$B$2:$B$398, 
  REGEXMATCH(RawData_SemEval!$A$2:$A$398, ""(?i)"" &amp; $A$53), 
  REGEXMATCH(RawData_SemEval!$A$2:$A$398, ""(?i)"" &amp; $G$1), 
  REGEXMATCH(RawData_SemEval!$A$2:$A$398, ""(?i)gpt_title_description""), 
  NOT(REGEXMATCH(Raw"&amp;"Data_SemEval!$A$2:$A$398,  ""(?i)ensemble"")),NOT(REGEXMATCH(RawData_SemEval!$A$2:$A$398,  ""(?i)complete""))
)"),"#REF!")</f>
        <v>#REF!</v>
      </c>
      <c r="H70" s="105" t="str">
        <f>IFERROR(__xludf.DUMMYFUNCTION("FILTER(RawData_SemEval!$F$2:$F$398, 
  REGEXMATCH(RawData_SemEval!$A$2:$A$398, ""(?i)"" &amp; $A$53), 
  REGEXMATCH(RawData_SemEval!$A$2:$A$398, ""(?i)"" &amp; $G$1), 
  REGEXMATCH(RawData_SemEval!$A$2:$A$398, ""(?i)gpt_title_description""), 
  NOT(REGEXMATCH(Raw"&amp;"Data_SemEval!$A$2:$A$398,  ""(?i)ensemble"")),NOT(REGEXMATCH(RawData_SemEval!$A$2:$A$398,  ""(?i)complete""))
)"),"#REF!")</f>
        <v>#REF!</v>
      </c>
    </row>
    <row r="71">
      <c r="A71" s="104"/>
      <c r="B71" s="7" t="s">
        <v>74</v>
      </c>
      <c r="C71" s="105" t="str">
        <f>IFERROR(__xludf.DUMMYFUNCTION("FILTER(RawData_SemEval!$B$2:$B$398, 
  REGEXMATCH(RawData_SemEval!$A$2:$A$398, ""(?i)"" &amp; $A$53), 
  REGEXMATCH(RawData_SemEval!$A$2:$A$398, ""(?i)"" &amp; $C$1), 
  REGEXMATCH(RawData_SemEval!$A$2:$A$398, ""(?i)gpt_title_description""), 
  REGEXMATCH(RawData"&amp;"_SemEval!$A$2:$A$398, ""(?i)"" &amp; $B$5),NOT(REGEXMATCH(RawData_SemEval!$A$2:$A$398,  ""(?i)complete""))
)"),"#N/A")</f>
        <v>#N/A</v>
      </c>
      <c r="D71" s="105" t="str">
        <f>IFERROR(__xludf.DUMMYFUNCTION("FILTER(RawData_SemEval!$F$2:$F$398, 
  REGEXMATCH(RawData_SemEval!$A$2:$A$398, ""(?i)"" &amp; $A$53), 
  REGEXMATCH(RawData_SemEval!$A$2:$A$398, ""(?i)"" &amp; $C$1), 
  REGEXMATCH(RawData_SemEval!$A$2:$A$398, ""(?i)gpt_title_description""), 
  REGEXMATCH(RawData"&amp;"_SemEval!$A$2:$A$398, ""(?i)"" &amp; $B$5),NOT(REGEXMATCH(RawData_SemEval!$A$2:$A$398,  ""(?i)complete""))
)"),"#N/A")</f>
        <v>#N/A</v>
      </c>
      <c r="E71" s="106" t="str">
        <f>IFERROR(__xludf.DUMMYFUNCTION("FILTER(RawData_SemEval!$B$2:$B$398, 
  REGEXMATCH(RawData_SemEval!$A$2:$A$398, ""(?i)"" &amp; $A$53), 
  REGEXMATCH(RawData_SemEval!$A$2:$A$398, ""(?i)"" &amp; $E$1), 
  REGEXMATCH(RawData_SemEval!$A$2:$A$398, ""(?i)gpt_title_description""), 
  REGEXMATCH(RawData"&amp;"_SemEval!$A$2:$A$398, ""(?i)"" &amp; $B$5),NOT(REGEXMATCH(RawData_SemEval!$A$2:$A$398,  ""(?i)complete""))
)"),"#N/A")</f>
        <v>#N/A</v>
      </c>
      <c r="F71" s="105" t="str">
        <f>IFERROR(__xludf.DUMMYFUNCTION("FILTER(RawData_SemEval!$F$2:$F$398, 
  REGEXMATCH(RawData_SemEval!$A$2:$A$398, ""(?i)"" &amp; $A$53), 
  REGEXMATCH(RawData_SemEval!$A$2:$A$398, ""(?i)"" &amp; $E$1), 
  REGEXMATCH(RawData_SemEval!$A$2:$A$398, ""(?i)gpt_title_description""), 
  REGEXMATCH(RawData"&amp;"_SemEval!$A$2:$A$398, ""(?i)"" &amp; $B$5),NOT(REGEXMATCH(RawData_SemEval!$A$2:$A$398,  ""(?i)complete""))
)"),"#N/A")</f>
        <v>#N/A</v>
      </c>
      <c r="G71" s="106" t="str">
        <f>IFERROR(__xludf.DUMMYFUNCTION("FILTER(RawData_SemEval!$B$2:$B$398, 
  REGEXMATCH(RawData_SemEval!$A$2:$A$398, ""(?i)"" &amp; $A$53), 
  REGEXMATCH(RawData_SemEval!$A$2:$A$398, ""(?i)"" &amp; $G$1), 
  REGEXMATCH(RawData_SemEval!$A$2:$A$398, ""(?i)gpt_title_description""), 
  REGEXMATCH(RawData"&amp;"_SemEval!$A$2:$A$398, ""(?i)"" &amp; $B$5),NOT(REGEXMATCH(RawData_SemEval!$A$2:$A$398,  ""(?i)complete""))
)"),"#N/A")</f>
        <v>#N/A</v>
      </c>
      <c r="H71" s="105" t="str">
        <f>IFERROR(__xludf.DUMMYFUNCTION("FILTER(RawData_SemEval!$F$2:$F$398, 
  REGEXMATCH(RawData_SemEval!$A$2:$A$398, ""(?i)"" &amp; $A$53), 
  REGEXMATCH(RawData_SemEval!$A$2:$A$398, ""(?i)"" &amp; $G$1), 
  REGEXMATCH(RawData_SemEval!$A$2:$A$398, ""(?i)gpt_title_description""), 
  REGEXMATCH(RawData"&amp;"_SemEval!$A$2:$A$398, ""(?i)"" &amp; $B$5),NOT(REGEXMATCH(RawData_SemEval!$A$2:$A$398,  ""(?i)complete""))
)"),"#N/A")</f>
        <v>#N/A</v>
      </c>
    </row>
    <row r="72">
      <c r="A72" s="104"/>
      <c r="B72" s="74" t="s">
        <v>75</v>
      </c>
      <c r="C72" s="107" t="str">
        <f>IFERROR(__xludf.DUMMYFUNCTION("FILTER(RawData_SemEval!$B$2:$B$398, 
  REGEXMATCH(RawData_SemEval!$A$2:$A$398, ""(?i)"" &amp; $A$53), 
  REGEXMATCH(RawData_SemEval!$A$2:$A$398, ""(?i)"" &amp; $C$1), 
  REGEXMATCH(RawData_SemEval!$A$2:$A$398, ""(?i)gpt_title_description""), 
  REGEXMATCH(RawData"&amp;"_SemEval!$A$2:$A$398, ""(?i)"" &amp; $B$6),NOT(REGEXMATCH(RawData_SemEval!$A$2:$A$398,  ""(?i)complete""))
)"),"#N/A")</f>
        <v>#N/A</v>
      </c>
      <c r="D72" s="107" t="str">
        <f>IFERROR(__xludf.DUMMYFUNCTION("FILTER(RawData_SemEval!$F$2:$F$398, 
  REGEXMATCH(RawData_SemEval!$A$2:$A$398, ""(?i)"" &amp; $A$53), 
  REGEXMATCH(RawData_SemEval!$A$2:$A$398, ""(?i)"" &amp; $C$1), 
  REGEXMATCH(RawData_SemEval!$A$2:$A$398, ""(?i)gpt_title_description""), 
  REGEXMATCH(RawData"&amp;"_SemEval!$A$2:$A$398, ""(?i)"" &amp; $B$6),NOT(REGEXMATCH(RawData_SemEval!$A$2:$A$398,  ""(?i)complete""))
)"),"#N/A")</f>
        <v>#N/A</v>
      </c>
      <c r="E72" s="108" t="str">
        <f>IFERROR(__xludf.DUMMYFUNCTION("FILTER(RawData_SemEval!$B$2:$B$398, 
  REGEXMATCH(RawData_SemEval!$A$2:$A$398, ""(?i)"" &amp; $A$53), 
  REGEXMATCH(RawData_SemEval!$A$2:$A$398, ""(?i)"" &amp; $E$1), 
  REGEXMATCH(RawData_SemEval!$A$2:$A$398, ""(?i)gpt_title_description""), 
  REGEXMATCH(RawData"&amp;"_SemEval!$A$2:$A$398, ""(?i)"" &amp; $B$6),NOT(REGEXMATCH(RawData_SemEval!$A$2:$A$398,  ""(?i)complete""))
)"),"#N/A")</f>
        <v>#N/A</v>
      </c>
      <c r="F72" s="107" t="str">
        <f>IFERROR(__xludf.DUMMYFUNCTION("FILTER(RawData_SemEval!$F$2:$F$398, 
  REGEXMATCH(RawData_SemEval!$A$2:$A$398, ""(?i)"" &amp; $A$53), 
  REGEXMATCH(RawData_SemEval!$A$2:$A$398, ""(?i)"" &amp; $E$1), 
  REGEXMATCH(RawData_SemEval!$A$2:$A$398, ""(?i)gpt_title_description""), 
  REGEXMATCH(RawData"&amp;"_SemEval!$A$2:$A$398, ""(?i)"" &amp; $B$6),NOT(REGEXMATCH(RawData_SemEval!$A$2:$A$398,  ""(?i)complete""))
)"),"#N/A")</f>
        <v>#N/A</v>
      </c>
      <c r="G72" s="108" t="str">
        <f>IFERROR(__xludf.DUMMYFUNCTION("FILTER(RawData_SemEval!$B$2:$B$398, 
  REGEXMATCH(RawData_SemEval!$A$2:$A$398, ""(?i)"" &amp; $A$53), 
  REGEXMATCH(RawData_SemEval!$A$2:$A$398, ""(?i)"" &amp; $G$1), 
  REGEXMATCH(RawData_SemEval!$A$2:$A$398, ""(?i)gpt_title_description""), 
  REGEXMATCH(RawData"&amp;"_SemEval!$A$2:$A$398, ""(?i)"" &amp; $B$6),NOT(REGEXMATCH(RawData_SemEval!$A$2:$A$398,  ""(?i)complete""))
)"),"#N/A")</f>
        <v>#N/A</v>
      </c>
      <c r="H72" s="107" t="str">
        <f>IFERROR(__xludf.DUMMYFUNCTION("FILTER(RawData_SemEval!$F$2:$F$398, 
  REGEXMATCH(RawData_SemEval!$A$2:$A$398, ""(?i)"" &amp; $A$53), 
  REGEXMATCH(RawData_SemEval!$A$2:$A$398, ""(?i)"" &amp; $G$1), 
  REGEXMATCH(RawData_SemEval!$A$2:$A$398, ""(?i)gpt_title_description""), 
  REGEXMATCH(RawData"&amp;"_SemEval!$A$2:$A$398, ""(?i)"" &amp; $B$6),NOT(REGEXMATCH(RawData_SemEval!$A$2:$A$398,  ""(?i)complete""))
)"),"#N/A")</f>
        <v>#N/A</v>
      </c>
    </row>
    <row r="73">
      <c r="A73" s="104" t="s">
        <v>2317</v>
      </c>
      <c r="B73" s="7" t="s">
        <v>29</v>
      </c>
      <c r="C73" s="109"/>
      <c r="D73" s="109"/>
      <c r="E73" s="106" t="str">
        <f>IFERROR(__xludf.DUMMYFUNCTION("FILTER(RawData_SemEval!$B$2:$B$398, 
  REGEXMATCH(RawData_SemEval!$A$2:$A$398, ""(?i)"" &amp; $A$53), 
  REGEXMATCH(RawData_SemEval!$A$2:$A$398, ""(?i)"" &amp; $E$1), 
  REGEXMATCH(RawData_SemEval!$A$2:$A$398, ""(?i)gpt_title_description_complete""), 
  NOT(REGEX"&amp;"MATCH(RawData_SemEval!$A$2:$A$398,  ""(?i)ensemble""))
)"),"#N/A")</f>
        <v>#N/A</v>
      </c>
      <c r="F73" s="105" t="str">
        <f>IFERROR(__xludf.DUMMYFUNCTION("FILTER(RawData_SemEval!$F$2:$F$398, 
  REGEXMATCH(RawData_SemEval!$A$2:$A$398, ""(?i)"" &amp; $A$53), 
  REGEXMATCH(RawData_SemEval!$A$2:$A$398, ""(?i)"" &amp; $E$1), 
  REGEXMATCH(RawData_SemEval!$A$2:$A$398, ""(?i)gpt_title_description_complete""), 
  NOT(REGEX"&amp;"MATCH(RawData_SemEval!$A$2:$A$398,  ""(?i)ensemble""))
)"),"#N/A")</f>
        <v>#N/A</v>
      </c>
      <c r="G73" s="106" t="str">
        <f>IFERROR(__xludf.DUMMYFUNCTION("FILTER(RawData_SemEval!$B$2:$B$398, 
  REGEXMATCH(RawData_SemEval!$A$2:$A$398, ""(?i)"" &amp; $A$53), 
  REGEXMATCH(RawData_SemEval!$A$2:$A$398, ""(?i)"" &amp; $G$1), 
  REGEXMATCH(RawData_SemEval!$A$2:$A$398, ""(?i)gpt_title_description_complete""), 
  NOT(REGEX"&amp;"MATCH(RawData_SemEval!$A$2:$A$398,  ""(?i)ensemble""))
)"),"#REF!")</f>
        <v>#REF!</v>
      </c>
      <c r="H73" s="105" t="str">
        <f>IFERROR(__xludf.DUMMYFUNCTION("FILTER(RawData_SemEval!$F$2:$F$398, 
  REGEXMATCH(RawData_SemEval!$A$2:$A$398, ""(?i)"" &amp; $A$53), 
  REGEXMATCH(RawData_SemEval!$A$2:$A$398, ""(?i)"" &amp; $G$1), 
  REGEXMATCH(RawData_SemEval!$A$2:$A$398, ""(?i)gpt_title_description_complete""), 
  NOT(REGEX"&amp;"MATCH(RawData_SemEval!$A$2:$A$398,  ""(?i)ensemble""))
)"),"#REF!")</f>
        <v>#REF!</v>
      </c>
    </row>
    <row r="74">
      <c r="A74" s="104"/>
      <c r="B74" s="7" t="s">
        <v>74</v>
      </c>
      <c r="C74" s="109"/>
      <c r="D74" s="109"/>
      <c r="E74" s="106" t="str">
        <f>IFERROR(__xludf.DUMMYFUNCTION("FILTER(RawData_SemEval!$B$2:$B$398, 
  REGEXMATCH(RawData_SemEval!$A$2:$A$398, ""(?i)"" &amp; $A$53), 
  REGEXMATCH(RawData_SemEval!$A$2:$A$398, ""(?i)"" &amp; $E$1), 
  REGEXMATCH(RawData_SemEval!$A$2:$A$398, ""(?i)gpt_title_description_complete""), 
  REGEXMATC"&amp;"H(RawData_SemEval!$A$2:$A$398, ""(?i)"" &amp; $B$5)
)"),"#N/A")</f>
        <v>#N/A</v>
      </c>
      <c r="F74" s="105" t="str">
        <f>IFERROR(__xludf.DUMMYFUNCTION("FILTER(RawData_SemEval!$F$2:$F$398, 
  REGEXMATCH(RawData_SemEval!$A$2:$A$398, ""(?i)"" &amp; $A$53), 
  REGEXMATCH(RawData_SemEval!$A$2:$A$398, ""(?i)"" &amp; $E$1), 
  REGEXMATCH(RawData_SemEval!$A$2:$A$398, ""(?i)gpt_title_description_complete""), 
  REGEXMATC"&amp;"H(RawData_SemEval!$A$2:$A$398, ""(?i)"" &amp; $B$5)
)"),"#N/A")</f>
        <v>#N/A</v>
      </c>
      <c r="G74" s="106" t="str">
        <f>IFERROR(__xludf.DUMMYFUNCTION("FILTER(RawData_SemEval!$B$2:$B$398, 
  REGEXMATCH(RawData_SemEval!$A$2:$A$398, ""(?i)"" &amp; $A$53), 
  REGEXMATCH(RawData_SemEval!$A$2:$A$398, ""(?i)"" &amp; $G$1), 
  REGEXMATCH(RawData_SemEval!$A$2:$A$398, ""(?i)gpt_title_description_complete""), 
  REGEXMATC"&amp;"H(RawData_SemEval!$A$2:$A$398, ""(?i)"" &amp; $B$5)
)"),"#N/A")</f>
        <v>#N/A</v>
      </c>
      <c r="H74" s="105" t="str">
        <f>IFERROR(__xludf.DUMMYFUNCTION("FILTER(RawData_SemEval!$F$2:$F$398, 
  REGEXMATCH(RawData_SemEval!$A$2:$A$398, ""(?i)"" &amp; $A$53), 
  REGEXMATCH(RawData_SemEval!$A$2:$A$398, ""(?i)"" &amp; $G$1), 
  REGEXMATCH(RawData_SemEval!$A$2:$A$398, ""(?i)gpt_title_description_complete""), 
  REGEXMATC"&amp;"H(RawData_SemEval!$A$2:$A$398, ""(?i)"" &amp; $B$5)
)"),"#N/A")</f>
        <v>#N/A</v>
      </c>
    </row>
    <row r="75">
      <c r="A75" s="111"/>
      <c r="B75" s="75" t="s">
        <v>75</v>
      </c>
      <c r="C75" s="110"/>
      <c r="D75" s="110"/>
      <c r="E75" s="108" t="str">
        <f>IFERROR(__xludf.DUMMYFUNCTION("FILTER(RawData_SemEval!$B$2:$B$398, 
  REGEXMATCH(RawData_SemEval!$A$2:$A$398, ""(?i)"" &amp; $A$53), 
  REGEXMATCH(RawData_SemEval!$A$2:$A$398, ""(?i)"" &amp; $E$1), 
  REGEXMATCH(RawData_SemEval!$A$2:$A$398, ""(?i)gpt_title_description_complete""), 
  REGEXMATC"&amp;"H(RawData_SemEval!$A$2:$A$398, ""(?i)"" &amp; $B$6)
)"),"#N/A")</f>
        <v>#N/A</v>
      </c>
      <c r="F75" s="107" t="str">
        <f>IFERROR(__xludf.DUMMYFUNCTION("FILTER(RawData_SemEval!$F$2:$F$398, 
  REGEXMATCH(RawData_SemEval!$A$2:$A$398, ""(?i)"" &amp; $A$53), 
  REGEXMATCH(RawData_SemEval!$A$2:$A$398, ""(?i)"" &amp; $E$1), 
  REGEXMATCH(RawData_SemEval!$A$2:$A$398, ""(?i)gpt_title_description_complete""), 
  REGEXMATC"&amp;"H(RawData_SemEval!$A$2:$A$398, ""(?i)"" &amp; $B$6)
)"),"#N/A")</f>
        <v>#N/A</v>
      </c>
      <c r="G75" s="108" t="str">
        <f>IFERROR(__xludf.DUMMYFUNCTION("FILTER(RawData_SemEval!$B$2:$B$398, 
  REGEXMATCH(RawData_SemEval!$A$2:$A$398, ""(?i)"" &amp; $A$53), 
  REGEXMATCH(RawData_SemEval!$A$2:$A$398, ""(?i)"" &amp; $G$1), 
  REGEXMATCH(RawData_SemEval!$A$2:$A$398, ""(?i)gpt_title_description_complete""), 
  REGEXMATC"&amp;"H(RawData_SemEval!$A$2:$A$398, ""(?i)"" &amp; $B$6)
)"),"#N/A")</f>
        <v>#N/A</v>
      </c>
      <c r="H75" s="107" t="str">
        <f>IFERROR(__xludf.DUMMYFUNCTION("FILTER(RawData_SemEval!$F$2:$F$398, 
  REGEXMATCH(RawData_SemEval!$A$2:$A$398, ""(?i)"" &amp; $A$53), 
  REGEXMATCH(RawData_SemEval!$A$2:$A$398, ""(?i)"" &amp; $G$1), 
  REGEXMATCH(RawData_SemEval!$A$2:$A$398, ""(?i)gpt_title_description_complete""), 
  REGEXMATC"&amp;"H(RawData_SemEval!$A$2:$A$398, ""(?i)"" &amp; $B$6)
)"),"#N/A")</f>
        <v>#N/A</v>
      </c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</row>
    <row r="76">
      <c r="A76" s="7" t="s">
        <v>2313</v>
      </c>
      <c r="B76" s="70" t="s">
        <v>21</v>
      </c>
      <c r="C76" s="105" t="str">
        <f>IFERROR(__xludf.DUMMYFUNCTION("FILTER(RawData_SemEval!$B$2:$B$398, 
  REGEXMATCH(RawData_SemEval!$A$2:$A$398, ""(?i)"" &amp; $A$77), 
  REGEXMATCH(RawData_SemEval!$A$2:$A$398, ""(?i)"" &amp; $C$1), 
  REGEXMATCH(RawData_SemEval!$A$2:$A$398, ""(?i)"" &amp; $B$4), 
  NOT(REGEXMATCH(RawData_SemEval!$"&amp;"A$2:$A$398,  ""(?i)ensemble""))
)"),"#REF!")</f>
        <v>#REF!</v>
      </c>
      <c r="D76" s="105" t="str">
        <f>IFERROR(__xludf.DUMMYFUNCTION("FILTER(RawData_SemEval!$F$2:$F$398, 
  REGEXMATCH(RawData_SemEval!$A$2:$A$398, ""(?i)"" &amp; $A$77), 
  REGEXMATCH(RawData_SemEval!$A$2:$A$398, ""(?i)"" &amp; $C$1), 
  REGEXMATCH(RawData_SemEval!$A$2:$A$398, ""(?i)"" &amp; $B$4), 
  NOT(REGEXMATCH(RawData_SemEval!$"&amp;"A$2:$A$398,  ""(?i)ensemble""))
)"),"#REF!")</f>
        <v>#REF!</v>
      </c>
      <c r="E76" s="106" t="str">
        <f>IFERROR(__xludf.DUMMYFUNCTION("FILTER(RawData_SemEval!$B$2:$B$398, 
  REGEXMATCH(RawData_SemEval!$A$2:$A$398, ""(?i)"" &amp; $A$77), 
  REGEXMATCH(RawData_SemEval!$A$2:$A$398, ""(?i)"" &amp; $E$1), 
  REGEXMATCH(RawData_SemEval!$A$2:$A$398, ""(?i)"" &amp; $B$4), 
  NOT(REGEXMATCH(RawData_SemEval!$"&amp;"A$2:$A$398,  ""(?i)ensemble""))
)"),"#N/A")</f>
        <v>#N/A</v>
      </c>
      <c r="F76" s="105" t="str">
        <f>IFERROR(__xludf.DUMMYFUNCTION("FILTER(RawData_SemEval!$F$2:$F$398, 
  REGEXMATCH(RawData_SemEval!$A$2:$A$398, ""(?i)"" &amp; $A$77), 
  REGEXMATCH(RawData_SemEval!$A$2:$A$398, ""(?i)"" &amp; $E$1), 
  REGEXMATCH(RawData_SemEval!$A$2:$A$398, ""(?i)"" &amp; $B$4), 
  NOT(REGEXMATCH(RawData_SemEval!$"&amp;"A$2:$A$398,  ""(?i)ensemble""))
)"),"#N/A")</f>
        <v>#N/A</v>
      </c>
      <c r="G76" s="106" t="str">
        <f>IFERROR(__xludf.DUMMYFUNCTION("FILTER(RawData_SemEval!$B$2:$B$398, 
  REGEXMATCH(RawData_SemEval!$A$2:$A$398, ""(?i)"" &amp; $A$77), 
  REGEXMATCH(RawData_SemEval!$A$2:$A$398, ""(?i)"" &amp; $G$1), 
  REGEXMATCH(RawData_SemEval!$A$2:$A$398, ""(?i)"" &amp; $B$4), 
  NOT(REGEXMATCH(RawData_SemEval!$"&amp;"A$2:$A$398,  ""(?i)ensemble""))
)"),"#REF!")</f>
        <v>#REF!</v>
      </c>
      <c r="H76" s="105" t="str">
        <f>IFERROR(__xludf.DUMMYFUNCTION("FILTER(RawData_SemEval!$F$2:$F$398, 
  REGEXMATCH(RawData_SemEval!$A$2:$A$398, ""(?i)"" &amp; $A$77), 
  REGEXMATCH(RawData_SemEval!$A$2:$A$398, ""(?i)"" &amp; $G$1), 
  REGEXMATCH(RawData_SemEval!$A$2:$A$398, ""(?i)"" &amp; $B$4), 
  NOT(REGEXMATCH(RawData_SemEval!$"&amp;"A$2:$A$398,  ""(?i)ensemble""))
)"),"#REF!")</f>
        <v>#REF!</v>
      </c>
    </row>
    <row r="77">
      <c r="A77" s="104" t="s">
        <v>17</v>
      </c>
      <c r="B77" s="70" t="s">
        <v>74</v>
      </c>
      <c r="C77" s="105" t="str">
        <f>IFERROR(__xludf.DUMMYFUNCTION("FILTER(RawData_SemEval!$B$2:$B$398, 
  REGEXMATCH(RawData_SemEval!$A$2:$A$398, ""(?i)"" &amp; $A$77), 
  REGEXMATCH(RawData_SemEval!$A$2:$A$398, ""(?i)"" &amp; $C$1), 
  REGEXMATCH(RawData_SemEval!$A$2:$A$398, ""(?i)"" &amp; $B$4), 
  REGEXMATCH(RawData_SemEval!$A$2:"&amp;"$A$398, ""(?i)"" &amp; $B$5)
)"),"#N/A")</f>
        <v>#N/A</v>
      </c>
      <c r="D77" s="105" t="str">
        <f>IFERROR(__xludf.DUMMYFUNCTION("FILTER(RawData_SemEval!$F$2:$F$398, 
  REGEXMATCH(RawData_SemEval!$A$2:$A$398, ""(?i)"" &amp; $A$77), 
  REGEXMATCH(RawData_SemEval!$A$2:$A$398, ""(?i)"" &amp; $C$1), 
  REGEXMATCH(RawData_SemEval!$A$2:$A$398, ""(?i)"" &amp; $B$4), 
  REGEXMATCH(RawData_SemEval!$A$2:"&amp;"$A$398, ""(?i)"" &amp; $B$5)
)"),"#N/A")</f>
        <v>#N/A</v>
      </c>
      <c r="E77" s="106" t="str">
        <f>IFERROR(__xludf.DUMMYFUNCTION("FILTER(RawData_SemEval!$B$2:$B$398, 
  REGEXMATCH(RawData_SemEval!$A$2:$A$398, ""(?i)"" &amp; $A$77), 
  REGEXMATCH(RawData_SemEval!$A$2:$A$398, ""(?i)"" &amp; $E$1), 
  REGEXMATCH(RawData_SemEval!$A$2:$A$398, ""(?i)"" &amp; $B$4), 
  REGEXMATCH(RawData_SemEval!$A$2:"&amp;"$A$398, ""(?i)"" &amp; $B$5)
)"),"#N/A")</f>
        <v>#N/A</v>
      </c>
      <c r="F77" s="105" t="str">
        <f>IFERROR(__xludf.DUMMYFUNCTION("FILTER(RawData_SemEval!$F$2:$F$398, 
  REGEXMATCH(RawData_SemEval!$A$2:$A$398, ""(?i)"" &amp; $A$77), 
  REGEXMATCH(RawData_SemEval!$A$2:$A$398, ""(?i)"" &amp; $E$1), 
  REGEXMATCH(RawData_SemEval!$A$2:$A$398, ""(?i)"" &amp; $B$4), 
  REGEXMATCH(RawData_SemEval!$A$2:"&amp;"$A$398, ""(?i)"" &amp; $B$5)
)"),"#N/A")</f>
        <v>#N/A</v>
      </c>
      <c r="G77" s="106" t="str">
        <f>IFERROR(__xludf.DUMMYFUNCTION("FILTER(RawData_SemEval!$B$2:$B$398, 
  REGEXMATCH(RawData_SemEval!$A$2:$A$398, ""(?i)"" &amp; $A$77), 
  REGEXMATCH(RawData_SemEval!$A$2:$A$398, ""(?i)"" &amp; $G$1), 
  REGEXMATCH(RawData_SemEval!$A$2:$A$398, ""(?i)"" &amp; $B$4), 
  REGEXMATCH(RawData_SemEval!$A$2:"&amp;"$A$398, ""(?i)"" &amp; $B$5)
)"),"#N/A")</f>
        <v>#N/A</v>
      </c>
      <c r="H77" s="105" t="str">
        <f>IFERROR(__xludf.DUMMYFUNCTION("FILTER(RawData_SemEval!$F$2:$F$398, 
  REGEXMATCH(RawData_SemEval!$A$2:$A$398, ""(?i)"" &amp; $A$77), 
  REGEXMATCH(RawData_SemEval!$A$2:$A$398, ""(?i)"" &amp; $G$1), 
  REGEXMATCH(RawData_SemEval!$A$2:$A$398, ""(?i)"" &amp; $B$4), 
  REGEXMATCH(RawData_SemEval!$A$2:"&amp;"$A$398, ""(?i)"" &amp; $B$5)
)"),"#N/A")</f>
        <v>#N/A</v>
      </c>
    </row>
    <row r="78">
      <c r="A78" s="104"/>
      <c r="B78" s="74" t="s">
        <v>75</v>
      </c>
      <c r="C78" s="107" t="str">
        <f>IFERROR(__xludf.DUMMYFUNCTION("FILTER(RawData_SemEval!$B$2:$B$398, 
  REGEXMATCH(RawData_SemEval!$A$2:$A$398, ""(?i)"" &amp; $A$77), 
  REGEXMATCH(RawData_SemEval!$A$2:$A$398, ""(?i)"" &amp; $C$1), 
  REGEXMATCH(RawData_SemEval!$A$2:$A$398, ""(?i)"" &amp; $B$4), 
  REGEXMATCH(RawData_SemEval!$A$2:"&amp;"$A$398, ""(?i)"" &amp; $B$6)
)"),"#N/A")</f>
        <v>#N/A</v>
      </c>
      <c r="D78" s="107" t="str">
        <f>IFERROR(__xludf.DUMMYFUNCTION("FILTER(RawData_SemEval!$F$2:$F$398, 
  REGEXMATCH(RawData_SemEval!$A$2:$A$398, ""(?i)"" &amp; $A$77), 
  REGEXMATCH(RawData_SemEval!$A$2:$A$398, ""(?i)"" &amp; $C$1), 
  REGEXMATCH(RawData_SemEval!$A$2:$A$398, ""(?i)"" &amp; $B$4), 
  REGEXMATCH(RawData_SemEval!$A$2:"&amp;"$A$398, ""(?i)"" &amp; $B$6)
)"),"#N/A")</f>
        <v>#N/A</v>
      </c>
      <c r="E78" s="108" t="str">
        <f>IFERROR(__xludf.DUMMYFUNCTION("FILTER(RawData_SemEval!$B$2:$B$398, 
  REGEXMATCH(RawData_SemEval!$A$2:$A$398, ""(?i)"" &amp; $A$77), 
  REGEXMATCH(RawData_SemEval!$A$2:$A$398, ""(?i)"" &amp; $E$1), 
  REGEXMATCH(RawData_SemEval!$A$2:$A$398, ""(?i)"" &amp; $B$4), 
  REGEXMATCH(RawData_SemEval!$A$2:"&amp;"$A$398, ""(?i)"" &amp; $B$6)
)"),"#N/A")</f>
        <v>#N/A</v>
      </c>
      <c r="F78" s="107" t="str">
        <f>IFERROR(__xludf.DUMMYFUNCTION("FILTER(RawData_SemEval!$F$2:$F$398, 
  REGEXMATCH(RawData_SemEval!$A$2:$A$398, ""(?i)"" &amp; $A$77), 
  REGEXMATCH(RawData_SemEval!$A$2:$A$398, ""(?i)"" &amp; $E$1), 
  REGEXMATCH(RawData_SemEval!$A$2:$A$398, ""(?i)"" &amp; $B$4), 
  REGEXMATCH(RawData_SemEval!$A$2:"&amp;"$A$398, ""(?i)"" &amp; $B$6)
)"),"#N/A")</f>
        <v>#N/A</v>
      </c>
      <c r="G78" s="108" t="str">
        <f>IFERROR(__xludf.DUMMYFUNCTION("FILTER(RawData_SemEval!$B$2:$B$398, 
  REGEXMATCH(RawData_SemEval!$A$2:$A$398, ""(?i)"" &amp; $A$77), 
  REGEXMATCH(RawData_SemEval!$A$2:$A$398, ""(?i)"" &amp; $G$1), 
  REGEXMATCH(RawData_SemEval!$A$2:$A$398, ""(?i)"" &amp; $B$4), 
  REGEXMATCH(RawData_SemEval!$A$2:"&amp;"$A$398, ""(?i)"" &amp; $B$6)
)"),"#N/A")</f>
        <v>#N/A</v>
      </c>
      <c r="H78" s="107" t="str">
        <f>IFERROR(__xludf.DUMMYFUNCTION("FILTER(RawData_SemEval!$F$2:$F$398, 
  REGEXMATCH(RawData_SemEval!$A$2:$A$398, ""(?i)"" &amp; $A$77), 
  REGEXMATCH(RawData_SemEval!$A$2:$A$398, ""(?i)"" &amp; $G$1), 
  REGEXMATCH(RawData_SemEval!$A$2:$A$398, ""(?i)"" &amp; $B$4), 
  REGEXMATCH(RawData_SemEval!$A$2:"&amp;"$A$398, ""(?i)"" &amp; $B$6)
)"),"#N/A")</f>
        <v>#N/A</v>
      </c>
    </row>
    <row r="79">
      <c r="A79" s="104" t="s">
        <v>2315</v>
      </c>
      <c r="B79" s="7" t="s">
        <v>26</v>
      </c>
      <c r="C79" s="105" t="str">
        <f>IFERROR(__xludf.DUMMYFUNCTION("FILTER(RawData_SemEval!$B$2:$B$398, 
  REGEXMATCH(RawData_SemEval!$A$2:$A$398, ""(?i)"" &amp; $A$77), 
  REGEXMATCH(RawData_SemEval!$A$2:$A$398, ""(?i)"" &amp; $C$1), 
  REGEXMATCH(RawData_SemEval!$A$2:$A$398, ""(?i)"" &amp; $B$7), 
  NOT(REGEXMATCH(RawData_SemEval!$"&amp;"A$2:$A$398,  ""(?i)ensemble""))
)"),"#REF!")</f>
        <v>#REF!</v>
      </c>
      <c r="D79" s="105" t="str">
        <f>IFERROR(__xludf.DUMMYFUNCTION("FILTER(RawData_SemEval!$F$2:$F$398, 
  REGEXMATCH(RawData_SemEval!$A$2:$A$398, ""(?i)"" &amp; $A$77), 
  REGEXMATCH(RawData_SemEval!$A$2:$A$398, ""(?i)"" &amp; $C$1), 
  REGEXMATCH(RawData_SemEval!$A$2:$A$398, ""(?i)"" &amp; $B$7), 
  NOT(REGEXMATCH(RawData_SemEval!$"&amp;"A$2:$A$398,  ""(?i)ensemble""))
)"),"#REF!")</f>
        <v>#REF!</v>
      </c>
      <c r="E79" s="106" t="str">
        <f>IFERROR(__xludf.DUMMYFUNCTION("FILTER(RawData_SemEval!$B$2:$B$398, 
  REGEXMATCH(RawData_SemEval!$A$2:$A$398, ""(?i)"" &amp; $A$77), 
  REGEXMATCH(RawData_SemEval!$A$2:$A$398, ""(?i)"" &amp; $E$1), 
  REGEXMATCH(RawData_SemEval!$A$2:$A$398, ""(?i)"" &amp; $B$7), 
  NOT(REGEXMATCH(RawData_SemEval!$"&amp;"A$2:$A$398,  ""(?i)ensemble""))
)"),"#N/A")</f>
        <v>#N/A</v>
      </c>
      <c r="F79" s="105" t="str">
        <f>IFERROR(__xludf.DUMMYFUNCTION("FILTER(RawData_SemEval!$F$2:$F$398, 
  REGEXMATCH(RawData_SemEval!$A$2:$A$398, ""(?i)"" &amp; $A$77), 
  REGEXMATCH(RawData_SemEval!$A$2:$A$398, ""(?i)"" &amp; $E$1), 
  REGEXMATCH(RawData_SemEval!$A$2:$A$398, ""(?i)"" &amp; $B$7), 
  NOT(REGEXMATCH(RawData_SemEval!$"&amp;"A$2:$A$398,  ""(?i)ensemble""))
)"),"#N/A")</f>
        <v>#N/A</v>
      </c>
      <c r="G79" s="106" t="str">
        <f>IFERROR(__xludf.DUMMYFUNCTION("FILTER(RawData_SemEval!$B$2:$B$398, 
  REGEXMATCH(RawData_SemEval!$A$2:$A$398, ""(?i)"" &amp; $A$77), 
  REGEXMATCH(RawData_SemEval!$A$2:$A$398, ""(?i)"" &amp; $G$1), 
  REGEXMATCH(RawData_SemEval!$A$2:$A$398, ""(?i)"" &amp; $B$7), 
  NOT(REGEXMATCH(RawData_SemEval!$"&amp;"A$2:$A$398,  ""(?i)ensemble""))
)"),"#REF!")</f>
        <v>#REF!</v>
      </c>
      <c r="H79" s="105" t="str">
        <f>IFERROR(__xludf.DUMMYFUNCTION("FILTER(RawData_SemEval!$F$2:$F$398, 
  REGEXMATCH(RawData_SemEval!$A$2:$A$398, ""(?i)"" &amp; $A$77), 
  REGEXMATCH(RawData_SemEval!$A$2:$A$398, ""(?i)"" &amp; $G$1), 
  REGEXMATCH(RawData_SemEval!$A$2:$A$398, ""(?i)"" &amp; $B$7), 
  NOT(REGEXMATCH(RawData_SemEval!$"&amp;"A$2:$A$398,  ""(?i)ensemble""))
)"),"#REF!")</f>
        <v>#REF!</v>
      </c>
    </row>
    <row r="80">
      <c r="A80" s="104"/>
      <c r="B80" s="7" t="s">
        <v>74</v>
      </c>
      <c r="C80" s="105" t="str">
        <f>IFERROR(__xludf.DUMMYFUNCTION("FILTER(RawData_SemEval!$B$2:$B$398, 
  REGEXMATCH(RawData_SemEval!$A$2:$A$398, ""(?i)"" &amp; $A$77), 
  REGEXMATCH(RawData_SemEval!$A$2:$A$398, ""(?i)"" &amp; $C$1), 
  REGEXMATCH(RawData_SemEval!$A$2:$A$398, ""(?i)"" &amp; $B$7), 
  REGEXMATCH(RawData_SemEval!$A$2:"&amp;"$A$398, ""(?i)"" &amp; $B$5)
)"),"#N/A")</f>
        <v>#N/A</v>
      </c>
      <c r="D80" s="105" t="str">
        <f>IFERROR(__xludf.DUMMYFUNCTION("FILTER(RawData_SemEval!$F$2:$F$398, 
  REGEXMATCH(RawData_SemEval!$A$2:$A$398, ""(?i)"" &amp; $A$77), 
  REGEXMATCH(RawData_SemEval!$A$2:$A$398, ""(?i)"" &amp; $C$1), 
  REGEXMATCH(RawData_SemEval!$A$2:$A$398, ""(?i)"" &amp; $B$7), 
  REGEXMATCH(RawData_SemEval!$A$2:"&amp;"$A$398, ""(?i)"" &amp; $B$5)
)"),"#N/A")</f>
        <v>#N/A</v>
      </c>
      <c r="E80" s="106" t="str">
        <f>IFERROR(__xludf.DUMMYFUNCTION("FILTER(RawData_SemEval!$B$2:$B$398, 
  REGEXMATCH(RawData_SemEval!$A$2:$A$398, ""(?i)"" &amp; $A$77), 
  REGEXMATCH(RawData_SemEval!$A$2:$A$398, ""(?i)"" &amp; $E$1), 
  REGEXMATCH(RawData_SemEval!$A$2:$A$398, ""(?i)"" &amp; $B$7), 
  REGEXMATCH(RawData_SemEval!$A$2:"&amp;"$A$398, ""(?i)"" &amp; $B$5)
)"),"#N/A")</f>
        <v>#N/A</v>
      </c>
      <c r="F80" s="105" t="str">
        <f>IFERROR(__xludf.DUMMYFUNCTION("FILTER(RawData_SemEval!$F$2:$F$398, 
  REGEXMATCH(RawData_SemEval!$A$2:$A$398, ""(?i)"" &amp; $A$77), 
  REGEXMATCH(RawData_SemEval!$A$2:$A$398, ""(?i)"" &amp; $E$1), 
  REGEXMATCH(RawData_SemEval!$A$2:$A$398, ""(?i)"" &amp; $B$7), 
  REGEXMATCH(RawData_SemEval!$A$2:"&amp;"$A$398, ""(?i)"" &amp; $B$5)
)"),"#N/A")</f>
        <v>#N/A</v>
      </c>
      <c r="G80" s="106" t="str">
        <f>IFERROR(__xludf.DUMMYFUNCTION("FILTER(RawData_SemEval!$B$2:$B$398, 
  REGEXMATCH(RawData_SemEval!$A$2:$A$398, ""(?i)"" &amp; $A$77), 
  REGEXMATCH(RawData_SemEval!$A$2:$A$398, ""(?i)"" &amp; $G$1), 
  REGEXMATCH(RawData_SemEval!$A$2:$A$398, ""(?i)"" &amp; $B$7), 
  REGEXMATCH(RawData_SemEval!$A$2:"&amp;"$A$398, ""(?i)"" &amp; $B$5)
)"),"#N/A")</f>
        <v>#N/A</v>
      </c>
      <c r="H80" s="105" t="str">
        <f>IFERROR(__xludf.DUMMYFUNCTION("FILTER(RawData_SemEval!$F$2:$F$398, 
  REGEXMATCH(RawData_SemEval!$A$2:$A$398, ""(?i)"" &amp; $A$77), 
  REGEXMATCH(RawData_SemEval!$A$2:$A$398, ""(?i)"" &amp; $G$1), 
  REGEXMATCH(RawData_SemEval!$A$2:$A$398, ""(?i)"" &amp; $B$7), 
  REGEXMATCH(RawData_SemEval!$A$2:"&amp;"$A$398, ""(?i)"" &amp; $B$5)
)"),"#N/A")</f>
        <v>#N/A</v>
      </c>
    </row>
    <row r="81">
      <c r="A81" s="104"/>
      <c r="B81" s="74" t="s">
        <v>75</v>
      </c>
      <c r="C81" s="107" t="str">
        <f>IFERROR(__xludf.DUMMYFUNCTION("FILTER(RawData_SemEval!$B$2:$B$398, 
  REGEXMATCH(RawData_SemEval!$A$2:$A$398, ""(?i)"" &amp; $A$77), 
  REGEXMATCH(RawData_SemEval!$A$2:$A$398, ""(?i)"" &amp; $C$1), 
  REGEXMATCH(RawData_SemEval!$A$2:$A$398, ""(?i)"" &amp; $B$7), 
  REGEXMATCH(RawData_SemEval!$A$2:"&amp;"$A$398, ""(?i)"" &amp; $B$6)
)"),"#N/A")</f>
        <v>#N/A</v>
      </c>
      <c r="D81" s="107" t="str">
        <f>IFERROR(__xludf.DUMMYFUNCTION("FILTER(RawData_SemEval!$F$2:$F$398, 
  REGEXMATCH(RawData_SemEval!$A$2:$A$398, ""(?i)"" &amp; $A$77), 
  REGEXMATCH(RawData_SemEval!$A$2:$A$398, ""(?i)"" &amp; $C$1), 
  REGEXMATCH(RawData_SemEval!$A$2:$A$398, ""(?i)"" &amp; $B$7), 
  REGEXMATCH(RawData_SemEval!$A$2:"&amp;"$A$398, ""(?i)"" &amp; $B$6)
)"),"#N/A")</f>
        <v>#N/A</v>
      </c>
      <c r="E81" s="108" t="str">
        <f>IFERROR(__xludf.DUMMYFUNCTION("FILTER(RawData_SemEval!$B$2:$B$398, 
  REGEXMATCH(RawData_SemEval!$A$2:$A$398, ""(?i)"" &amp; $A$77), 
  REGEXMATCH(RawData_SemEval!$A$2:$A$398, ""(?i)"" &amp; $E$1), 
  REGEXMATCH(RawData_SemEval!$A$2:$A$398, ""(?i)"" &amp; $B$7), 
  REGEXMATCH(RawData_SemEval!$A$2:"&amp;"$A$398, ""(?i)"" &amp; $B$6)
)"),"#N/A")</f>
        <v>#N/A</v>
      </c>
      <c r="F81" s="107" t="str">
        <f>IFERROR(__xludf.DUMMYFUNCTION("FILTER(RawData_SemEval!$F$2:$F$398, 
  REGEXMATCH(RawData_SemEval!$A$2:$A$398, ""(?i)"" &amp; $A$77), 
  REGEXMATCH(RawData_SemEval!$A$2:$A$398, ""(?i)"" &amp; $E$1), 
  REGEXMATCH(RawData_SemEval!$A$2:$A$398, ""(?i)"" &amp; $B$7), 
  REGEXMATCH(RawData_SemEval!$A$2:"&amp;"$A$398, ""(?i)"" &amp; $B$6)
)"),"#N/A")</f>
        <v>#N/A</v>
      </c>
      <c r="G81" s="108" t="str">
        <f>IFERROR(__xludf.DUMMYFUNCTION("FILTER(RawData_SemEval!$B$2:$B$398, 
  REGEXMATCH(RawData_SemEval!$A$2:$A$398, ""(?i)"" &amp; $A$77), 
  REGEXMATCH(RawData_SemEval!$A$2:$A$398, ""(?i)"" &amp; $G$1), 
  REGEXMATCH(RawData_SemEval!$A$2:$A$398, ""(?i)"" &amp; $B$7), 
  REGEXMATCH(RawData_SemEval!$A$2:"&amp;"$A$398, ""(?i)"" &amp; $B$6)
)"),"#N/A")</f>
        <v>#N/A</v>
      </c>
      <c r="H81" s="107" t="str">
        <f>IFERROR(__xludf.DUMMYFUNCTION("FILTER(RawData_SemEval!$F$2:$F$398, 
  REGEXMATCH(RawData_SemEval!$A$2:$A$398, ""(?i)"" &amp; $A$77), 
  REGEXMATCH(RawData_SemEval!$A$2:$A$398, ""(?i)"" &amp; $G$1), 
  REGEXMATCH(RawData_SemEval!$A$2:$A$398, ""(?i)"" &amp; $B$7), 
  REGEXMATCH(RawData_SemEval!$A$2:"&amp;"$A$398, ""(?i)"" &amp; $B$6)
)"),"#N/A")</f>
        <v>#N/A</v>
      </c>
    </row>
    <row r="82">
      <c r="A82" s="104" t="s">
        <v>2318</v>
      </c>
      <c r="B82" s="7" t="s">
        <v>20</v>
      </c>
      <c r="C82" s="105" t="str">
        <f>IFERROR(__xludf.DUMMYFUNCTION("FILTER(RawData_SemEval!$B$2:$B$398, 
  REGEXMATCH(RawData_SemEval!$A$2:$A$398, ""(?i)"" &amp; $A$77), 
  REGEXMATCH(RawData_SemEval!$A$2:$A$398, ""(?i)"" &amp; $C$1), 
  REGEXMATCH(RawData_SemEval!$A$2:$A$398, ""(?i)"" &amp; $A$82), 
  NOT(REGEXMATCH(RawData_SemEval!"&amp;"$A$2:$A$398,  ""(?i)ensemble""))
)"),"#REF!")</f>
        <v>#REF!</v>
      </c>
      <c r="D82" s="105" t="str">
        <f>IFERROR(__xludf.DUMMYFUNCTION("FILTER(RawData_SemEval!$F$2:$F$398, 
  REGEXMATCH(RawData_SemEval!$A$2:$A$398, ""(?i)"" &amp; $A$77), 
  REGEXMATCH(RawData_SemEval!$A$2:$A$398, ""(?i)"" &amp; $C$1), 
  REGEXMATCH(RawData_SemEval!$A$2:$A$398, ""(?i)"" &amp; $A$82), 
  NOT(REGEXMATCH(RawData_SemEval!"&amp;"$A$2:$A$398,  ""(?i)ensemble""))
)"),"#REF!")</f>
        <v>#REF!</v>
      </c>
      <c r="E82" s="106" t="str">
        <f>IFERROR(__xludf.DUMMYFUNCTION("FILTER(RawData_SemEval!$B$2:$B$398, 
  REGEXMATCH(RawData_SemEval!$A$2:$A$398, ""(?i)"" &amp; $A$77), 
  REGEXMATCH(RawData_SemEval!$A$2:$A$398, ""(?i)"" &amp; $E$1), 
  REGEXMATCH(RawData_SemEval!$A$2:$A$398, ""(?i)"" &amp; $A$82), 
  NOT(REGEXMATCH(RawData_SemEval!"&amp;"$A$2:$A$398,  ""(?i)ensemble""))
)"),"#N/A")</f>
        <v>#N/A</v>
      </c>
      <c r="F82" s="105" t="str">
        <f>IFERROR(__xludf.DUMMYFUNCTION("FILTER(RawData_SemEval!$F$2:$F$398, 
  REGEXMATCH(RawData_SemEval!$A$2:$A$398, ""(?i)"" &amp; $A$77), 
  REGEXMATCH(RawData_SemEval!$A$2:$A$398, ""(?i)"" &amp; $E$1), 
  REGEXMATCH(RawData_SemEval!$A$2:$A$398, ""(?i)"" &amp; $A$82), 
  NOT(REGEXMATCH(RawData_SemEval!"&amp;"$A$2:$A$398,  ""(?i)ensemble""))
)"),"#N/A")</f>
        <v>#N/A</v>
      </c>
      <c r="G82" s="106" t="str">
        <f>IFERROR(__xludf.DUMMYFUNCTION("FILTER(RawData_SemEval!$B$2:$B$398, 
  REGEXMATCH(RawData_SemEval!$A$2:$A$398, ""(?i)"" &amp; $A$77), 
  REGEXMATCH(RawData_SemEval!$A$2:$A$398, ""(?i)"" &amp; $G$1), 
  REGEXMATCH(RawData_SemEval!$A$2:$A$398, ""(?i)"" &amp; $A$82), 
  NOT(REGEXMATCH(RawData_SemEval!"&amp;"$A$2:$A$398,  ""(?i)ensemble""))
)"),"#REF!")</f>
        <v>#REF!</v>
      </c>
      <c r="H82" s="105" t="str">
        <f>IFERROR(__xludf.DUMMYFUNCTION("FILTER(RawData_SemEval!$F$2:$F$398, 
  REGEXMATCH(RawData_SemEval!$A$2:$A$398, ""(?i)"" &amp; $A$77), 
  REGEXMATCH(RawData_SemEval!$A$2:$A$398, ""(?i)"" &amp; $G$1), 
  REGEXMATCH(RawData_SemEval!$A$2:$A$398, ""(?i)"" &amp; $A$82), 
  NOT(REGEXMATCH(RawData_SemEval!"&amp;"$A$2:$A$398,  ""(?i)ensemble""))
)"),"#REF!")</f>
        <v>#REF!</v>
      </c>
    </row>
    <row r="83">
      <c r="A83" s="104"/>
      <c r="B83" s="7" t="s">
        <v>74</v>
      </c>
      <c r="C83" s="105" t="str">
        <f>IFERROR(__xludf.DUMMYFUNCTION("FILTER(RawData_SemEval!$B$2:$B$398, 
  REGEXMATCH(RawData_SemEval!$A$2:$A$398, ""(?i)"" &amp; $A$77), 
  REGEXMATCH(RawData_SemEval!$A$2:$A$398, ""(?i)"" &amp; $C$1), 
  REGEXMATCH(RawData_SemEval!$A$2:$A$398, ""(?i)"" &amp; $A$82), 
  REGEXMATCH(RawData_SemEval!$A$2"&amp;":$A$398, ""(?i)"" &amp; $B$5)
)"),"#N/A")</f>
        <v>#N/A</v>
      </c>
      <c r="D83" s="105" t="str">
        <f>IFERROR(__xludf.DUMMYFUNCTION("FILTER(RawData_SemEval!$F$2:$F$398, 
  REGEXMATCH(RawData_SemEval!$A$2:$A$398, ""(?i)"" &amp; $A$77), 
  REGEXMATCH(RawData_SemEval!$A$2:$A$398, ""(?i)"" &amp; $C$1), 
  REGEXMATCH(RawData_SemEval!$A$2:$A$398, ""(?i)"" &amp; $A$82), 
  REGEXMATCH(RawData_SemEval!$A$2"&amp;":$A$398, ""(?i)"" &amp; $B$5)
)"),"#N/A")</f>
        <v>#N/A</v>
      </c>
      <c r="E83" s="106" t="str">
        <f>IFERROR(__xludf.DUMMYFUNCTION("FILTER(RawData_SemEval!$B$2:$B$398, 
  REGEXMATCH(RawData_SemEval!$A$2:$A$398, ""(?i)"" &amp; $A$77), 
  REGEXMATCH(RawData_SemEval!$A$2:$A$398, ""(?i)"" &amp; $E$1), 
  REGEXMATCH(RawData_SemEval!$A$2:$A$398, ""(?i)"" &amp; $A$82), 
  REGEXMATCH(RawData_SemEval!$A$2"&amp;":$A$398, ""(?i)"" &amp; $B$5)
)"),"#N/A")</f>
        <v>#N/A</v>
      </c>
      <c r="F83" s="105" t="str">
        <f>IFERROR(__xludf.DUMMYFUNCTION("FILTER(RawData_SemEval!$F$2:$F$398, 
  REGEXMATCH(RawData_SemEval!$A$2:$A$398, ""(?i)"" &amp; $A$77), 
  REGEXMATCH(RawData_SemEval!$A$2:$A$398, ""(?i)"" &amp; $E$1), 
  REGEXMATCH(RawData_SemEval!$A$2:$A$398, ""(?i)"" &amp; $A$82), 
  REGEXMATCH(RawData_SemEval!$A$2"&amp;":$A$398, ""(?i)"" &amp; $B$5)
)"),"#N/A")</f>
        <v>#N/A</v>
      </c>
      <c r="G83" s="106" t="str">
        <f>IFERROR(__xludf.DUMMYFUNCTION("FILTER(RawData_SemEval!$B$2:$B$398, 
  REGEXMATCH(RawData_SemEval!$A$2:$A$398, ""(?i)"" &amp; $A$77), 
  REGEXMATCH(RawData_SemEval!$A$2:$A$398, ""(?i)"" &amp; $G$1), 
  REGEXMATCH(RawData_SemEval!$A$2:$A$398, ""(?i)"" &amp; $A$82), 
  REGEXMATCH(RawData_SemEval!$A$2"&amp;":$A$398, ""(?i)"" &amp; $B$5)
)"),"#N/A")</f>
        <v>#N/A</v>
      </c>
      <c r="H83" s="105" t="str">
        <f>IFERROR(__xludf.DUMMYFUNCTION("FILTER(RawData_SemEval!$F$2:$F$398, 
  REGEXMATCH(RawData_SemEval!$A$2:$A$398, ""(?i)"" &amp; $A$77), 
  REGEXMATCH(RawData_SemEval!$A$2:$A$398, ""(?i)"" &amp; $G$1), 
  REGEXMATCH(RawData_SemEval!$A$2:$A$398, ""(?i)"" &amp; $A$82), 
  REGEXMATCH(RawData_SemEval!$A$2"&amp;":$A$398, ""(?i)"" &amp; $B$5)
)"),"#N/A")</f>
        <v>#N/A</v>
      </c>
    </row>
    <row r="84">
      <c r="A84" s="104"/>
      <c r="B84" s="74" t="s">
        <v>75</v>
      </c>
      <c r="C84" s="107" t="str">
        <f>IFERROR(__xludf.DUMMYFUNCTION("FILTER(RawData_SemEval!$B$2:$B$398, 
  REGEXMATCH(RawData_SemEval!$A$2:$A$398, ""(?i)"" &amp; $A$77), 
  REGEXMATCH(RawData_SemEval!$A$2:$A$398, ""(?i)"" &amp; $C$1), 
  REGEXMATCH(RawData_SemEval!$A$2:$A$398, ""(?i)"" &amp; $A$82), 
  REGEXMATCH(RawData_SemEval!$A$2"&amp;":$A$398, ""(?i)"" &amp; $B$6)
)"),"#N/A")</f>
        <v>#N/A</v>
      </c>
      <c r="D84" s="107" t="str">
        <f>IFERROR(__xludf.DUMMYFUNCTION("FILTER(RawData_SemEval!$F$2:$F$398, 
  REGEXMATCH(RawData_SemEval!$A$2:$A$398, ""(?i)"" &amp; $A$77), 
  REGEXMATCH(RawData_SemEval!$A$2:$A$398, ""(?i)"" &amp; $C$1), 
  REGEXMATCH(RawData_SemEval!$A$2:$A$398, ""(?i)"" &amp; $A$82), 
  REGEXMATCH(RawData_SemEval!$A$2"&amp;":$A$398, ""(?i)"" &amp; $B$6)
)"),"#N/A")</f>
        <v>#N/A</v>
      </c>
      <c r="E84" s="108" t="str">
        <f>IFERROR(__xludf.DUMMYFUNCTION("FILTER(RawData_SemEval!$B$2:$B$398, 
  REGEXMATCH(RawData_SemEval!$A$2:$A$398, ""(?i)"" &amp; $A$77), 
  REGEXMATCH(RawData_SemEval!$A$2:$A$398, ""(?i)"" &amp; $E$1), 
  REGEXMATCH(RawData_SemEval!$A$2:$A$398, ""(?i)"" &amp; $A$82), 
  REGEXMATCH(RawData_SemEval!$A$2"&amp;":$A$398, ""(?i)"" &amp; $B$6)
)"),"#N/A")</f>
        <v>#N/A</v>
      </c>
      <c r="F84" s="107" t="str">
        <f>IFERROR(__xludf.DUMMYFUNCTION("FILTER(RawData_SemEval!$F$2:$F$398, 
  REGEXMATCH(RawData_SemEval!$A$2:$A$398, ""(?i)"" &amp; $A$77), 
  REGEXMATCH(RawData_SemEval!$A$2:$A$398, ""(?i)"" &amp; $E$1), 
  REGEXMATCH(RawData_SemEval!$A$2:$A$398, ""(?i)"" &amp; $A$82), 
  REGEXMATCH(RawData_SemEval!$A$2"&amp;":$A$398, ""(?i)"" &amp; $B$6)
)"),"#N/A")</f>
        <v>#N/A</v>
      </c>
      <c r="G84" s="108" t="str">
        <f>IFERROR(__xludf.DUMMYFUNCTION("FILTER(RawData_SemEval!$B$2:$B$398, 
  REGEXMATCH(RawData_SemEval!$A$2:$A$398, ""(?i)"" &amp; $A$77), 
  REGEXMATCH(RawData_SemEval!$A$2:$A$398, ""(?i)"" &amp; $G$1), 
  REGEXMATCH(RawData_SemEval!$A$2:$A$398, ""(?i)"" &amp; $A$82), 
  REGEXMATCH(RawData_SemEval!$A$2"&amp;":$A$398, ""(?i)"" &amp; $B$6)
)"),"#N/A")</f>
        <v>#N/A</v>
      </c>
      <c r="H84" s="107" t="str">
        <f>IFERROR(__xludf.DUMMYFUNCTION("FILTER(RawData_SemEval!$F$2:$F$398, 
  REGEXMATCH(RawData_SemEval!$A$2:$A$398, ""(?i)"" &amp; $A$77), 
  REGEXMATCH(RawData_SemEval!$A$2:$A$398, ""(?i)"" &amp; $G$1), 
  REGEXMATCH(RawData_SemEval!$A$2:$A$398, ""(?i)"" &amp; $A$82), 
  REGEXMATCH(RawData_SemEval!$A$2"&amp;":$A$398, ""(?i)"" &amp; $B$6)
)"),"#N/A")</f>
        <v>#N/A</v>
      </c>
    </row>
    <row r="85">
      <c r="A85" s="104" t="s">
        <v>2319</v>
      </c>
      <c r="B85" s="7" t="s">
        <v>24</v>
      </c>
      <c r="C85" s="105" t="str">
        <f>IFERROR(__xludf.DUMMYFUNCTION("FILTER(RawData_SemEval!$B$2:$B$398, 
  REGEXMATCH(RawData_SemEval!$A$2:$A$398, ""(?i)"" &amp; $A$77), 
  REGEXMATCH(RawData_SemEval!$A$2:$A$398, ""(?i)"" &amp; $C$1), 
  REGEXMATCH(RawData_SemEval!$A$2:$A$398, ""(?i)"" &amp; $A$85), 
  NOT(REGEXMATCH(RawData_SemEval!"&amp;"$A$2:$A$398,  ""(?i)ensemble"")),NOT(REGEXMATCH(RawData_SemEval!$A$2:$A$398,  ""(?i)complete""))
)"),"#REF!")</f>
        <v>#REF!</v>
      </c>
      <c r="D85" s="105" t="str">
        <f>IFERROR(__xludf.DUMMYFUNCTION("FILTER(RawData_SemEval!$F$2:$F$398, 
  REGEXMATCH(RawData_SemEval!$A$2:$A$398, ""(?i)"" &amp; $A$77), 
  REGEXMATCH(RawData_SemEval!$A$2:$A$398, ""(?i)"" &amp; $C$1), 
  REGEXMATCH(RawData_SemEval!$A$2:$A$398, ""(?i)"" &amp; $A$85), 
  NOT(REGEXMATCH(RawData_SemEval!"&amp;"$A$2:$A$398,  ""(?i)ensemble"")), NOT(REGEXMATCH(RawData_SemEval!$A$2:$A$398,  ""(?i)complete""))
)"),"#REF!")</f>
        <v>#REF!</v>
      </c>
      <c r="E85" s="106" t="str">
        <f>IFERROR(__xludf.DUMMYFUNCTION("FILTER(RawData_SemEval!$B$2:$B$398, 
  REGEXMATCH(RawData_SemEval!$A$2:$A$398, ""(?i)"" &amp; $A$77), 
  REGEXMATCH(RawData_SemEval!$A$2:$A$398, ""(?i)"" &amp; $E$1), 
  REGEXMATCH(RawData_SemEval!$A$2:$A$398, ""(?i)"" &amp; $A$85), 
  NOT(REGEXMATCH(RawData_SemEval!"&amp;"$A$2:$A$398,  ""(?i)ensemble"")),NOT(REGEXMATCH(RawData_SemEval!$A$2:$A$398,  ""(?i)complete""))
)"),"#N/A")</f>
        <v>#N/A</v>
      </c>
      <c r="F85" s="105" t="str">
        <f>IFERROR(__xludf.DUMMYFUNCTION("FILTER(RawData_SemEval!$F$2:$F$398, 
  REGEXMATCH(RawData_SemEval!$A$2:$A$398, ""(?i)"" &amp; $A$77), 
  REGEXMATCH(RawData_SemEval!$A$2:$A$398, ""(?i)"" &amp; $E$1), 
  REGEXMATCH(RawData_SemEval!$A$2:$A$398, ""(?i)"" &amp; $A$85), 
  NOT(REGEXMATCH(RawData_SemEval!"&amp;"$A$2:$A$398,  ""(?i)ensemble"")),NOT(REGEXMATCH(RawData_SemEval!$A$2:$A$398,  ""(?i)complete""))
)"),"#N/A")</f>
        <v>#N/A</v>
      </c>
      <c r="G85" s="106" t="str">
        <f>IFERROR(__xludf.DUMMYFUNCTION("FILTER(RawData_SemEval!$B$2:$B$398, 
  REGEXMATCH(RawData_SemEval!$A$2:$A$398, ""(?i)"" &amp; $A$77), 
  REGEXMATCH(RawData_SemEval!$A$2:$A$398, ""(?i)"" &amp; $G$1), 
  REGEXMATCH(RawData_SemEval!$A$2:$A$398, ""(?i)"" &amp; $A$85), 
  NOT(REGEXMATCH(RawData_SemEval!"&amp;"$A$2:$A$398,  ""(?i)ensemble"")),NOT(REGEXMATCH(RawData_SemEval!$A$2:$A$398,  ""(?i)complete""))
)"),"#REF!")</f>
        <v>#REF!</v>
      </c>
      <c r="H85" s="105" t="str">
        <f>IFERROR(__xludf.DUMMYFUNCTION("FILTER(RawData_SemEval!$F$2:$F$398, 
  REGEXMATCH(RawData_SemEval!$A$2:$A$398, ""(?i)"" &amp; $A$77), 
  REGEXMATCH(RawData_SemEval!$A$2:$A$398, ""(?i)"" &amp; $G$1), 
  REGEXMATCH(RawData_SemEval!$A$2:$A$398, ""(?i)"" &amp; $A$85), 
  NOT(REGEXMATCH(RawData_SemEval!"&amp;"$A$2:$A$398,  ""(?i)ensemble"")),NOT(REGEXMATCH(RawData_SemEval!$A$2:$A$398,  ""(?i)complete""))
)"),"#REF!")</f>
        <v>#REF!</v>
      </c>
    </row>
    <row r="86">
      <c r="A86" s="104"/>
      <c r="B86" s="7" t="s">
        <v>74</v>
      </c>
      <c r="C86" s="105" t="str">
        <f>IFERROR(__xludf.DUMMYFUNCTION("FILTER(RawData_SemEval!$B$2:$B$398, 
  REGEXMATCH(RawData_SemEval!$A$2:$A$398, ""(?i)"" &amp; $A$77), 
  REGEXMATCH(RawData_SemEval!$A$2:$A$398, ""(?i)"" &amp; $C$1), 
  REGEXMATCH(RawData_SemEval!$A$2:$A$398, ""(?i)"" &amp; $A$85), 
  REGEXMATCH(RawData_SemEval!$A$2"&amp;":$A$398, ""(?i)"" &amp; $B$5),NOT(REGEXMATCH(RawData_SemEval!$A$2:$A$398,  ""(?i)complete""))
)"),"#N/A")</f>
        <v>#N/A</v>
      </c>
      <c r="D86" s="105" t="str">
        <f>IFERROR(__xludf.DUMMYFUNCTION("FILTER(RawData_SemEval!$F$2:$F$398, 
  REGEXMATCH(RawData_SemEval!$A$2:$A$398, ""(?i)"" &amp; $A$77), 
  REGEXMATCH(RawData_SemEval!$A$2:$A$398, ""(?i)"" &amp; $C$1), 
  REGEXMATCH(RawData_SemEval!$A$2:$A$398, ""(?i)"" &amp; $A$85), 
  REGEXMATCH(RawData_SemEval!$A$2"&amp;":$A$398, ""(?i)"" &amp; $B$5),NOT(REGEXMATCH(RawData_SemEval!$A$2:$A$398,  ""(?i)complete""))
)"),"#N/A")</f>
        <v>#N/A</v>
      </c>
      <c r="E86" s="106" t="str">
        <f>IFERROR(__xludf.DUMMYFUNCTION("FILTER(RawData_SemEval!$B$2:$B$398, 
  REGEXMATCH(RawData_SemEval!$A$2:$A$398, ""(?i)"" &amp; $A$77), 
  REGEXMATCH(RawData_SemEval!$A$2:$A$398, ""(?i)"" &amp; $E$1), 
  REGEXMATCH(RawData_SemEval!$A$2:$A$398, ""(?i)"" &amp; $A$85), 
  REGEXMATCH(RawData_SemEval!$A$2"&amp;":$A$398, ""(?i)"" &amp; $B$5),NOT(REGEXMATCH(RawData_SemEval!$A$2:$A$398,  ""(?i)complete""))
)"),"#N/A")</f>
        <v>#N/A</v>
      </c>
      <c r="F86" s="105" t="str">
        <f>IFERROR(__xludf.DUMMYFUNCTION("FILTER(RawData_SemEval!$F$2:$F$398, 
  REGEXMATCH(RawData_SemEval!$A$2:$A$398, ""(?i)"" &amp; $A$77), 
  REGEXMATCH(RawData_SemEval!$A$2:$A$398, ""(?i)"" &amp; $E$1), 
  REGEXMATCH(RawData_SemEval!$A$2:$A$398, ""(?i)"" &amp; $A$85), 
  REGEXMATCH(RawData_SemEval!$A$2"&amp;":$A$398, ""(?i)"" &amp; $B$5),NOT(REGEXMATCH(RawData_SemEval!$A$2:$A$398,  ""(?i)complete""))
)"),"#N/A")</f>
        <v>#N/A</v>
      </c>
      <c r="G86" s="106" t="str">
        <f>IFERROR(__xludf.DUMMYFUNCTION("FILTER(RawData_SemEval!$B$2:$B$398, 
  REGEXMATCH(RawData_SemEval!$A$2:$A$398, ""(?i)"" &amp; $A$77), 
  REGEXMATCH(RawData_SemEval!$A$2:$A$398, ""(?i)"" &amp; $G$1), 
  REGEXMATCH(RawData_SemEval!$A$2:$A$398, ""(?i)"" &amp; $A$85), 
  REGEXMATCH(RawData_SemEval!$A$2"&amp;":$A$398, ""(?i)"" &amp; $B$5),NOT(REGEXMATCH(RawData_SemEval!$A$2:$A$398,  ""(?i)complete""))
)"),"#N/A")</f>
        <v>#N/A</v>
      </c>
      <c r="H86" s="105" t="str">
        <f>IFERROR(__xludf.DUMMYFUNCTION("FILTER(RawData_SemEval!$F$2:$F$398, 
  REGEXMATCH(RawData_SemEval!$A$2:$A$398, ""(?i)"" &amp; $A$77), 
  REGEXMATCH(RawData_SemEval!$A$2:$A$398, ""(?i)"" &amp; $G$1), 
  REGEXMATCH(RawData_SemEval!$A$2:$A$398, ""(?i)"" &amp; $A$85), 
  REGEXMATCH(RawData_SemEval!$A$2"&amp;":$A$398, ""(?i)"" &amp; $B$5),NOT(REGEXMATCH(RawData_SemEval!$A$2:$A$398,  ""(?i)complete""))
)"),"#N/A")</f>
        <v>#N/A</v>
      </c>
    </row>
    <row r="87">
      <c r="A87" s="104"/>
      <c r="B87" s="74" t="s">
        <v>75</v>
      </c>
      <c r="C87" s="107" t="str">
        <f>IFERROR(__xludf.DUMMYFUNCTION("FILTER(RawData_SemEval!$B$2:$B$398, 
  REGEXMATCH(RawData_SemEval!$A$2:$A$398, ""(?i)"" &amp; $A$77), 
  REGEXMATCH(RawData_SemEval!$A$2:$A$398, ""(?i)"" &amp; $C$1), 
  REGEXMATCH(RawData_SemEval!$A$2:$A$398, ""(?i)"" &amp; $A$85), 
  REGEXMATCH(RawData_SemEval!$A$2"&amp;":$A$398, ""(?i)"" &amp; $B$6),NOT(REGEXMATCH(RawData_SemEval!$A$2:$A$398,  ""(?i)complete""))
)"),"#N/A")</f>
        <v>#N/A</v>
      </c>
      <c r="D87" s="107" t="str">
        <f>IFERROR(__xludf.DUMMYFUNCTION("FILTER(RawData_SemEval!$F$2:$F$398, 
  REGEXMATCH(RawData_SemEval!$A$2:$A$398, ""(?i)"" &amp; $A$77), 
  REGEXMATCH(RawData_SemEval!$A$2:$A$398, ""(?i)"" &amp; $C$1), 
  REGEXMATCH(RawData_SemEval!$A$2:$A$398, ""(?i)"" &amp; $A$85), 
  REGEXMATCH(RawData_SemEval!$A$2"&amp;":$A$398, ""(?i)"" &amp; $B$6),NOT(REGEXMATCH(RawData_SemEval!$A$2:$A$398,  ""(?i)complete""))
)"),"#N/A")</f>
        <v>#N/A</v>
      </c>
      <c r="E87" s="108" t="str">
        <f>IFERROR(__xludf.DUMMYFUNCTION("FILTER(RawData_SemEval!$B$2:$B$398, 
  REGEXMATCH(RawData_SemEval!$A$2:$A$398, ""(?i)"" &amp; $A$77), 
  REGEXMATCH(RawData_SemEval!$A$2:$A$398, ""(?i)"" &amp; $E$1), 
  REGEXMATCH(RawData_SemEval!$A$2:$A$398, ""(?i)"" &amp; $A$85), 
  REGEXMATCH(RawData_SemEval!$A$2"&amp;":$A$398, ""(?i)"" &amp; $B$6),NOT(REGEXMATCH(RawData_SemEval!$A$2:$A$398,  ""(?i)complete""))
)"),"#N/A")</f>
        <v>#N/A</v>
      </c>
      <c r="F87" s="107" t="str">
        <f>IFERROR(__xludf.DUMMYFUNCTION("FILTER(RawData_SemEval!$F$2:$F$398, 
  REGEXMATCH(RawData_SemEval!$A$2:$A$398, ""(?i)"" &amp; $A$77), 
  REGEXMATCH(RawData_SemEval!$A$2:$A$398, ""(?i)"" &amp; $E$1), 
  REGEXMATCH(RawData_SemEval!$A$2:$A$398, ""(?i)"" &amp; $A$85), 
  REGEXMATCH(RawData_SemEval!$A$2"&amp;":$A$398, ""(?i)"" &amp; $B$6),NOT(REGEXMATCH(RawData_SemEval!$A$2:$A$398,  ""(?i)complete""))
)"),"#N/A")</f>
        <v>#N/A</v>
      </c>
      <c r="G87" s="108" t="str">
        <f>IFERROR(__xludf.DUMMYFUNCTION("FILTER(RawData_SemEval!$B$2:$B$398, 
  REGEXMATCH(RawData_SemEval!$A$2:$A$398, ""(?i)"" &amp; $A$77), 
  REGEXMATCH(RawData_SemEval!$A$2:$A$398, ""(?i)"" &amp; $G$1), 
  REGEXMATCH(RawData_SemEval!$A$2:$A$398, ""(?i)"" &amp; $A$85), 
  REGEXMATCH(RawData_SemEval!$A$2"&amp;":$A$398, ""(?i)"" &amp; $B$6),NOT(REGEXMATCH(RawData_SemEval!$A$2:$A$398,  ""(?i)complete""))
)"),"#N/A")</f>
        <v>#N/A</v>
      </c>
      <c r="H87" s="107" t="str">
        <f>IFERROR(__xludf.DUMMYFUNCTION("FILTER(RawData_SemEval!$F$2:$F$398, 
  REGEXMATCH(RawData_SemEval!$A$2:$A$398, ""(?i)"" &amp; $A$77), 
  REGEXMATCH(RawData_SemEval!$A$2:$A$398, ""(?i)"" &amp; $G$1), 
  REGEXMATCH(RawData_SemEval!$A$2:$A$398, ""(?i)"" &amp; $A$85), 
  REGEXMATCH(RawData_SemEval!$A$2"&amp;":$A$398, ""(?i)"" &amp; $B$6),NOT(REGEXMATCH(RawData_SemEval!$A$2:$A$398,  ""(?i)complete""))
)"),"#N/A")</f>
        <v>#N/A</v>
      </c>
    </row>
    <row r="88">
      <c r="A88" s="104" t="s">
        <v>2320</v>
      </c>
      <c r="B88" s="7" t="s">
        <v>28</v>
      </c>
      <c r="C88" s="105" t="str">
        <f>IFERROR(__xludf.DUMMYFUNCTION("FILTER(RawData_SemEval!$B$2:$B$398, 
  REGEXMATCH(RawData_SemEval!$A$2:$A$398, ""(?i)"" &amp; $A$77), 
  REGEXMATCH(RawData_SemEval!$A$2:$A$398, ""(?i)"" &amp; $C$1), 
  REGEXMATCH(RawData_SemEval!$A$2:$A$398, ""(?i)"" &amp; $A$88), 
  NOT(REGEXMATCH(RawData_SemEval!"&amp;"$A$2:$A$398,  ""(?i)ensemble""))
)"),"#REF!")</f>
        <v>#REF!</v>
      </c>
      <c r="D88" s="105" t="str">
        <f>IFERROR(__xludf.DUMMYFUNCTION("FILTER(RawData_SemEval!$F$2:$F$398, 
  REGEXMATCH(RawData_SemEval!$A$2:$A$398, ""(?i)"" &amp; $A$77), 
  REGEXMATCH(RawData_SemEval!$A$2:$A$398, ""(?i)"" &amp; $C$1), 
  REGEXMATCH(RawData_SemEval!$A$2:$A$398, ""(?i)"" &amp; $A$88), 
  NOT(REGEXMATCH(RawData_SemEval!"&amp;"$A$2:$A$398,  ""(?i)ensemble""))
)"),"#REF!")</f>
        <v>#REF!</v>
      </c>
      <c r="E88" s="106" t="str">
        <f>IFERROR(__xludf.DUMMYFUNCTION("FILTER(RawData_SemEval!$B$2:$B$398, 
  REGEXMATCH(RawData_SemEval!$A$2:$A$398, ""(?i)"" &amp; $A$77), 
  REGEXMATCH(RawData_SemEval!$A$2:$A$398, ""(?i)"" &amp; $E$1), 
  REGEXMATCH(RawData_SemEval!$A$2:$A$398, ""(?i)"" &amp; $A$88), 
  NOT(REGEXMATCH(RawData_SemEval!"&amp;"$A$2:$A$398,  ""(?i)ensemble""))
)"),"#N/A")</f>
        <v>#N/A</v>
      </c>
      <c r="F88" s="105" t="str">
        <f>IFERROR(__xludf.DUMMYFUNCTION("FILTER(RawData_SemEval!$F$2:$F$398, 
  REGEXMATCH(RawData_SemEval!$A$2:$A$398, ""(?i)"" &amp; $A$77), 
  REGEXMATCH(RawData_SemEval!$A$2:$A$398, ""(?i)"" &amp; $E$1), 
  REGEXMATCH(RawData_SemEval!$A$2:$A$398, ""(?i)"" &amp; $A$88), 
  NOT(REGEXMATCH(RawData_SemEval!"&amp;"$A$2:$A$398,  ""(?i)ensemble""))
)"),"#N/A")</f>
        <v>#N/A</v>
      </c>
      <c r="G88" s="106" t="str">
        <f>IFERROR(__xludf.DUMMYFUNCTION("FILTER(RawData_SemEval!$B$2:$B$398, 
  REGEXMATCH(RawData_SemEval!$A$2:$A$398, ""(?i)"" &amp; $A$77), 
  REGEXMATCH(RawData_SemEval!$A$2:$A$398, ""(?i)"" &amp; $G$1), 
  REGEXMATCH(RawData_SemEval!$A$2:$A$398, ""(?i)"" &amp; $A$88), 
  NOT(REGEXMATCH(RawData_SemEval!"&amp;"$A$2:$A$398,  ""(?i)ensemble""))
)"),"#REF!")</f>
        <v>#REF!</v>
      </c>
      <c r="H88" s="105" t="str">
        <f>IFERROR(__xludf.DUMMYFUNCTION("FILTER(RawData_SemEval!$F$2:$F$398, 
  REGEXMATCH(RawData_SemEval!$A$2:$A$398, ""(?i)"" &amp; $A$77), 
  REGEXMATCH(RawData_SemEval!$A$2:$A$398, ""(?i)"" &amp; $G$1), 
  REGEXMATCH(RawData_SemEval!$A$2:$A$398, ""(?i)"" &amp; $A$88), 
  NOT(REGEXMATCH(RawData_SemEval!"&amp;"$A$2:$A$398,  ""(?i)ensemble""))
)"),"#REF!")</f>
        <v>#REF!</v>
      </c>
    </row>
    <row r="89">
      <c r="A89" s="104"/>
      <c r="B89" s="7" t="s">
        <v>74</v>
      </c>
      <c r="C89" s="105" t="str">
        <f>IFERROR(__xludf.DUMMYFUNCTION("FILTER(RawData_SemEval!$B$2:$B$398, 
  REGEXMATCH(RawData_SemEval!$A$2:$A$398, ""(?i)"" &amp; $A$77), 
  REGEXMATCH(RawData_SemEval!$A$2:$A$398, ""(?i)"" &amp; $C$1), 
  REGEXMATCH(RawData_SemEval!$A$2:$A$398, ""(?i)"" &amp; $A$88), 
  REGEXMATCH(RawData_SemEval!$A$2"&amp;":$A$398, ""(?i)"" &amp; $B$5)
)"),"#N/A")</f>
        <v>#N/A</v>
      </c>
      <c r="D89" s="105" t="str">
        <f>IFERROR(__xludf.DUMMYFUNCTION("FILTER(RawData_SemEval!$F$2:$F$398, 
  REGEXMATCH(RawData_SemEval!$A$2:$A$398, ""(?i)"" &amp; $A$77), 
  REGEXMATCH(RawData_SemEval!$A$2:$A$398, ""(?i)"" &amp; $C$1), 
  REGEXMATCH(RawData_SemEval!$A$2:$A$398, ""(?i)"" &amp; $A$88), 
  REGEXMATCH(RawData_SemEval!$A$2"&amp;":$A$398, ""(?i)"" &amp; $B$5)
)"),"#N/A")</f>
        <v>#N/A</v>
      </c>
      <c r="E89" s="106" t="str">
        <f>IFERROR(__xludf.DUMMYFUNCTION("FILTER(RawData_SemEval!$B$2:$B$398, 
  REGEXMATCH(RawData_SemEval!$A$2:$A$398, ""(?i)"" &amp; $A$77), 
  REGEXMATCH(RawData_SemEval!$A$2:$A$398, ""(?i)"" &amp; $E$1), 
  REGEXMATCH(RawData_SemEval!$A$2:$A$398, ""(?i)"" &amp; $A$88), 
  REGEXMATCH(RawData_SemEval!$A$2"&amp;":$A$398, ""(?i)"" &amp; $B$5)
)"),"#N/A")</f>
        <v>#N/A</v>
      </c>
      <c r="F89" s="105" t="str">
        <f>IFERROR(__xludf.DUMMYFUNCTION("FILTER(RawData_SemEval!$F$2:$F$398, 
  REGEXMATCH(RawData_SemEval!$A$2:$A$398, ""(?i)"" &amp; $A$77), 
  REGEXMATCH(RawData_SemEval!$A$2:$A$398, ""(?i)"" &amp; $E$1), 
  REGEXMATCH(RawData_SemEval!$A$2:$A$398, ""(?i)"" &amp; $A$88), 
  REGEXMATCH(RawData_SemEval!$A$2"&amp;":$A$398, ""(?i)"" &amp; $B$5)
)"),"#N/A")</f>
        <v>#N/A</v>
      </c>
      <c r="G89" s="106" t="str">
        <f>IFERROR(__xludf.DUMMYFUNCTION("FILTER(RawData_SemEval!$B$2:$B$398, 
  REGEXMATCH(RawData_SemEval!$A$2:$A$398, ""(?i)"" &amp; $A$77), 
  REGEXMATCH(RawData_SemEval!$A$2:$A$398, ""(?i)"" &amp; $G$1), 
  REGEXMATCH(RawData_SemEval!$A$2:$A$398, ""(?i)"" &amp; $A$88), 
  REGEXMATCH(RawData_SemEval!$A$2"&amp;":$A$398, ""(?i)"" &amp; $B$5)
)"),"#N/A")</f>
        <v>#N/A</v>
      </c>
      <c r="H89" s="105" t="str">
        <f>IFERROR(__xludf.DUMMYFUNCTION("FILTER(RawData_SemEval!$F$2:$F$398, 
  REGEXMATCH(RawData_SemEval!$A$2:$A$398, ""(?i)"" &amp; $A$77), 
  REGEXMATCH(RawData_SemEval!$A$2:$A$398, ""(?i)"" &amp; $G$1), 
  REGEXMATCH(RawData_SemEval!$A$2:$A$398, ""(?i)"" &amp; $A$88), 
  REGEXMATCH(RawData_SemEval!$A$2"&amp;":$A$398, ""(?i)"" &amp; $B$5)
)"),"#N/A")</f>
        <v>#N/A</v>
      </c>
    </row>
    <row r="90">
      <c r="A90" s="104"/>
      <c r="B90" s="74" t="s">
        <v>75</v>
      </c>
      <c r="C90" s="107" t="str">
        <f>IFERROR(__xludf.DUMMYFUNCTION("FILTER(RawData_SemEval!$B$2:$B$398, 
  REGEXMATCH(RawData_SemEval!$A$2:$A$398, ""(?i)"" &amp; $A$77), 
  REGEXMATCH(RawData_SemEval!$A$2:$A$398, ""(?i)"" &amp; $C$1), 
  REGEXMATCH(RawData_SemEval!$A$2:$A$398, ""(?i)"" &amp; $A$88), 
  REGEXMATCH(RawData_SemEval!$A$2"&amp;":$A$398, ""(?i)"" &amp; $B$6)
)"),"#N/A")</f>
        <v>#N/A</v>
      </c>
      <c r="D90" s="107" t="str">
        <f>IFERROR(__xludf.DUMMYFUNCTION("FILTER(RawData_SemEval!$F$2:$F$398, 
  REGEXMATCH(RawData_SemEval!$A$2:$A$398, ""(?i)"" &amp; $A$77), 
  REGEXMATCH(RawData_SemEval!$A$2:$A$398, ""(?i)"" &amp; $C$1), 
  REGEXMATCH(RawData_SemEval!$A$2:$A$398, ""(?i)"" &amp; $A$88), 
  REGEXMATCH(RawData_SemEval!$A$2"&amp;":$A$398, ""(?i)"" &amp; $B$6)
)"),"#N/A")</f>
        <v>#N/A</v>
      </c>
      <c r="E90" s="108" t="str">
        <f>IFERROR(__xludf.DUMMYFUNCTION("FILTER(RawData_SemEval!$B$2:$B$398, 
  REGEXMATCH(RawData_SemEval!$A$2:$A$398, ""(?i)"" &amp; $A$77), 
  REGEXMATCH(RawData_SemEval!$A$2:$A$398, ""(?i)"" &amp; $E$1), 
  REGEXMATCH(RawData_SemEval!$A$2:$A$398, ""(?i)"" &amp; $A$88), 
  REGEXMATCH(RawData_SemEval!$A$2"&amp;":$A$398, ""(?i)"" &amp; $B$6)
)"),"#N/A")</f>
        <v>#N/A</v>
      </c>
      <c r="F90" s="107" t="str">
        <f>IFERROR(__xludf.DUMMYFUNCTION("FILTER(RawData_SemEval!$F$2:$F$398, 
  REGEXMATCH(RawData_SemEval!$A$2:$A$398, ""(?i)"" &amp; $A$77), 
  REGEXMATCH(RawData_SemEval!$A$2:$A$398, ""(?i)"" &amp; $E$1), 
  REGEXMATCH(RawData_SemEval!$A$2:$A$398, ""(?i)"" &amp; $A$88), 
  REGEXMATCH(RawData_SemEval!$A$2"&amp;":$A$398, ""(?i)"" &amp; $B$6)
)"),"#N/A")</f>
        <v>#N/A</v>
      </c>
      <c r="G90" s="108" t="str">
        <f>IFERROR(__xludf.DUMMYFUNCTION("FILTER(RawData_SemEval!$B$2:$B$398, 
  REGEXMATCH(RawData_SemEval!$A$2:$A$398, ""(?i)"" &amp; $A$77), 
  REGEXMATCH(RawData_SemEval!$A$2:$A$398, ""(?i)"" &amp; $G$1), 
  REGEXMATCH(RawData_SemEval!$A$2:$A$398, ""(?i)"" &amp; $A$88), 
  REGEXMATCH(RawData_SemEval!$A$2"&amp;":$A$398, ""(?i)"" &amp; $B$6)
)"),"#N/A")</f>
        <v>#N/A</v>
      </c>
      <c r="H90" s="107" t="str">
        <f>IFERROR(__xludf.DUMMYFUNCTION("FILTER(RawData_SemEval!$F$2:$F$398, 
  REGEXMATCH(RawData_SemEval!$A$2:$A$398, ""(?i)"" &amp; $A$77), 
  REGEXMATCH(RawData_SemEval!$A$2:$A$398, ""(?i)"" &amp; $G$1), 
  REGEXMATCH(RawData_SemEval!$A$2:$A$398, ""(?i)"" &amp; $A$88), 
  REGEXMATCH(RawData_SemEval!$A$2"&amp;":$A$398, ""(?i)"" &amp; $B$6)
)"),"#N/A")</f>
        <v>#N/A</v>
      </c>
    </row>
    <row r="91">
      <c r="A91" s="104" t="s">
        <v>2345</v>
      </c>
      <c r="B91" s="7" t="s">
        <v>22</v>
      </c>
      <c r="C91" s="105" t="str">
        <f>IFERROR(__xludf.DUMMYFUNCTION("FILTER(RawData_SemEval!$B$2:$B$398, 
  REGEXMATCH(RawData_SemEval!$A$2:$A$398, ""(?i)"" &amp; $A$77), 
  REGEXMATCH(RawData_SemEval!$A$2:$A$398, ""(?i)"" &amp; $C$1), 
  REGEXMATCH(RawData_SemEval!$A$2:$A$398, ""(?i)gpt_only_title""), 
  NOT(REGEXMATCH(RawData_Se"&amp;"mEval!$A$2:$A$398,  ""(?i)ensemble""))
)"),"#REF!")</f>
        <v>#REF!</v>
      </c>
      <c r="D91" s="105" t="str">
        <f>IFERROR(__xludf.DUMMYFUNCTION("FILTER(RawData_SemEval!$F$2:$F$398, 
  REGEXMATCH(RawData_SemEval!$A$2:$A$398, ""(?i)"" &amp; $A$77), 
  REGEXMATCH(RawData_SemEval!$A$2:$A$398, ""(?i)"" &amp; $C$1), 
  REGEXMATCH(RawData_SemEval!$A$2:$A$398, ""(?i)gpt_only_title""), 
  NOT(REGEXMATCH(RawData_Se"&amp;"mEval!$A$2:$A$398,  ""(?i)ensemble""))
)"),"#REF!")</f>
        <v>#REF!</v>
      </c>
      <c r="E91" s="106" t="str">
        <f>IFERROR(__xludf.DUMMYFUNCTION("FILTER(RawData_SemEval!$B$2:$B$398, 
  REGEXMATCH(RawData_SemEval!$A$2:$A$398, ""(?i)"" &amp; $A$77), 
  REGEXMATCH(RawData_SemEval!$A$2:$A$398, ""(?i)"" &amp; $E$1), 
  REGEXMATCH(RawData_SemEval!$A$2:$A$398, ""(?i)gpt_only_title""), 
  NOT(REGEXMATCH(RawData_Se"&amp;"mEval!$A$2:$A$398,  ""(?i)ensemble""))
)"),"#N/A")</f>
        <v>#N/A</v>
      </c>
      <c r="F91" s="105" t="str">
        <f>IFERROR(__xludf.DUMMYFUNCTION("FILTER(RawData_SemEval!$F$2:$F$398, 
  REGEXMATCH(RawData_SemEval!$A$2:$A$398, ""(?i)"" &amp; $A$77), 
  REGEXMATCH(RawData_SemEval!$A$2:$A$398, ""(?i)"" &amp; $E$1), 
  REGEXMATCH(RawData_SemEval!$A$2:$A$398, ""(?i)gpt_only_title""), 
  NOT(REGEXMATCH(RawData_Se"&amp;"mEval!$A$2:$A$398,  ""(?i)ensemble""))
)"),"#N/A")</f>
        <v>#N/A</v>
      </c>
      <c r="G91" s="106" t="str">
        <f>IFERROR(__xludf.DUMMYFUNCTION("FILTER(RawData_SemEval!$B$2:$B$398, 
  REGEXMATCH(RawData_SemEval!$A$2:$A$398, ""(?i)"" &amp; $A$77), 
  REGEXMATCH(RawData_SemEval!$A$2:$A$398, ""(?i)"" &amp; $G$1), 
  REGEXMATCH(RawData_SemEval!$A$2:$A$398, ""(?i)gpt_only_title""), 
  NOT(REGEXMATCH(RawData_Se"&amp;"mEval!$A$2:$A$398,  ""(?i)ensemble""))
)"),"#REF!")</f>
        <v>#REF!</v>
      </c>
      <c r="H91" s="105" t="str">
        <f>IFERROR(__xludf.DUMMYFUNCTION("FILTER(RawData_SemEval!$F$2:$F$398, 
  REGEXMATCH(RawData_SemEval!$A$2:$A$398, ""(?i)"" &amp; $A$77), 
  REGEXMATCH(RawData_SemEval!$A$2:$A$398, ""(?i)"" &amp; $G$1), 
  REGEXMATCH(RawData_SemEval!$A$2:$A$398, ""(?i)gpt_only_title""), 
  NOT(REGEXMATCH(RawData_Se"&amp;"mEval!$A$2:$A$398,  ""(?i)ensemble""))
)"),"#REF!")</f>
        <v>#REF!</v>
      </c>
    </row>
    <row r="92">
      <c r="A92" s="104"/>
      <c r="B92" s="7" t="s">
        <v>74</v>
      </c>
      <c r="C92" s="105" t="str">
        <f>IFERROR(__xludf.DUMMYFUNCTION("FILTER(RawData_SemEval!$B$2:$B$398, 
  REGEXMATCH(RawData_SemEval!$A$2:$A$398, ""(?i)"" &amp; $A$77), 
  REGEXMATCH(RawData_SemEval!$A$2:$A$398, ""(?i)"" &amp; $C$1), 
  REGEXMATCH(RawData_SemEval!$A$2:$A$398, ""(?i)gpt_only_title""), 
  REGEXMATCH(RawData_SemEva"&amp;"l!$A$2:$A$398, ""(?i)"" &amp; $B$5)
)"),"#N/A")</f>
        <v>#N/A</v>
      </c>
      <c r="D92" s="105" t="str">
        <f>IFERROR(__xludf.DUMMYFUNCTION("FILTER(RawData_SemEval!$F$2:$F$398, 
  REGEXMATCH(RawData_SemEval!$A$2:$A$398, ""(?i)"" &amp; $A$77), 
  REGEXMATCH(RawData_SemEval!$A$2:$A$398, ""(?i)"" &amp; $C$1), 
  REGEXMATCH(RawData_SemEval!$A$2:$A$398, ""(?i)gpt_only_title""), 
  REGEXMATCH(RawData_SemEva"&amp;"l!$A$2:$A$398, ""(?i)"" &amp; $B$5)
)"),"#N/A")</f>
        <v>#N/A</v>
      </c>
      <c r="E92" s="106" t="str">
        <f>IFERROR(__xludf.DUMMYFUNCTION("FILTER(RawData_SemEval!$B$2:$B$398, 
  REGEXMATCH(RawData_SemEval!$A$2:$A$398, ""(?i)"" &amp; $A$77), 
  REGEXMATCH(RawData_SemEval!$A$2:$A$398, ""(?i)"" &amp; $E$1), 
  REGEXMATCH(RawData_SemEval!$A$2:$A$398, ""(?i)gpt_only_title""), 
  REGEXMATCH(RawData_SemEva"&amp;"l!$A$2:$A$398, ""(?i)"" &amp; $B$5)
)"),"#N/A")</f>
        <v>#N/A</v>
      </c>
      <c r="F92" s="105" t="str">
        <f>IFERROR(__xludf.DUMMYFUNCTION("FILTER(RawData_SemEval!$F$2:$F$398, 
  REGEXMATCH(RawData_SemEval!$A$2:$A$398, ""(?i)"" &amp; $A$77), 
  REGEXMATCH(RawData_SemEval!$A$2:$A$398, ""(?i)"" &amp; $E$1), 
  REGEXMATCH(RawData_SemEval!$A$2:$A$398, ""(?i)gpt_only_title""), 
  REGEXMATCH(RawData_SemEva"&amp;"l!$A$2:$A$398, ""(?i)"" &amp; $B$5)
)"),"#N/A")</f>
        <v>#N/A</v>
      </c>
      <c r="G92" s="106" t="str">
        <f>IFERROR(__xludf.DUMMYFUNCTION("FILTER(RawData_SemEval!$B$2:$B$398, 
  REGEXMATCH(RawData_SemEval!$A$2:$A$398, ""(?i)"" &amp; $A$77), 
  REGEXMATCH(RawData_SemEval!$A$2:$A$398, ""(?i)"" &amp; $G$1), 
  REGEXMATCH(RawData_SemEval!$A$2:$A$398, ""(?i)gpt_only_title""), 
  REGEXMATCH(RawData_SemEva"&amp;"l!$A$2:$A$398, ""(?i)"" &amp; $B$5)
)"),"#N/A")</f>
        <v>#N/A</v>
      </c>
      <c r="H92" s="105" t="str">
        <f>IFERROR(__xludf.DUMMYFUNCTION("FILTER(RawData_SemEval!$F$2:$F$398, 
  REGEXMATCH(RawData_SemEval!$A$2:$A$398, ""(?i)"" &amp; $A$77), 
  REGEXMATCH(RawData_SemEval!$A$2:$A$398, ""(?i)"" &amp; $G$1), 
  REGEXMATCH(RawData_SemEval!$A$2:$A$398, ""(?i)gpt_only_title""), 
  REGEXMATCH(RawData_SemEva"&amp;"l!$A$2:$A$398, ""(?i)"" &amp; $B$5)
)"),"#N/A")</f>
        <v>#N/A</v>
      </c>
    </row>
    <row r="93">
      <c r="A93" s="104"/>
      <c r="B93" s="74" t="s">
        <v>75</v>
      </c>
      <c r="C93" s="107" t="str">
        <f>IFERROR(__xludf.DUMMYFUNCTION("FILTER(RawData_SemEval!$B$2:$B$398, 
  REGEXMATCH(RawData_SemEval!$A$2:$A$398, ""(?i)"" &amp; $A$77), 
  REGEXMATCH(RawData_SemEval!$A$2:$A$398, ""(?i)"" &amp; $C$1), 
  REGEXMATCH(RawData_SemEval!$A$2:$A$398, ""(?i)gpt_only_title""), 
  REGEXMATCH(RawData_SemEva"&amp;"l!$A$2:$A$398, ""(?i)"" &amp; $B$6)
)"),"#N/A")</f>
        <v>#N/A</v>
      </c>
      <c r="D93" s="107" t="str">
        <f>IFERROR(__xludf.DUMMYFUNCTION("FILTER(RawData_SemEval!$F$2:$F$398, 
  REGEXMATCH(RawData_SemEval!$A$2:$A$398, ""(?i)"" &amp; $A$77), 
  REGEXMATCH(RawData_SemEval!$A$2:$A$398, ""(?i)"" &amp; $C$1), 
  REGEXMATCH(RawData_SemEval!$A$2:$A$398, ""(?i)gpt_only_title""), 
  REGEXMATCH(RawData_SemEva"&amp;"l!$A$2:$A$398, ""(?i)"" &amp; $B$6)
)"),"#N/A")</f>
        <v>#N/A</v>
      </c>
      <c r="E93" s="108" t="str">
        <f>IFERROR(__xludf.DUMMYFUNCTION("FILTER(RawData_SemEval!$B$2:$B$398, 
  REGEXMATCH(RawData_SemEval!$A$2:$A$398, ""(?i)"" &amp; $A$77), 
  REGEXMATCH(RawData_SemEval!$A$2:$A$398, ""(?i)"" &amp; $E$1), 
  REGEXMATCH(RawData_SemEval!$A$2:$A$398, ""(?i)gpt_only_title""), 
  REGEXMATCH(RawData_SemEva"&amp;"l!$A$2:$A$398, ""(?i)"" &amp; $B$6)
)"),"#N/A")</f>
        <v>#N/A</v>
      </c>
      <c r="F93" s="107" t="str">
        <f>IFERROR(__xludf.DUMMYFUNCTION("FILTER(RawData_SemEval!$F$2:$F$398, 
  REGEXMATCH(RawData_SemEval!$A$2:$A$398, ""(?i)"" &amp; $A$77), 
  REGEXMATCH(RawData_SemEval!$A$2:$A$398, ""(?i)"" &amp; $E$1), 
  REGEXMATCH(RawData_SemEval!$A$2:$A$398, ""(?i)gpt_only_title""), 
  REGEXMATCH(RawData_SemEva"&amp;"l!$A$2:$A$398, ""(?i)"" &amp; $B$6)
)"),"#N/A")</f>
        <v>#N/A</v>
      </c>
      <c r="G93" s="108" t="str">
        <f>IFERROR(__xludf.DUMMYFUNCTION("FILTER(RawData_SemEval!$B$2:$B$398, 
  REGEXMATCH(RawData_SemEval!$A$2:$A$398, ""(?i)"" &amp; $A$77), 
  REGEXMATCH(RawData_SemEval!$A$2:$A$398, ""(?i)"" &amp; $G$1), 
  REGEXMATCH(RawData_SemEval!$A$2:$A$398, ""(?i)gpt_only_title""), 
  REGEXMATCH(RawData_SemEva"&amp;"l!$A$2:$A$398, ""(?i)"" &amp; $B$6)
)"),"#N/A")</f>
        <v>#N/A</v>
      </c>
      <c r="H93" s="107" t="str">
        <f>IFERROR(__xludf.DUMMYFUNCTION("FILTER(RawData_SemEval!$F$2:$F$398, 
  REGEXMATCH(RawData_SemEval!$A$2:$A$398, ""(?i)"" &amp; $A$77), 
  REGEXMATCH(RawData_SemEval!$A$2:$A$398, ""(?i)"" &amp; $G$1), 
  REGEXMATCH(RawData_SemEval!$A$2:$A$398, ""(?i)gpt_only_title""), 
  REGEXMATCH(RawData_SemEva"&amp;"l!$A$2:$A$398, ""(?i)"" &amp; $B$6)
)"),"#N/A")</f>
        <v>#N/A</v>
      </c>
    </row>
    <row r="94">
      <c r="A94" s="104" t="s">
        <v>2350</v>
      </c>
      <c r="B94" s="7" t="s">
        <v>25</v>
      </c>
      <c r="C94" s="105" t="str">
        <f>IFERROR(__xludf.DUMMYFUNCTION("FILTER(RawData_SemEval!$B$2:$B$398, 
  REGEXMATCH(RawData_SemEval!$A$2:$A$398, ""(?i)"" &amp; $A$77), 
  REGEXMATCH(RawData_SemEval!$A$2:$A$398, ""(?i)"" &amp; $C$1), 
  REGEXMATCH(RawData_SemEval!$A$2:$A$398, ""(?i)gpt_title_description""), 
  NOT(REGEXMATCH(Raw"&amp;"Data_SemEval!$A$2:$A$398,  ""(?i)ensemble"")),NOT(REGEXMATCH(RawData_SemEval!$A$2:$A$398,  ""(?i)complete""))
)"),"#REF!")</f>
        <v>#REF!</v>
      </c>
      <c r="D94" s="105" t="str">
        <f>IFERROR(__xludf.DUMMYFUNCTION("FILTER(RawData_SemEval!$F$2:$F$398, 
  REGEXMATCH(RawData_SemEval!$A$2:$A$398, ""(?i)"" &amp; $A$77), 
  REGEXMATCH(RawData_SemEval!$A$2:$A$398, ""(?i)"" &amp; $C$1), 
  REGEXMATCH(RawData_SemEval!$A$2:$A$398, ""(?i)gpt_title_description""), 
  NOT(REGEXMATCH(Raw"&amp;"Data_SemEval!$A$2:$A$398,  ""(?i)ensemble"")), NOT(REGEXMATCH(RawData_SemEval!$A$2:$A$398,  ""(?i)complete""))
)"),"#REF!")</f>
        <v>#REF!</v>
      </c>
      <c r="E94" s="106" t="str">
        <f>IFERROR(__xludf.DUMMYFUNCTION("FILTER(RawData_SemEval!$B$2:$B$398, 
  REGEXMATCH(RawData_SemEval!$A$2:$A$398, ""(?i)"" &amp; $A$77), 
  REGEXMATCH(RawData_SemEval!$A$2:$A$398, ""(?i)"" &amp; $E$1), 
  REGEXMATCH(RawData_SemEval!$A$2:$A$398, ""(?i)gpt_title_description""), 
  NOT(REGEXMATCH(Raw"&amp;"Data_SemEval!$A$2:$A$398,  ""(?i)ensemble"")),NOT(REGEXMATCH(RawData_SemEval!$A$2:$A$398,  ""(?i)complete""))
)"),"#N/A")</f>
        <v>#N/A</v>
      </c>
      <c r="F94" s="105" t="str">
        <f>IFERROR(__xludf.DUMMYFUNCTION("FILTER(RawData_SemEval!$F$2:$F$398, 
  REGEXMATCH(RawData_SemEval!$A$2:$A$398, ""(?i)"" &amp; $A$77), 
  REGEXMATCH(RawData_SemEval!$A$2:$A$398, ""(?i)"" &amp; $E$1), 
  REGEXMATCH(RawData_SemEval!$A$2:$A$398, ""(?i)gpt_title_description""), 
  NOT(REGEXMATCH(Raw"&amp;"Data_SemEval!$A$2:$A$398,  ""(?i)ensemble"")),NOT(REGEXMATCH(RawData_SemEval!$A$2:$A$398,  ""(?i)complete""))
)"),"#N/A")</f>
        <v>#N/A</v>
      </c>
      <c r="G94" s="106" t="str">
        <f>IFERROR(__xludf.DUMMYFUNCTION("FILTER(RawData_SemEval!$B$2:$B$398, 
  REGEXMATCH(RawData_SemEval!$A$2:$A$398, ""(?i)"" &amp; $A$77), 
  REGEXMATCH(RawData_SemEval!$A$2:$A$398, ""(?i)"" &amp; $G$1), 
  REGEXMATCH(RawData_SemEval!$A$2:$A$398, ""(?i)gpt_title_description""), 
  NOT(REGEXMATCH(Raw"&amp;"Data_SemEval!$A$2:$A$398,  ""(?i)ensemble"")),NOT(REGEXMATCH(RawData_SemEval!$A$2:$A$398,  ""(?i)complete""))
)"),"#REF!")</f>
        <v>#REF!</v>
      </c>
      <c r="H94" s="105" t="str">
        <f>IFERROR(__xludf.DUMMYFUNCTION("FILTER(RawData_SemEval!$F$2:$F$398, 
  REGEXMATCH(RawData_SemEval!$A$2:$A$398, ""(?i)"" &amp; $A$77), 
  REGEXMATCH(RawData_SemEval!$A$2:$A$398, ""(?i)"" &amp; $G$1), 
  REGEXMATCH(RawData_SemEval!$A$2:$A$398, ""(?i)gpt_title_description""), 
  NOT(REGEXMATCH(Raw"&amp;"Data_SemEval!$A$2:$A$398,  ""(?i)ensemble"")),NOT(REGEXMATCH(RawData_SemEval!$A$2:$A$398,  ""(?i)complete""))
)"),"#REF!")</f>
        <v>#REF!</v>
      </c>
    </row>
    <row r="95">
      <c r="A95" s="104"/>
      <c r="B95" s="7" t="s">
        <v>74</v>
      </c>
      <c r="C95" s="105" t="str">
        <f>IFERROR(__xludf.DUMMYFUNCTION("FILTER(RawData_SemEval!$B$2:$B$398, 
  REGEXMATCH(RawData_SemEval!$A$2:$A$398, ""(?i)"" &amp; $A$77), 
  REGEXMATCH(RawData_SemEval!$A$2:$A$398, ""(?i)"" &amp; $C$1), 
  REGEXMATCH(RawData_SemEval!$A$2:$A$398, ""(?i)gpt_title_description""), 
  REGEXMATCH(RawData"&amp;"_SemEval!$A$2:$A$398, ""(?i)"" &amp; $B$5),NOT(REGEXMATCH(RawData_SemEval!$A$2:$A$398,  ""(?i)complete""))
)"),"#N/A")</f>
        <v>#N/A</v>
      </c>
      <c r="D95" s="105" t="str">
        <f>IFERROR(__xludf.DUMMYFUNCTION("FILTER(RawData_SemEval!$F$2:$F$398, 
  REGEXMATCH(RawData_SemEval!$A$2:$A$398, ""(?i)"" &amp; $A$77), 
  REGEXMATCH(RawData_SemEval!$A$2:$A$398, ""(?i)"" &amp; $C$1), 
  REGEXMATCH(RawData_SemEval!$A$2:$A$398, ""(?i)gpt_title_description""), 
  REGEXMATCH(RawData"&amp;"_SemEval!$A$2:$A$398, ""(?i)"" &amp; $B$5),NOT(REGEXMATCH(RawData_SemEval!$A$2:$A$398,  ""(?i)complete""))
)"),"#N/A")</f>
        <v>#N/A</v>
      </c>
      <c r="E95" s="106" t="str">
        <f>IFERROR(__xludf.DUMMYFUNCTION("FILTER(RawData_SemEval!$B$2:$B$398, 
  REGEXMATCH(RawData_SemEval!$A$2:$A$398, ""(?i)"" &amp; $A$77), 
  REGEXMATCH(RawData_SemEval!$A$2:$A$398, ""(?i)"" &amp; $E$1), 
  REGEXMATCH(RawData_SemEval!$A$2:$A$398, ""(?i)gpt_title_description""), 
  REGEXMATCH(RawData"&amp;"_SemEval!$A$2:$A$398, ""(?i)"" &amp; $B$5),NOT(REGEXMATCH(RawData_SemEval!$A$2:$A$398,  ""(?i)complete""))
)"),"#N/A")</f>
        <v>#N/A</v>
      </c>
      <c r="F95" s="105" t="str">
        <f>IFERROR(__xludf.DUMMYFUNCTION("FILTER(RawData_SemEval!$F$2:$F$398, 
  REGEXMATCH(RawData_SemEval!$A$2:$A$398, ""(?i)"" &amp; $A$77), 
  REGEXMATCH(RawData_SemEval!$A$2:$A$398, ""(?i)"" &amp; $E$1), 
  REGEXMATCH(RawData_SemEval!$A$2:$A$398, ""(?i)gpt_title_description""), 
  REGEXMATCH(RawData"&amp;"_SemEval!$A$2:$A$398, ""(?i)"" &amp; $B$5),NOT(REGEXMATCH(RawData_SemEval!$A$2:$A$398,  ""(?i)complete""))
)"),"#N/A")</f>
        <v>#N/A</v>
      </c>
      <c r="G95" s="106" t="str">
        <f>IFERROR(__xludf.DUMMYFUNCTION("FILTER(RawData_SemEval!$B$2:$B$398, 
  REGEXMATCH(RawData_SemEval!$A$2:$A$398, ""(?i)"" &amp; $A$77), 
  REGEXMATCH(RawData_SemEval!$A$2:$A$398, ""(?i)"" &amp; $G$1), 
  REGEXMATCH(RawData_SemEval!$A$2:$A$398, ""(?i)gpt_title_description""), 
  REGEXMATCH(RawData"&amp;"_SemEval!$A$2:$A$398, ""(?i)"" &amp; $B$5),NOT(REGEXMATCH(RawData_SemEval!$A$2:$A$398,  ""(?i)complete""))
)"),"#N/A")</f>
        <v>#N/A</v>
      </c>
      <c r="H95" s="105" t="str">
        <f>IFERROR(__xludf.DUMMYFUNCTION("FILTER(RawData_SemEval!$F$2:$F$398, 
  REGEXMATCH(RawData_SemEval!$A$2:$A$398, ""(?i)"" &amp; $A$77), 
  REGEXMATCH(RawData_SemEval!$A$2:$A$398, ""(?i)"" &amp; $G$1), 
  REGEXMATCH(RawData_SemEval!$A$2:$A$398, ""(?i)gpt_title_description""), 
  REGEXMATCH(RawData"&amp;"_SemEval!$A$2:$A$398, ""(?i)"" &amp; $B$5),NOT(REGEXMATCH(RawData_SemEval!$A$2:$A$398,  ""(?i)complete""))
)"),"#N/A")</f>
        <v>#N/A</v>
      </c>
    </row>
    <row r="96">
      <c r="A96" s="104"/>
      <c r="B96" s="74" t="s">
        <v>75</v>
      </c>
      <c r="C96" s="107" t="str">
        <f>IFERROR(__xludf.DUMMYFUNCTION("FILTER(RawData_SemEval!$B$2:$B$398, 
  REGEXMATCH(RawData_SemEval!$A$2:$A$398, ""(?i)"" &amp; $A$77), 
  REGEXMATCH(RawData_SemEval!$A$2:$A$398, ""(?i)"" &amp; $C$1), 
  REGEXMATCH(RawData_SemEval!$A$2:$A$398, ""(?i)gpt_title_description""), 
  REGEXMATCH(RawData"&amp;"_SemEval!$A$2:$A$398, ""(?i)"" &amp; $B$6),NOT(REGEXMATCH(RawData_SemEval!$A$2:$A$398,  ""(?i)complete""))
)"),"#N/A")</f>
        <v>#N/A</v>
      </c>
      <c r="D96" s="107" t="str">
        <f>IFERROR(__xludf.DUMMYFUNCTION("FILTER(RawData_SemEval!$F$2:$F$398, 
  REGEXMATCH(RawData_SemEval!$A$2:$A$398, ""(?i)"" &amp; $A$77), 
  REGEXMATCH(RawData_SemEval!$A$2:$A$398, ""(?i)"" &amp; $C$1), 
  REGEXMATCH(RawData_SemEval!$A$2:$A$398, ""(?i)gpt_title_description""), 
  REGEXMATCH(RawData"&amp;"_SemEval!$A$2:$A$398, ""(?i)"" &amp; $B$6),NOT(REGEXMATCH(RawData_SemEval!$A$2:$A$398,  ""(?i)complete""))
)"),"#N/A")</f>
        <v>#N/A</v>
      </c>
      <c r="E96" s="108" t="str">
        <f>IFERROR(__xludf.DUMMYFUNCTION("FILTER(RawData_SemEval!$B$2:$B$398, 
  REGEXMATCH(RawData_SemEval!$A$2:$A$398, ""(?i)"" &amp; $A$77), 
  REGEXMATCH(RawData_SemEval!$A$2:$A$398, ""(?i)"" &amp; $E$1), 
  REGEXMATCH(RawData_SemEval!$A$2:$A$398, ""(?i)gpt_title_description""), 
  REGEXMATCH(RawData"&amp;"_SemEval!$A$2:$A$398, ""(?i)"" &amp; $B$6),NOT(REGEXMATCH(RawData_SemEval!$A$2:$A$398,  ""(?i)complete""))
)"),"#N/A")</f>
        <v>#N/A</v>
      </c>
      <c r="F96" s="107" t="str">
        <f>IFERROR(__xludf.DUMMYFUNCTION("FILTER(RawData_SemEval!$F$2:$F$398, 
  REGEXMATCH(RawData_SemEval!$A$2:$A$398, ""(?i)"" &amp; $A$77), 
  REGEXMATCH(RawData_SemEval!$A$2:$A$398, ""(?i)"" &amp; $E$1), 
  REGEXMATCH(RawData_SemEval!$A$2:$A$398, ""(?i)gpt_title_description""), 
  REGEXMATCH(RawData"&amp;"_SemEval!$A$2:$A$398, ""(?i)"" &amp; $B$6),NOT(REGEXMATCH(RawData_SemEval!$A$2:$A$398,  ""(?i)complete""))
)"),"#N/A")</f>
        <v>#N/A</v>
      </c>
      <c r="G96" s="108" t="str">
        <f>IFERROR(__xludf.DUMMYFUNCTION("FILTER(RawData_SemEval!$B$2:$B$398, 
  REGEXMATCH(RawData_SemEval!$A$2:$A$398, ""(?i)"" &amp; $A$77), 
  REGEXMATCH(RawData_SemEval!$A$2:$A$398, ""(?i)"" &amp; $G$1), 
  REGEXMATCH(RawData_SemEval!$A$2:$A$398, ""(?i)gpt_title_description""), 
  REGEXMATCH(RawData"&amp;"_SemEval!$A$2:$A$398, ""(?i)"" &amp; $B$6),NOT(REGEXMATCH(RawData_SemEval!$A$2:$A$398,  ""(?i)complete""))
)"),"#N/A")</f>
        <v>#N/A</v>
      </c>
      <c r="H96" s="107" t="str">
        <f>IFERROR(__xludf.DUMMYFUNCTION("FILTER(RawData_SemEval!$F$2:$F$398, 
  REGEXMATCH(RawData_SemEval!$A$2:$A$398, ""(?i)"" &amp; $A$77), 
  REGEXMATCH(RawData_SemEval!$A$2:$A$398, ""(?i)"" &amp; $G$1), 
  REGEXMATCH(RawData_SemEval!$A$2:$A$398, ""(?i)gpt_title_description""), 
  REGEXMATCH(RawData"&amp;"_SemEval!$A$2:$A$398, ""(?i)"" &amp; $B$6),NOT(REGEXMATCH(RawData_SemEval!$A$2:$A$398,  ""(?i)complete""))
)"),"#N/A")</f>
        <v>#N/A</v>
      </c>
    </row>
    <row r="97">
      <c r="A97" s="104" t="s">
        <v>2354</v>
      </c>
      <c r="B97" s="7" t="s">
        <v>29</v>
      </c>
      <c r="C97" s="105" t="str">
        <f>IFERROR(__xludf.DUMMYFUNCTION("FILTER(RawData_SemEval!$B$2:$B$398, 
  REGEXMATCH(RawData_SemEval!$A$2:$A$398, ""(?i)"" &amp; $A$77), 
  REGEXMATCH(RawData_SemEval!$A$2:$A$398, ""(?i)"" &amp; $C$1), 
  REGEXMATCH(RawData_SemEval!$A$2:$A$398, ""(?i)gpt_title_description_complete""), 
  NOT(REGEX"&amp;"MATCH(RawData_SemEval!$A$2:$A$398,  ""(?i)ensemble""))
)"),"#REF!")</f>
        <v>#REF!</v>
      </c>
      <c r="D97" s="105" t="str">
        <f>IFERROR(__xludf.DUMMYFUNCTION("FILTER(RawData_SemEval!$F$2:$F$398, 
  REGEXMATCH(RawData_SemEval!$A$2:$A$398, ""(?i)"" &amp; $A$77), 
  REGEXMATCH(RawData_SemEval!$A$2:$A$398, ""(?i)"" &amp; $C$1), 
  REGEXMATCH(RawData_SemEval!$A$2:$A$398, ""(?i)gpt_title_description_complete""), 
  NOT(REGEX"&amp;"MATCH(RawData_SemEval!$A$2:$A$398,  ""(?i)ensemble""))
)"),"#REF!")</f>
        <v>#REF!</v>
      </c>
      <c r="E97" s="106" t="str">
        <f>IFERROR(__xludf.DUMMYFUNCTION("FILTER(RawData_SemEval!$B$2:$B$398, 
  REGEXMATCH(RawData_SemEval!$A$2:$A$398, ""(?i)"" &amp; $A$77), 
  REGEXMATCH(RawData_SemEval!$A$2:$A$398, ""(?i)"" &amp; $E$1), 
  REGEXMATCH(RawData_SemEval!$A$2:$A$398, ""(?i)gpt_title_description_complete""), 
  NOT(REGEX"&amp;"MATCH(RawData_SemEval!$A$2:$A$398,  ""(?i)ensemble""))
)"),"#N/A")</f>
        <v>#N/A</v>
      </c>
      <c r="F97" s="105" t="str">
        <f>IFERROR(__xludf.DUMMYFUNCTION("FILTER(RawData_SemEval!$F$2:$F$398, 
  REGEXMATCH(RawData_SemEval!$A$2:$A$398, ""(?i)"" &amp; $A$77), 
  REGEXMATCH(RawData_SemEval!$A$2:$A$398, ""(?i)"" &amp; $E$1), 
  REGEXMATCH(RawData_SemEval!$A$2:$A$398, ""(?i)gpt_title_description_complete""), 
  NOT(REGEX"&amp;"MATCH(RawData_SemEval!$A$2:$A$398,  ""(?i)ensemble""))
)"),"#N/A")</f>
        <v>#N/A</v>
      </c>
      <c r="G97" s="106" t="str">
        <f>IFERROR(__xludf.DUMMYFUNCTION("FILTER(RawData_SemEval!$B$2:$B$398, 
  REGEXMATCH(RawData_SemEval!$A$2:$A$398, ""(?i)"" &amp; $A$77), 
  REGEXMATCH(RawData_SemEval!$A$2:$A$398, ""(?i)"" &amp; $G$1), 
  REGEXMATCH(RawData_SemEval!$A$2:$A$398, ""(?i)gpt_title_description_complete""), 
  NOT(REGEX"&amp;"MATCH(RawData_SemEval!$A$2:$A$398,  ""(?i)ensemble""))
)"),"#REF!")</f>
        <v>#REF!</v>
      </c>
      <c r="H97" s="105" t="str">
        <f>IFERROR(__xludf.DUMMYFUNCTION("FILTER(RawData_SemEval!$F$2:$F$398, 
  REGEXMATCH(RawData_SemEval!$A$2:$A$398, ""(?i)"" &amp; $A$77), 
  REGEXMATCH(RawData_SemEval!$A$2:$A$398, ""(?i)"" &amp; $G$1), 
  REGEXMATCH(RawData_SemEval!$A$2:$A$398, ""(?i)gpt_title_description_complete""), 
  NOT(REGEX"&amp;"MATCH(RawData_SemEval!$A$2:$A$398,  ""(?i)ensemble""))
)"),"#REF!")</f>
        <v>#REF!</v>
      </c>
    </row>
    <row r="98">
      <c r="A98" s="104"/>
      <c r="B98" s="7" t="s">
        <v>74</v>
      </c>
      <c r="C98" s="105" t="str">
        <f>IFERROR(__xludf.DUMMYFUNCTION("FILTER(RawData_SemEval!$B$2:$B$398, 
  REGEXMATCH(RawData_SemEval!$A$2:$A$398, ""(?i)"" &amp; $A$77), 
  REGEXMATCH(RawData_SemEval!$A$2:$A$398, ""(?i)"" &amp; $C$1), 
  REGEXMATCH(RawData_SemEval!$A$2:$A$398, ""(?i)gpt_title_description_complete""), 
  REGEXMATC"&amp;"H(RawData_SemEval!$A$2:$A$398, ""(?i)"" &amp; $B$5)
)"),"#N/A")</f>
        <v>#N/A</v>
      </c>
      <c r="D98" s="105" t="str">
        <f>IFERROR(__xludf.DUMMYFUNCTION("FILTER(RawData_SemEval!$F$2:$F$398, 
  REGEXMATCH(RawData_SemEval!$A$2:$A$398, ""(?i)"" &amp; $A$77), 
  REGEXMATCH(RawData_SemEval!$A$2:$A$398, ""(?i)"" &amp; $C$1), 
  REGEXMATCH(RawData_SemEval!$A$2:$A$398, ""(?i)gpt_title_description_complete""), 
  REGEXMATC"&amp;"H(RawData_SemEval!$A$2:$A$398, ""(?i)"" &amp; $B$5)
)"),"#N/A")</f>
        <v>#N/A</v>
      </c>
      <c r="E98" s="106" t="str">
        <f>IFERROR(__xludf.DUMMYFUNCTION("FILTER(RawData_SemEval!$B$2:$B$398, 
  REGEXMATCH(RawData_SemEval!$A$2:$A$398, ""(?i)"" &amp; $A$77), 
  REGEXMATCH(RawData_SemEval!$A$2:$A$398, ""(?i)"" &amp; $E$1), 
  REGEXMATCH(RawData_SemEval!$A$2:$A$398, ""(?i)gpt_title_description_complete""), 
  REGEXMATC"&amp;"H(RawData_SemEval!$A$2:$A$398, ""(?i)"" &amp; $B$5)
)"),"#N/A")</f>
        <v>#N/A</v>
      </c>
      <c r="F98" s="105" t="str">
        <f>IFERROR(__xludf.DUMMYFUNCTION("FILTER(RawData_SemEval!$F$2:$F$398, 
  REGEXMATCH(RawData_SemEval!$A$2:$A$398, ""(?i)"" &amp; $A$77), 
  REGEXMATCH(RawData_SemEval!$A$2:$A$398, ""(?i)"" &amp; $E$1), 
  REGEXMATCH(RawData_SemEval!$A$2:$A$398, ""(?i)gpt_title_description_complete""), 
  REGEXMATC"&amp;"H(RawData_SemEval!$A$2:$A$398, ""(?i)"" &amp; $B$5)
)"),"#N/A")</f>
        <v>#N/A</v>
      </c>
      <c r="G98" s="106" t="str">
        <f>IFERROR(__xludf.DUMMYFUNCTION("FILTER(RawData_SemEval!$B$2:$B$398, 
  REGEXMATCH(RawData_SemEval!$A$2:$A$398, ""(?i)"" &amp; $A$77), 
  REGEXMATCH(RawData_SemEval!$A$2:$A$398, ""(?i)"" &amp; $G$1), 
  REGEXMATCH(RawData_SemEval!$A$2:$A$398, ""(?i)gpt_title_description_complete""), 
  REGEXMATC"&amp;"H(RawData_SemEval!$A$2:$A$398, ""(?i)"" &amp; $B$5)
)"),"#N/A")</f>
        <v>#N/A</v>
      </c>
      <c r="H98" s="105" t="str">
        <f>IFERROR(__xludf.DUMMYFUNCTION("FILTER(RawData_SemEval!$F$2:$F$398, 
  REGEXMATCH(RawData_SemEval!$A$2:$A$398, ""(?i)"" &amp; $A$77), 
  REGEXMATCH(RawData_SemEval!$A$2:$A$398, ""(?i)"" &amp; $G$1), 
  REGEXMATCH(RawData_SemEval!$A$2:$A$398, ""(?i)gpt_title_description_complete""), 
  REGEXMATC"&amp;"H(RawData_SemEval!$A$2:$A$398, ""(?i)"" &amp; $B$5)
)"),"#N/A")</f>
        <v>#N/A</v>
      </c>
    </row>
    <row r="99">
      <c r="A99" s="111"/>
      <c r="B99" s="75" t="s">
        <v>75</v>
      </c>
      <c r="C99" s="107" t="str">
        <f>IFERROR(__xludf.DUMMYFUNCTION("FILTER(RawData_SemEval!$B$2:$B$398, 
  REGEXMATCH(RawData_SemEval!$A$2:$A$398, ""(?i)"" &amp; $A$77), 
  REGEXMATCH(RawData_SemEval!$A$2:$A$398, ""(?i)"" &amp; $C$1), 
  REGEXMATCH(RawData_SemEval!$A$2:$A$398, ""(?i)gpt_title_description_complete""), 
  REGEXMATC"&amp;"H(RawData_SemEval!$A$2:$A$398, ""(?i)"" &amp; $B$6)
)"),"#N/A")</f>
        <v>#N/A</v>
      </c>
      <c r="D99" s="107" t="str">
        <f>IFERROR(__xludf.DUMMYFUNCTION("FILTER(RawData_SemEval!$F$2:$F$398, 
  REGEXMATCH(RawData_SemEval!$A$2:$A$398, ""(?i)"" &amp; $A$77), 
  REGEXMATCH(RawData_SemEval!$A$2:$A$398, ""(?i)"" &amp; $C$1), 
  REGEXMATCH(RawData_SemEval!$A$2:$A$398, ""(?i)gpt_title_description_complete""), 
  REGEXMATC"&amp;"H(RawData_SemEval!$A$2:$A$398, ""(?i)"" &amp; $B$6)
)"),"#N/A")</f>
        <v>#N/A</v>
      </c>
      <c r="E99" s="108" t="str">
        <f>IFERROR(__xludf.DUMMYFUNCTION("FILTER(RawData_SemEval!$B$2:$B$398, 
  REGEXMATCH(RawData_SemEval!$A$2:$A$398, ""(?i)"" &amp; $A$77), 
  REGEXMATCH(RawData_SemEval!$A$2:$A$398, ""(?i)"" &amp; $E$1), 
  REGEXMATCH(RawData_SemEval!$A$2:$A$398, ""(?i)gpt_title_description_complete""), 
  REGEXMATC"&amp;"H(RawData_SemEval!$A$2:$A$398, ""(?i)"" &amp; $B$6)
)"),"#N/A")</f>
        <v>#N/A</v>
      </c>
      <c r="F99" s="107" t="str">
        <f>IFERROR(__xludf.DUMMYFUNCTION("FILTER(RawData_SemEval!$F$2:$F$398, 
  REGEXMATCH(RawData_SemEval!$A$2:$A$398, ""(?i)"" &amp; $A$77), 
  REGEXMATCH(RawData_SemEval!$A$2:$A$398, ""(?i)"" &amp; $E$1), 
  REGEXMATCH(RawData_SemEval!$A$2:$A$398, ""(?i)gpt_title_description_complete""), 
  REGEXMATC"&amp;"H(RawData_SemEval!$A$2:$A$398, ""(?i)"" &amp; $B$6)
)"),"#N/A")</f>
        <v>#N/A</v>
      </c>
      <c r="G99" s="108" t="str">
        <f>IFERROR(__xludf.DUMMYFUNCTION("FILTER(RawData_SemEval!$B$2:$B$398, 
  REGEXMATCH(RawData_SemEval!$A$2:$A$398, ""(?i)"" &amp; $A$77), 
  REGEXMATCH(RawData_SemEval!$A$2:$A$398, ""(?i)"" &amp; $G$1), 
  REGEXMATCH(RawData_SemEval!$A$2:$A$398, ""(?i)gpt_title_description_complete""), 
  REGEXMATC"&amp;"H(RawData_SemEval!$A$2:$A$398, ""(?i)"" &amp; $B$6)
)"),"#N/A")</f>
        <v>#N/A</v>
      </c>
      <c r="H99" s="107" t="str">
        <f>IFERROR(__xludf.DUMMYFUNCTION("FILTER(RawData_SemEval!$F$2:$F$398, 
  REGEXMATCH(RawData_SemEval!$A$2:$A$398, ""(?i)"" &amp; $A$77), 
  REGEXMATCH(RawData_SemEval!$A$2:$A$398, ""(?i)"" &amp; $G$1), 
  REGEXMATCH(RawData_SemEval!$A$2:$A$398, ""(?i)gpt_title_description_complete""), 
  REGEXMATC"&amp;"H(RawData_SemEval!$A$2:$A$398, ""(?i)"" &amp; $B$6)
)"),"#N/A")</f>
        <v>#N/A</v>
      </c>
    </row>
    <row r="100">
      <c r="A100" s="100"/>
      <c r="B100" s="82"/>
      <c r="E100" s="82"/>
      <c r="G100" s="82"/>
    </row>
    <row r="101">
      <c r="A101" s="100"/>
      <c r="E101" s="82"/>
      <c r="G101" s="82"/>
    </row>
    <row r="102">
      <c r="B102" s="113"/>
      <c r="C102" s="114" t="s">
        <v>13</v>
      </c>
      <c r="D102" s="114" t="s">
        <v>13</v>
      </c>
      <c r="E102" s="114" t="s">
        <v>15</v>
      </c>
      <c r="F102" s="114" t="s">
        <v>15</v>
      </c>
      <c r="G102" s="114" t="s">
        <v>16</v>
      </c>
      <c r="H102" s="114" t="s">
        <v>16</v>
      </c>
      <c r="I102" s="114" t="s">
        <v>17</v>
      </c>
      <c r="J102" s="115" t="s">
        <v>17</v>
      </c>
    </row>
    <row r="103">
      <c r="B103" s="82"/>
      <c r="C103" s="7" t="s">
        <v>77</v>
      </c>
      <c r="D103" s="7" t="s">
        <v>78</v>
      </c>
      <c r="E103" s="7" t="s">
        <v>77</v>
      </c>
      <c r="F103" s="7" t="s">
        <v>78</v>
      </c>
      <c r="G103" s="7" t="s">
        <v>77</v>
      </c>
      <c r="H103" s="7" t="s">
        <v>78</v>
      </c>
      <c r="I103" s="7" t="s">
        <v>77</v>
      </c>
      <c r="J103" s="104" t="s">
        <v>78</v>
      </c>
    </row>
    <row r="104">
      <c r="B104" s="116" t="s">
        <v>2356</v>
      </c>
      <c r="C104" s="5" t="str">
        <f>AVERAGE($C4-$C5,$C7-$C8,$C10-$C11,$C19-$C20,$C22-$C23)</f>
        <v>#REF!</v>
      </c>
      <c r="D104" s="5" t="str">
        <f>AVERAGE($D4-$D5,$D7-$D8,$D10-$D11,$D19-$D20,$D22-$D23)</f>
        <v>#REF!</v>
      </c>
      <c r="E104" s="5" t="str">
        <f t="shared" ref="E104:F104" si="1">AVERAGE(C$28-C$29,C$31-C$32,C$34-C$35,C$37-C$38,C$43-C$44,C$46-C$47)</f>
        <v>#REF!</v>
      </c>
      <c r="F104" s="5" t="str">
        <f t="shared" si="1"/>
        <v>#REF!</v>
      </c>
      <c r="G104" s="5" t="str">
        <f t="shared" ref="G104:H104" si="2">AVERAGE(C$52-C$53,C$55-C$56,C$58-C$59,C$61-C$62,C$67-C$68,C$70-C$71)</f>
        <v>#REF!</v>
      </c>
      <c r="H104" s="5" t="str">
        <f t="shared" si="2"/>
        <v>#REF!</v>
      </c>
      <c r="I104" s="5" t="str">
        <f t="shared" ref="I104:J104" si="3">AVERAGE(C$76-C$77,C$79-C$80,C$82-C$83,C$85-C$86,C$88-C$89,C$91-C$92,C$94-C$95,C$97-C$98)</f>
        <v>#REF!</v>
      </c>
      <c r="J104" s="45" t="str">
        <f t="shared" si="3"/>
        <v>#REF!</v>
      </c>
    </row>
    <row r="105">
      <c r="B105" s="71"/>
      <c r="C105" s="5" t="str">
        <f>AVERAGE(C104:D104)</f>
        <v>#REF!</v>
      </c>
      <c r="D105" s="5"/>
      <c r="E105" s="5" t="str">
        <f>AVERAGE(E104:F104)</f>
        <v>#REF!</v>
      </c>
      <c r="F105" s="5"/>
      <c r="G105" s="5" t="str">
        <f>AVERAGE(G104:H104)</f>
        <v>#REF!</v>
      </c>
      <c r="H105" s="5"/>
      <c r="I105" s="5" t="str">
        <f>AVERAGE(I104:J104)</f>
        <v>#REF!</v>
      </c>
      <c r="J105" s="45"/>
    </row>
    <row r="106">
      <c r="B106" s="116" t="s">
        <v>2357</v>
      </c>
      <c r="C106" s="5" t="str">
        <f t="shared" ref="C106:D106" si="4">AVERAGE(C$4-C$6,C$7-C$9,C$10-C$12,C$19-C$21,C$22-C$24)</f>
        <v>#REF!</v>
      </c>
      <c r="D106" s="5" t="str">
        <f t="shared" si="4"/>
        <v>#REF!</v>
      </c>
      <c r="E106" s="5" t="str">
        <f t="shared" ref="E106:F106" si="5">AVERAGE(C$28-C$30,C$31-C$33,C$34-C$36,C$37-C$39,C$43-C$45,C$46-C$48)</f>
        <v>#REF!</v>
      </c>
      <c r="F106" s="5" t="str">
        <f t="shared" si="5"/>
        <v>#REF!</v>
      </c>
      <c r="G106" s="5" t="str">
        <f t="shared" ref="G106:H106" si="6">AVERAGE(C$52-C$54,C$55-C$57,C$58-C$60,C$61-C$63,C$67-C$69,C$70-C$72)</f>
        <v>#REF!</v>
      </c>
      <c r="H106" s="5" t="str">
        <f t="shared" si="6"/>
        <v>#REF!</v>
      </c>
      <c r="I106" s="5" t="str">
        <f t="shared" ref="I106:J106" si="7">AVERAGE(C$76-C$78,C$79-C$81,C$82-C$84,C$85-C$87,C$88-C$90,C$91-C$93,C$94-C$96,C$97-C$99)</f>
        <v>#REF!</v>
      </c>
      <c r="J106" s="45" t="str">
        <f t="shared" si="7"/>
        <v>#REF!</v>
      </c>
    </row>
    <row r="107">
      <c r="B107" s="79"/>
      <c r="C107" s="5" t="str">
        <f>AVERAGE(C106:D106)</f>
        <v>#REF!</v>
      </c>
      <c r="D107" s="5"/>
      <c r="E107" s="5" t="str">
        <f>AVERAGE(E106:F106)</f>
        <v>#REF!</v>
      </c>
      <c r="F107" s="5"/>
      <c r="G107" s="5" t="str">
        <f>AVERAGE(G106:H106)</f>
        <v>#REF!</v>
      </c>
      <c r="H107" s="5"/>
      <c r="I107" s="5" t="str">
        <f>AVERAGE(I106:J106)</f>
        <v>#REF!</v>
      </c>
      <c r="J107" s="45"/>
    </row>
    <row r="108">
      <c r="B108" s="116" t="s">
        <v>2358</v>
      </c>
      <c r="C108" s="5" t="str">
        <f t="shared" ref="C108:D108" si="8">AVERAGE(E$4-E$5,E$7-E$8,E$10-E$11,E$13-E$14,E$16-E$17,E$19-E$20,E$22-E$23,E$25-E$26)</f>
        <v>#N/A</v>
      </c>
      <c r="D108" s="5" t="str">
        <f t="shared" si="8"/>
        <v>#N/A</v>
      </c>
      <c r="E108" s="5" t="str">
        <f t="shared" ref="E108:F108" si="9">AVERAGE(E$28-E$29,E$31-E$32,E$34-E$35,E$37-E$38,E$40-E$41,E$43-E$44,E$46-E$47,E$49-E$50)</f>
        <v>#N/A</v>
      </c>
      <c r="F108" s="5" t="str">
        <f t="shared" si="9"/>
        <v>#N/A</v>
      </c>
      <c r="G108" s="5" t="str">
        <f t="shared" ref="G108:H108" si="10">AVERAGE(E$52-E$53,E$55-E$56,E$58-E$59,E$61-E$62,E$64-E$65,E$67-E$68,E$70-E$71,E$73-E$74)</f>
        <v>#N/A</v>
      </c>
      <c r="H108" s="5" t="str">
        <f t="shared" si="10"/>
        <v>#N/A</v>
      </c>
      <c r="I108" s="5" t="str">
        <f t="shared" ref="I108:J108" si="11">AVERAGE(E$76-E$77,E$79-E$80,E$82-E$83,E$85-E$86,E$88-E$89,E$91-E$92,E$94-E$95,E$97-E$98)</f>
        <v>#N/A</v>
      </c>
      <c r="J108" s="45" t="str">
        <f t="shared" si="11"/>
        <v>#N/A</v>
      </c>
    </row>
    <row r="109">
      <c r="B109" s="71"/>
      <c r="C109" s="5" t="str">
        <f>AVERAGE(C108:D108)</f>
        <v>#N/A</v>
      </c>
      <c r="D109" s="5"/>
      <c r="E109" s="5" t="str">
        <f>AVERAGE(E108:F108)</f>
        <v>#N/A</v>
      </c>
      <c r="F109" s="5"/>
      <c r="G109" s="5" t="str">
        <f>AVERAGE(G108:H108)</f>
        <v>#N/A</v>
      </c>
      <c r="H109" s="5"/>
      <c r="I109" s="5" t="str">
        <f>AVERAGE(I108:J108)</f>
        <v>#N/A</v>
      </c>
      <c r="J109" s="45"/>
    </row>
    <row r="110">
      <c r="B110" s="116" t="s">
        <v>2359</v>
      </c>
      <c r="C110" s="5" t="str">
        <f t="shared" ref="C110:D110" si="12">AVERAGE(E$4-E$6,E$7-E$9,E$10-E$12,E$13-E$15,E$16-E$18,E$19-E$21,E$22-E$24,E$25-E$27)</f>
        <v>#N/A</v>
      </c>
      <c r="D110" s="5" t="str">
        <f t="shared" si="12"/>
        <v>#N/A</v>
      </c>
      <c r="E110" s="5" t="str">
        <f t="shared" ref="E110:F110" si="13">AVERAGE(E$28-E$30,E$31-E$33,E$34-E$36,E$37-E$39,E$40-E$42,E$43-E$45,E$46-E$48,E$49-E$51)</f>
        <v>#N/A</v>
      </c>
      <c r="F110" s="5" t="str">
        <f t="shared" si="13"/>
        <v>#N/A</v>
      </c>
      <c r="G110" s="5" t="str">
        <f t="shared" ref="G110:H110" si="14">AVERAGE(E$52-E$54,E$55-E$57,E$58-E$60,E$61-E$63,E$64-E$66,E$67-E$69,E$70-E$72,E$73-E$75)</f>
        <v>#N/A</v>
      </c>
      <c r="H110" s="5" t="str">
        <f t="shared" si="14"/>
        <v>#N/A</v>
      </c>
      <c r="I110" s="5" t="str">
        <f t="shared" ref="I110:J110" si="15">AVERAGE(E$76-E$78,E$79-E$81,E$82-E$84,E$85-E$87,E$88-E$90,E$91-E$93,E$94-E$96,E$97-E$99)</f>
        <v>#N/A</v>
      </c>
      <c r="J110" s="45" t="str">
        <f t="shared" si="15"/>
        <v>#N/A</v>
      </c>
    </row>
    <row r="111">
      <c r="B111" s="79"/>
      <c r="C111" s="5" t="str">
        <f>AVERAGE(C110:D110)</f>
        <v>#N/A</v>
      </c>
      <c r="D111" s="5"/>
      <c r="E111" s="5" t="str">
        <f>AVERAGE(E110:F110)</f>
        <v>#N/A</v>
      </c>
      <c r="F111" s="5"/>
      <c r="G111" s="5" t="str">
        <f>AVERAGE(G110:H110)</f>
        <v>#N/A</v>
      </c>
      <c r="H111" s="5"/>
      <c r="I111" s="5" t="str">
        <f>AVERAGE(I110:J110)</f>
        <v>#N/A</v>
      </c>
      <c r="J111" s="45"/>
    </row>
    <row r="112">
      <c r="B112" s="116" t="s">
        <v>2360</v>
      </c>
      <c r="C112" s="5" t="str">
        <f t="shared" ref="C112:D112" si="16">AVERAGE(G$4-G$5,G$7-G$8,G$10-G$11,G$13-G$14,G$16-G$17,G$19-G$20,G$22-G$23,G$25-G$26)</f>
        <v>#REF!</v>
      </c>
      <c r="D112" s="5" t="str">
        <f t="shared" si="16"/>
        <v>#REF!</v>
      </c>
      <c r="E112" s="5" t="str">
        <f t="shared" ref="E112:F112" si="17">AVERAGE(E$28-E$29,E$31-E$32,E$34-E$35,E$37-E$38,E$40-E$41,E$43-E$44,E$46-E$47,E$49-E$50)</f>
        <v>#N/A</v>
      </c>
      <c r="F112" s="5" t="str">
        <f t="shared" si="17"/>
        <v>#N/A</v>
      </c>
      <c r="G112" s="5" t="str">
        <f t="shared" ref="G112:H112" si="18">AVERAGE(E$52-E$53,E$55-E$56,E$58-E$59,E$61-E$62,E$64-E$65,E$67-E$68,E$70-E$71,E$73-E$74)</f>
        <v>#N/A</v>
      </c>
      <c r="H112" s="5" t="str">
        <f t="shared" si="18"/>
        <v>#N/A</v>
      </c>
      <c r="I112" s="5" t="str">
        <f t="shared" ref="I112:J112" si="19">AVERAGE(E$76-E$77,E$79-E$80,E$82-E$83,E$85-E$86,E$88-E$89,E$91-E$92,E$94-E$95,E$97-E$98)</f>
        <v>#N/A</v>
      </c>
      <c r="J112" s="45" t="str">
        <f t="shared" si="19"/>
        <v>#N/A</v>
      </c>
    </row>
    <row r="113">
      <c r="B113" s="71"/>
      <c r="C113" s="5" t="str">
        <f>AVERAGE(C112:D112)</f>
        <v>#REF!</v>
      </c>
      <c r="D113" s="5"/>
      <c r="E113" s="5" t="str">
        <f>AVERAGE(E112:F112)</f>
        <v>#N/A</v>
      </c>
      <c r="F113" s="5"/>
      <c r="G113" s="5" t="str">
        <f>AVERAGE(G112:H112)</f>
        <v>#N/A</v>
      </c>
      <c r="H113" s="5"/>
      <c r="I113" s="5" t="str">
        <f>AVERAGE(I112:J112)</f>
        <v>#N/A</v>
      </c>
      <c r="J113" s="45"/>
    </row>
    <row r="114">
      <c r="B114" s="116" t="s">
        <v>2361</v>
      </c>
      <c r="C114" s="5" t="str">
        <f t="shared" ref="C114:D114" si="20">AVERAGE(G$4-G$6,G$7-G$9,G$10-G$12,G$13-G$15,G$16-G$18,G$19-G$21,G$22-G$24,G$25-G$27)</f>
        <v>#REF!</v>
      </c>
      <c r="D114" s="5" t="str">
        <f t="shared" si="20"/>
        <v>#REF!</v>
      </c>
      <c r="E114" s="5" t="str">
        <f t="shared" ref="E114:F114" si="21">AVERAGE(G$28-G$30,G$31-G$33,G$34-G$36,G$37-G$39,G$40-G$42,G$43-G$45,G$46-G$48,G$49-G$51)</f>
        <v>#REF!</v>
      </c>
      <c r="F114" s="5" t="str">
        <f t="shared" si="21"/>
        <v>#REF!</v>
      </c>
      <c r="G114" s="5" t="str">
        <f t="shared" ref="G114:H114" si="22">AVERAGE(G$52-G$54,G$55-G$57,G$58-G$60,G$61-G$63,G$64-G$66,G$67-G$69,G$70-G$72,G$73-G$75)</f>
        <v>#REF!</v>
      </c>
      <c r="H114" s="5" t="str">
        <f t="shared" si="22"/>
        <v>#REF!</v>
      </c>
      <c r="I114" s="5" t="str">
        <f t="shared" ref="I114:J114" si="23">AVERAGE(G$76-G$78,G$79-G$81,G$82-G$84,G$85-G$87,G$88-G$90,G$91-G$93,G$94-G$96,G$97-G$99)</f>
        <v>#REF!</v>
      </c>
      <c r="J114" s="45" t="str">
        <f t="shared" si="23"/>
        <v>#REF!</v>
      </c>
    </row>
    <row r="115">
      <c r="B115" s="117"/>
      <c r="C115" s="53" t="str">
        <f>AVERAGE(C114:D114)</f>
        <v>#REF!</v>
      </c>
      <c r="D115" s="53"/>
      <c r="E115" s="53" t="str">
        <f>AVERAGE(E114:F114)</f>
        <v>#REF!</v>
      </c>
      <c r="F115" s="53"/>
      <c r="G115" s="53" t="str">
        <f>AVERAGE(G114:H114)</f>
        <v>#REF!</v>
      </c>
      <c r="H115" s="53"/>
      <c r="I115" s="53" t="str">
        <f>AVERAGE(I114:J114)</f>
        <v>#REF!</v>
      </c>
      <c r="J115" s="54"/>
    </row>
    <row r="116">
      <c r="A116" s="100"/>
      <c r="B116" s="82"/>
      <c r="E116" s="82"/>
      <c r="G116" s="82"/>
    </row>
    <row r="117">
      <c r="A117" s="100"/>
      <c r="B117" s="82"/>
      <c r="E117" s="82"/>
      <c r="G117" s="82"/>
    </row>
    <row r="118">
      <c r="A118" s="100"/>
      <c r="B118" s="82"/>
      <c r="E118" s="82"/>
      <c r="G118" s="82"/>
    </row>
    <row r="119">
      <c r="A119" s="100"/>
      <c r="B119" s="82"/>
      <c r="E119" s="82"/>
      <c r="G119" s="82"/>
    </row>
    <row r="120">
      <c r="A120" s="100"/>
      <c r="B120" s="82"/>
      <c r="E120" s="82"/>
      <c r="G120" s="82"/>
    </row>
    <row r="121">
      <c r="A121" s="100"/>
      <c r="B121" s="82"/>
      <c r="E121" s="82"/>
      <c r="G121" s="82"/>
    </row>
    <row r="122">
      <c r="A122" s="100"/>
      <c r="B122" s="82"/>
      <c r="E122" s="82"/>
      <c r="G122" s="82"/>
    </row>
    <row r="123">
      <c r="A123" s="100"/>
      <c r="B123" s="82"/>
      <c r="E123" s="82"/>
      <c r="G123" s="82"/>
    </row>
    <row r="124">
      <c r="A124" s="100"/>
      <c r="B124" s="82"/>
      <c r="E124" s="82"/>
      <c r="G124" s="82"/>
    </row>
    <row r="125">
      <c r="A125" s="100"/>
      <c r="B125" s="82"/>
      <c r="E125" s="82"/>
      <c r="G125" s="82"/>
    </row>
    <row r="126">
      <c r="A126" s="100"/>
      <c r="B126" s="82"/>
      <c r="E126" s="82"/>
      <c r="G126" s="82"/>
    </row>
    <row r="127">
      <c r="A127" s="100"/>
      <c r="B127" s="82"/>
      <c r="E127" s="82"/>
      <c r="G127" s="82"/>
    </row>
    <row r="128">
      <c r="A128" s="100"/>
      <c r="B128" s="82"/>
      <c r="E128" s="82"/>
      <c r="G128" s="82"/>
    </row>
    <row r="129">
      <c r="A129" s="100"/>
      <c r="B129" s="82"/>
      <c r="E129" s="82"/>
      <c r="G129" s="82"/>
    </row>
    <row r="130">
      <c r="A130" s="100"/>
      <c r="B130" s="82"/>
      <c r="E130" s="82"/>
      <c r="G130" s="82"/>
    </row>
    <row r="131">
      <c r="A131" s="100"/>
      <c r="B131" s="82"/>
      <c r="E131" s="82"/>
      <c r="G131" s="82"/>
    </row>
    <row r="132">
      <c r="A132" s="100"/>
      <c r="B132" s="82"/>
      <c r="E132" s="82"/>
      <c r="G132" s="82"/>
    </row>
    <row r="133">
      <c r="A133" s="100"/>
      <c r="B133" s="82"/>
      <c r="E133" s="82"/>
      <c r="G133" s="82"/>
    </row>
    <row r="134">
      <c r="A134" s="100"/>
      <c r="B134" s="82"/>
      <c r="E134" s="82"/>
      <c r="G134" s="82"/>
    </row>
    <row r="135">
      <c r="A135" s="100"/>
      <c r="B135" s="82"/>
      <c r="E135" s="82"/>
      <c r="G135" s="82"/>
    </row>
    <row r="136">
      <c r="A136" s="100"/>
      <c r="B136" s="82"/>
      <c r="E136" s="82"/>
      <c r="G136" s="82"/>
    </row>
    <row r="137">
      <c r="A137" s="100"/>
      <c r="B137" s="82"/>
      <c r="E137" s="82"/>
      <c r="G137" s="82"/>
    </row>
    <row r="138">
      <c r="A138" s="100"/>
      <c r="B138" s="82"/>
      <c r="E138" s="82"/>
      <c r="G138" s="82"/>
    </row>
    <row r="139">
      <c r="A139" s="100"/>
      <c r="B139" s="82"/>
      <c r="E139" s="82"/>
      <c r="G139" s="82"/>
    </row>
    <row r="140">
      <c r="A140" s="100"/>
      <c r="B140" s="82"/>
      <c r="E140" s="82"/>
      <c r="G140" s="82"/>
    </row>
    <row r="141">
      <c r="A141" s="100"/>
      <c r="B141" s="82"/>
      <c r="E141" s="82"/>
      <c r="G141" s="82"/>
    </row>
    <row r="142">
      <c r="A142" s="100"/>
      <c r="B142" s="82"/>
      <c r="E142" s="82"/>
      <c r="G142" s="82"/>
    </row>
    <row r="143">
      <c r="A143" s="100"/>
      <c r="B143" s="82"/>
      <c r="E143" s="82"/>
      <c r="G143" s="82"/>
    </row>
    <row r="144">
      <c r="A144" s="100"/>
      <c r="B144" s="82"/>
      <c r="E144" s="82"/>
      <c r="G144" s="82"/>
    </row>
    <row r="145">
      <c r="A145" s="100"/>
      <c r="B145" s="82"/>
      <c r="E145" s="82"/>
      <c r="G145" s="82"/>
    </row>
    <row r="146">
      <c r="A146" s="100"/>
      <c r="B146" s="82"/>
      <c r="E146" s="82"/>
      <c r="G146" s="82"/>
    </row>
    <row r="147">
      <c r="A147" s="100"/>
      <c r="B147" s="82"/>
      <c r="E147" s="82"/>
      <c r="G147" s="82"/>
    </row>
    <row r="148">
      <c r="A148" s="100"/>
      <c r="B148" s="82"/>
      <c r="E148" s="82"/>
      <c r="G148" s="82"/>
    </row>
    <row r="149">
      <c r="A149" s="100"/>
      <c r="B149" s="82"/>
      <c r="E149" s="82"/>
      <c r="G149" s="82"/>
    </row>
    <row r="150">
      <c r="A150" s="100"/>
      <c r="B150" s="82"/>
      <c r="E150" s="82"/>
      <c r="G150" s="82"/>
    </row>
    <row r="151">
      <c r="A151" s="100"/>
      <c r="B151" s="82"/>
      <c r="E151" s="82"/>
      <c r="G151" s="82"/>
    </row>
    <row r="152">
      <c r="A152" s="100"/>
      <c r="B152" s="82"/>
      <c r="E152" s="82"/>
      <c r="G152" s="82"/>
    </row>
    <row r="153">
      <c r="A153" s="100"/>
      <c r="B153" s="82"/>
      <c r="E153" s="82"/>
      <c r="G153" s="82"/>
    </row>
    <row r="154">
      <c r="A154" s="100"/>
      <c r="B154" s="82"/>
      <c r="E154" s="82"/>
      <c r="G154" s="82"/>
    </row>
    <row r="155">
      <c r="A155" s="100"/>
      <c r="B155" s="82"/>
      <c r="E155" s="82"/>
      <c r="G155" s="82"/>
    </row>
    <row r="156">
      <c r="A156" s="100"/>
      <c r="B156" s="82"/>
      <c r="E156" s="82"/>
      <c r="G156" s="82"/>
    </row>
    <row r="157">
      <c r="A157" s="100"/>
      <c r="B157" s="82"/>
      <c r="E157" s="82"/>
      <c r="G157" s="82"/>
    </row>
    <row r="158">
      <c r="A158" s="100"/>
      <c r="B158" s="82"/>
      <c r="E158" s="82"/>
      <c r="G158" s="82"/>
    </row>
    <row r="159">
      <c r="A159" s="100"/>
      <c r="B159" s="82"/>
      <c r="E159" s="82"/>
      <c r="G159" s="82"/>
    </row>
    <row r="160">
      <c r="A160" s="100"/>
      <c r="B160" s="82"/>
      <c r="E160" s="82"/>
      <c r="G160" s="82"/>
    </row>
    <row r="161">
      <c r="A161" s="100"/>
      <c r="B161" s="82"/>
      <c r="E161" s="82"/>
      <c r="G161" s="82"/>
    </row>
    <row r="162">
      <c r="A162" s="100"/>
      <c r="B162" s="82"/>
      <c r="E162" s="82"/>
      <c r="G162" s="82"/>
    </row>
    <row r="163">
      <c r="A163" s="100"/>
      <c r="B163" s="82"/>
      <c r="E163" s="82"/>
      <c r="G163" s="82"/>
    </row>
    <row r="164">
      <c r="A164" s="100"/>
      <c r="B164" s="82"/>
      <c r="E164" s="82"/>
      <c r="G164" s="82"/>
    </row>
    <row r="165">
      <c r="A165" s="100"/>
      <c r="B165" s="82"/>
      <c r="E165" s="82"/>
      <c r="G165" s="82"/>
    </row>
    <row r="166">
      <c r="A166" s="100"/>
      <c r="B166" s="82"/>
      <c r="E166" s="82"/>
      <c r="G166" s="82"/>
    </row>
    <row r="167">
      <c r="A167" s="100"/>
      <c r="B167" s="82"/>
      <c r="E167" s="82"/>
      <c r="G167" s="82"/>
    </row>
    <row r="168">
      <c r="A168" s="100"/>
      <c r="B168" s="82"/>
      <c r="E168" s="82"/>
      <c r="G168" s="82"/>
    </row>
    <row r="169">
      <c r="A169" s="100"/>
      <c r="B169" s="82"/>
      <c r="E169" s="82"/>
      <c r="G169" s="82"/>
    </row>
    <row r="170">
      <c r="A170" s="100"/>
      <c r="B170" s="82"/>
      <c r="E170" s="82"/>
      <c r="G170" s="82"/>
    </row>
    <row r="171">
      <c r="A171" s="100"/>
      <c r="B171" s="82"/>
      <c r="E171" s="82"/>
      <c r="G171" s="82"/>
    </row>
    <row r="172">
      <c r="A172" s="100"/>
      <c r="B172" s="82"/>
      <c r="E172" s="82"/>
      <c r="G172" s="82"/>
    </row>
    <row r="173">
      <c r="A173" s="100"/>
      <c r="B173" s="82"/>
      <c r="E173" s="82"/>
      <c r="G173" s="82"/>
    </row>
    <row r="174">
      <c r="A174" s="100"/>
      <c r="B174" s="82"/>
      <c r="E174" s="82"/>
      <c r="G174" s="82"/>
    </row>
    <row r="175">
      <c r="A175" s="100"/>
      <c r="B175" s="82"/>
      <c r="E175" s="82"/>
      <c r="G175" s="82"/>
    </row>
    <row r="176">
      <c r="A176" s="100"/>
      <c r="B176" s="82"/>
      <c r="E176" s="82"/>
      <c r="G176" s="82"/>
    </row>
    <row r="177">
      <c r="A177" s="100"/>
      <c r="B177" s="82"/>
      <c r="E177" s="82"/>
      <c r="G177" s="82"/>
    </row>
    <row r="178">
      <c r="A178" s="100"/>
      <c r="B178" s="82"/>
      <c r="E178" s="82"/>
      <c r="G178" s="82"/>
    </row>
    <row r="179">
      <c r="A179" s="100"/>
      <c r="B179" s="82"/>
      <c r="E179" s="82"/>
      <c r="G179" s="82"/>
    </row>
    <row r="180">
      <c r="A180" s="100"/>
      <c r="B180" s="82"/>
      <c r="E180" s="82"/>
      <c r="G180" s="82"/>
    </row>
    <row r="181">
      <c r="A181" s="100"/>
      <c r="B181" s="82"/>
      <c r="E181" s="82"/>
      <c r="G181" s="82"/>
    </row>
    <row r="182">
      <c r="A182" s="100"/>
      <c r="B182" s="82"/>
      <c r="E182" s="82"/>
      <c r="G182" s="82"/>
    </row>
    <row r="183">
      <c r="A183" s="100"/>
      <c r="B183" s="82"/>
      <c r="E183" s="82"/>
      <c r="G183" s="82"/>
    </row>
    <row r="184">
      <c r="A184" s="100"/>
      <c r="B184" s="82"/>
      <c r="E184" s="82"/>
      <c r="G184" s="82"/>
    </row>
    <row r="185">
      <c r="A185" s="100"/>
      <c r="B185" s="82"/>
      <c r="E185" s="82"/>
      <c r="G185" s="82"/>
    </row>
    <row r="186">
      <c r="A186" s="100"/>
      <c r="B186" s="82"/>
      <c r="E186" s="82"/>
      <c r="G186" s="82"/>
    </row>
    <row r="187">
      <c r="A187" s="100"/>
      <c r="B187" s="82"/>
      <c r="E187" s="82"/>
      <c r="G187" s="82"/>
    </row>
    <row r="188">
      <c r="A188" s="100"/>
      <c r="B188" s="82"/>
      <c r="E188" s="82"/>
      <c r="G188" s="82"/>
    </row>
    <row r="189">
      <c r="A189" s="100"/>
      <c r="B189" s="82"/>
      <c r="E189" s="82"/>
      <c r="G189" s="82"/>
    </row>
    <row r="190">
      <c r="A190" s="100"/>
      <c r="B190" s="82"/>
      <c r="E190" s="82"/>
      <c r="G190" s="82"/>
    </row>
    <row r="191">
      <c r="A191" s="100"/>
      <c r="B191" s="82"/>
      <c r="E191" s="82"/>
      <c r="G191" s="82"/>
    </row>
    <row r="192">
      <c r="A192" s="100"/>
      <c r="B192" s="82"/>
      <c r="E192" s="82"/>
      <c r="G192" s="82"/>
    </row>
    <row r="193">
      <c r="A193" s="100"/>
      <c r="B193" s="82"/>
      <c r="E193" s="82"/>
      <c r="G193" s="82"/>
    </row>
    <row r="194">
      <c r="A194" s="100"/>
      <c r="B194" s="82"/>
      <c r="E194" s="82"/>
      <c r="G194" s="82"/>
    </row>
    <row r="195">
      <c r="A195" s="100"/>
      <c r="B195" s="82"/>
      <c r="E195" s="82"/>
      <c r="G195" s="82"/>
    </row>
    <row r="196">
      <c r="A196" s="100"/>
      <c r="B196" s="82"/>
      <c r="E196" s="82"/>
      <c r="G196" s="82"/>
    </row>
    <row r="197">
      <c r="A197" s="100"/>
      <c r="B197" s="82"/>
      <c r="E197" s="82"/>
      <c r="G197" s="82"/>
    </row>
    <row r="198">
      <c r="A198" s="100"/>
      <c r="B198" s="82"/>
      <c r="E198" s="82"/>
      <c r="G198" s="82"/>
    </row>
    <row r="199">
      <c r="A199" s="100"/>
      <c r="B199" s="82"/>
      <c r="E199" s="82"/>
      <c r="G199" s="82"/>
    </row>
    <row r="200">
      <c r="A200" s="100"/>
      <c r="B200" s="82"/>
      <c r="E200" s="82"/>
      <c r="G200" s="82"/>
    </row>
    <row r="201">
      <c r="A201" s="100"/>
      <c r="B201" s="82"/>
      <c r="E201" s="82"/>
      <c r="G201" s="82"/>
    </row>
    <row r="202">
      <c r="A202" s="100"/>
      <c r="B202" s="82"/>
      <c r="E202" s="82"/>
      <c r="G202" s="82"/>
    </row>
    <row r="203">
      <c r="A203" s="100"/>
      <c r="B203" s="82"/>
      <c r="E203" s="82"/>
      <c r="G203" s="82"/>
    </row>
    <row r="204">
      <c r="A204" s="100"/>
      <c r="B204" s="82"/>
      <c r="E204" s="82"/>
      <c r="G204" s="82"/>
    </row>
    <row r="205">
      <c r="A205" s="100"/>
      <c r="B205" s="82"/>
      <c r="E205" s="82"/>
      <c r="G205" s="82"/>
    </row>
    <row r="206">
      <c r="A206" s="100"/>
      <c r="B206" s="82"/>
      <c r="E206" s="82"/>
      <c r="G206" s="82"/>
    </row>
    <row r="207">
      <c r="A207" s="100"/>
      <c r="B207" s="82"/>
      <c r="E207" s="82"/>
      <c r="G207" s="82"/>
    </row>
    <row r="208">
      <c r="A208" s="100"/>
      <c r="B208" s="82"/>
      <c r="E208" s="82"/>
      <c r="G208" s="82"/>
    </row>
    <row r="209">
      <c r="A209" s="100"/>
      <c r="B209" s="82"/>
      <c r="E209" s="82"/>
      <c r="G209" s="82"/>
    </row>
    <row r="210">
      <c r="A210" s="100"/>
      <c r="B210" s="82"/>
      <c r="E210" s="82"/>
      <c r="G210" s="82"/>
    </row>
    <row r="211">
      <c r="A211" s="100"/>
      <c r="B211" s="82"/>
      <c r="E211" s="82"/>
      <c r="G211" s="82"/>
    </row>
    <row r="212">
      <c r="A212" s="100"/>
      <c r="B212" s="82"/>
      <c r="E212" s="82"/>
      <c r="G212" s="82"/>
    </row>
    <row r="213">
      <c r="A213" s="100"/>
      <c r="B213" s="82"/>
      <c r="E213" s="82"/>
      <c r="G213" s="82"/>
    </row>
    <row r="214">
      <c r="A214" s="100"/>
      <c r="B214" s="82"/>
      <c r="E214" s="82"/>
      <c r="G214" s="82"/>
    </row>
    <row r="215">
      <c r="A215" s="100"/>
      <c r="B215" s="82"/>
      <c r="E215" s="82"/>
      <c r="G215" s="82"/>
    </row>
    <row r="216">
      <c r="A216" s="100"/>
      <c r="B216" s="82"/>
      <c r="E216" s="82"/>
      <c r="G216" s="82"/>
    </row>
    <row r="217">
      <c r="A217" s="100"/>
      <c r="B217" s="82"/>
      <c r="E217" s="82"/>
      <c r="G217" s="82"/>
    </row>
    <row r="218">
      <c r="A218" s="100"/>
      <c r="B218" s="82"/>
      <c r="E218" s="82"/>
      <c r="G218" s="82"/>
    </row>
    <row r="219">
      <c r="A219" s="100"/>
      <c r="B219" s="82"/>
      <c r="E219" s="82"/>
      <c r="G219" s="82"/>
    </row>
    <row r="220">
      <c r="A220" s="100"/>
      <c r="B220" s="82"/>
      <c r="E220" s="82"/>
      <c r="G220" s="82"/>
    </row>
    <row r="221">
      <c r="A221" s="100"/>
      <c r="B221" s="82"/>
      <c r="E221" s="82"/>
      <c r="G221" s="82"/>
    </row>
    <row r="222">
      <c r="A222" s="100"/>
      <c r="B222" s="82"/>
      <c r="E222" s="82"/>
      <c r="G222" s="82"/>
    </row>
    <row r="223">
      <c r="A223" s="100"/>
      <c r="B223" s="82"/>
      <c r="E223" s="82"/>
      <c r="G223" s="82"/>
    </row>
    <row r="224">
      <c r="A224" s="100"/>
      <c r="B224" s="82"/>
      <c r="E224" s="82"/>
      <c r="G224" s="82"/>
    </row>
    <row r="225">
      <c r="A225" s="100"/>
      <c r="B225" s="82"/>
      <c r="E225" s="82"/>
      <c r="G225" s="82"/>
    </row>
    <row r="226">
      <c r="A226" s="100"/>
      <c r="B226" s="82"/>
      <c r="E226" s="82"/>
      <c r="G226" s="82"/>
    </row>
    <row r="227">
      <c r="A227" s="100"/>
      <c r="B227" s="82"/>
      <c r="E227" s="82"/>
      <c r="G227" s="82"/>
    </row>
    <row r="228">
      <c r="A228" s="100"/>
      <c r="B228" s="82"/>
      <c r="E228" s="82"/>
      <c r="G228" s="82"/>
    </row>
    <row r="229">
      <c r="A229" s="100"/>
      <c r="B229" s="82"/>
      <c r="E229" s="82"/>
      <c r="G229" s="82"/>
    </row>
    <row r="230">
      <c r="A230" s="100"/>
      <c r="B230" s="82"/>
      <c r="E230" s="82"/>
      <c r="G230" s="82"/>
    </row>
    <row r="231">
      <c r="A231" s="100"/>
      <c r="B231" s="82"/>
      <c r="E231" s="82"/>
      <c r="G231" s="82"/>
    </row>
    <row r="232">
      <c r="A232" s="100"/>
      <c r="B232" s="82"/>
      <c r="E232" s="82"/>
      <c r="G232" s="82"/>
    </row>
    <row r="233">
      <c r="A233" s="100"/>
      <c r="B233" s="82"/>
      <c r="E233" s="82"/>
      <c r="G233" s="82"/>
    </row>
    <row r="234">
      <c r="A234" s="100"/>
      <c r="B234" s="82"/>
      <c r="E234" s="82"/>
      <c r="G234" s="82"/>
    </row>
    <row r="235">
      <c r="A235" s="100"/>
      <c r="B235" s="82"/>
      <c r="E235" s="82"/>
      <c r="G235" s="82"/>
    </row>
    <row r="236">
      <c r="A236" s="100"/>
      <c r="B236" s="82"/>
      <c r="E236" s="82"/>
      <c r="G236" s="82"/>
    </row>
    <row r="237">
      <c r="A237" s="100"/>
      <c r="B237" s="82"/>
      <c r="E237" s="82"/>
      <c r="G237" s="82"/>
    </row>
    <row r="238">
      <c r="A238" s="100"/>
      <c r="B238" s="82"/>
      <c r="E238" s="82"/>
      <c r="G238" s="82"/>
    </row>
    <row r="239">
      <c r="A239" s="100"/>
      <c r="B239" s="82"/>
      <c r="E239" s="82"/>
      <c r="G239" s="82"/>
    </row>
    <row r="240">
      <c r="A240" s="100"/>
      <c r="B240" s="82"/>
      <c r="E240" s="82"/>
      <c r="G240" s="82"/>
    </row>
    <row r="241">
      <c r="A241" s="100"/>
      <c r="B241" s="82"/>
      <c r="E241" s="82"/>
      <c r="G241" s="82"/>
    </row>
    <row r="242">
      <c r="A242" s="100"/>
      <c r="B242" s="82"/>
      <c r="E242" s="82"/>
      <c r="G242" s="82"/>
    </row>
    <row r="243">
      <c r="A243" s="100"/>
      <c r="B243" s="82"/>
      <c r="E243" s="82"/>
      <c r="G243" s="82"/>
    </row>
    <row r="244">
      <c r="A244" s="100"/>
      <c r="B244" s="82"/>
      <c r="E244" s="82"/>
      <c r="G244" s="82"/>
    </row>
    <row r="245">
      <c r="A245" s="100"/>
      <c r="B245" s="82"/>
      <c r="E245" s="82"/>
      <c r="G245" s="82"/>
    </row>
    <row r="246">
      <c r="A246" s="100"/>
      <c r="B246" s="82"/>
      <c r="E246" s="82"/>
      <c r="G246" s="82"/>
    </row>
    <row r="247">
      <c r="A247" s="100"/>
      <c r="B247" s="82"/>
      <c r="E247" s="82"/>
      <c r="G247" s="82"/>
    </row>
    <row r="248">
      <c r="A248" s="100"/>
      <c r="B248" s="82"/>
      <c r="E248" s="82"/>
      <c r="G248" s="82"/>
    </row>
    <row r="249">
      <c r="A249" s="100"/>
      <c r="B249" s="82"/>
      <c r="E249" s="82"/>
      <c r="G249" s="82"/>
    </row>
    <row r="250">
      <c r="A250" s="100"/>
      <c r="B250" s="82"/>
      <c r="E250" s="82"/>
      <c r="G250" s="82"/>
    </row>
    <row r="251">
      <c r="A251" s="100"/>
      <c r="B251" s="82"/>
      <c r="E251" s="82"/>
      <c r="G251" s="82"/>
    </row>
    <row r="252">
      <c r="A252" s="100"/>
      <c r="B252" s="82"/>
      <c r="E252" s="82"/>
      <c r="G252" s="82"/>
    </row>
    <row r="253">
      <c r="A253" s="100"/>
      <c r="B253" s="82"/>
      <c r="E253" s="82"/>
      <c r="G253" s="82"/>
    </row>
    <row r="254">
      <c r="A254" s="100"/>
      <c r="B254" s="82"/>
      <c r="E254" s="82"/>
      <c r="G254" s="82"/>
    </row>
    <row r="255">
      <c r="A255" s="100"/>
      <c r="B255" s="82"/>
      <c r="E255" s="82"/>
      <c r="G255" s="82"/>
    </row>
    <row r="256">
      <c r="A256" s="100"/>
      <c r="B256" s="82"/>
      <c r="E256" s="82"/>
      <c r="G256" s="82"/>
    </row>
    <row r="257">
      <c r="A257" s="100"/>
      <c r="B257" s="82"/>
      <c r="E257" s="82"/>
      <c r="G257" s="82"/>
    </row>
    <row r="258">
      <c r="A258" s="100"/>
      <c r="B258" s="82"/>
      <c r="E258" s="82"/>
      <c r="G258" s="82"/>
    </row>
    <row r="259">
      <c r="A259" s="100"/>
      <c r="B259" s="82"/>
      <c r="E259" s="82"/>
      <c r="G259" s="82"/>
    </row>
    <row r="260">
      <c r="A260" s="100"/>
      <c r="B260" s="82"/>
      <c r="E260" s="82"/>
      <c r="G260" s="82"/>
    </row>
    <row r="261">
      <c r="A261" s="100"/>
      <c r="B261" s="82"/>
      <c r="E261" s="82"/>
      <c r="G261" s="82"/>
    </row>
    <row r="262">
      <c r="A262" s="100"/>
      <c r="B262" s="82"/>
      <c r="E262" s="82"/>
      <c r="G262" s="82"/>
    </row>
    <row r="263">
      <c r="A263" s="100"/>
      <c r="B263" s="82"/>
      <c r="E263" s="82"/>
      <c r="G263" s="82"/>
    </row>
    <row r="264">
      <c r="A264" s="100"/>
      <c r="B264" s="82"/>
      <c r="E264" s="82"/>
      <c r="G264" s="82"/>
    </row>
    <row r="265">
      <c r="A265" s="100"/>
      <c r="B265" s="82"/>
      <c r="E265" s="82"/>
      <c r="G265" s="82"/>
    </row>
    <row r="266">
      <c r="A266" s="100"/>
      <c r="B266" s="82"/>
      <c r="E266" s="82"/>
      <c r="G266" s="82"/>
    </row>
    <row r="267">
      <c r="A267" s="100"/>
      <c r="B267" s="82"/>
      <c r="E267" s="82"/>
      <c r="G267" s="82"/>
    </row>
    <row r="268">
      <c r="A268" s="100"/>
      <c r="B268" s="82"/>
      <c r="E268" s="82"/>
      <c r="G268" s="82"/>
    </row>
    <row r="269">
      <c r="A269" s="100"/>
      <c r="B269" s="82"/>
      <c r="E269" s="82"/>
      <c r="G269" s="82"/>
    </row>
    <row r="270">
      <c r="A270" s="100"/>
      <c r="B270" s="82"/>
      <c r="E270" s="82"/>
      <c r="G270" s="82"/>
    </row>
    <row r="271">
      <c r="A271" s="100"/>
      <c r="B271" s="82"/>
      <c r="E271" s="82"/>
      <c r="G271" s="82"/>
    </row>
    <row r="272">
      <c r="A272" s="100"/>
      <c r="B272" s="82"/>
      <c r="E272" s="82"/>
      <c r="G272" s="82"/>
    </row>
    <row r="273">
      <c r="A273" s="100"/>
      <c r="B273" s="82"/>
      <c r="E273" s="82"/>
      <c r="G273" s="82"/>
    </row>
    <row r="274">
      <c r="A274" s="100"/>
      <c r="B274" s="82"/>
      <c r="E274" s="82"/>
      <c r="G274" s="82"/>
    </row>
    <row r="275">
      <c r="A275" s="100"/>
      <c r="B275" s="82"/>
      <c r="E275" s="82"/>
      <c r="G275" s="82"/>
    </row>
    <row r="276">
      <c r="A276" s="100"/>
      <c r="B276" s="82"/>
      <c r="E276" s="82"/>
      <c r="G276" s="82"/>
    </row>
    <row r="277">
      <c r="A277" s="100"/>
      <c r="B277" s="82"/>
      <c r="E277" s="82"/>
      <c r="G277" s="82"/>
    </row>
    <row r="278">
      <c r="A278" s="100"/>
      <c r="B278" s="82"/>
      <c r="E278" s="82"/>
      <c r="G278" s="82"/>
    </row>
    <row r="279">
      <c r="A279" s="100"/>
      <c r="B279" s="82"/>
      <c r="E279" s="82"/>
      <c r="G279" s="82"/>
    </row>
    <row r="280">
      <c r="A280" s="100"/>
      <c r="B280" s="82"/>
      <c r="E280" s="82"/>
      <c r="G280" s="82"/>
    </row>
    <row r="281">
      <c r="A281" s="100"/>
      <c r="B281" s="82"/>
      <c r="E281" s="82"/>
      <c r="G281" s="82"/>
    </row>
    <row r="282">
      <c r="A282" s="100"/>
      <c r="B282" s="82"/>
      <c r="E282" s="82"/>
      <c r="G282" s="82"/>
    </row>
    <row r="283">
      <c r="A283" s="100"/>
      <c r="B283" s="82"/>
      <c r="E283" s="82"/>
      <c r="G283" s="82"/>
    </row>
    <row r="284">
      <c r="A284" s="100"/>
      <c r="B284" s="82"/>
      <c r="E284" s="82"/>
      <c r="G284" s="82"/>
    </row>
    <row r="285">
      <c r="A285" s="100"/>
      <c r="B285" s="82"/>
      <c r="E285" s="82"/>
      <c r="G285" s="82"/>
    </row>
    <row r="286">
      <c r="A286" s="100"/>
      <c r="B286" s="82"/>
      <c r="E286" s="82"/>
      <c r="G286" s="82"/>
    </row>
    <row r="287">
      <c r="A287" s="100"/>
      <c r="B287" s="82"/>
      <c r="E287" s="82"/>
      <c r="G287" s="82"/>
    </row>
    <row r="288">
      <c r="A288" s="100"/>
      <c r="B288" s="82"/>
      <c r="E288" s="82"/>
      <c r="G288" s="82"/>
    </row>
    <row r="289">
      <c r="A289" s="100"/>
      <c r="B289" s="82"/>
      <c r="E289" s="82"/>
      <c r="G289" s="82"/>
    </row>
    <row r="290">
      <c r="A290" s="100"/>
      <c r="B290" s="82"/>
      <c r="E290" s="82"/>
      <c r="G290" s="82"/>
    </row>
    <row r="291">
      <c r="A291" s="100"/>
      <c r="B291" s="82"/>
      <c r="E291" s="82"/>
      <c r="G291" s="82"/>
    </row>
    <row r="292">
      <c r="A292" s="100"/>
      <c r="B292" s="82"/>
      <c r="E292" s="82"/>
      <c r="G292" s="82"/>
    </row>
    <row r="293">
      <c r="A293" s="100"/>
      <c r="B293" s="82"/>
      <c r="E293" s="82"/>
      <c r="G293" s="82"/>
    </row>
    <row r="294">
      <c r="A294" s="100"/>
      <c r="B294" s="82"/>
      <c r="E294" s="82"/>
      <c r="G294" s="82"/>
    </row>
    <row r="295">
      <c r="A295" s="100"/>
      <c r="B295" s="82"/>
      <c r="E295" s="82"/>
      <c r="G295" s="82"/>
    </row>
    <row r="296">
      <c r="A296" s="100"/>
      <c r="B296" s="82"/>
      <c r="E296" s="82"/>
      <c r="G296" s="82"/>
    </row>
    <row r="297">
      <c r="A297" s="100"/>
      <c r="B297" s="82"/>
      <c r="E297" s="82"/>
      <c r="G297" s="82"/>
    </row>
    <row r="298">
      <c r="A298" s="100"/>
      <c r="B298" s="82"/>
      <c r="E298" s="82"/>
      <c r="G298" s="82"/>
    </row>
    <row r="299">
      <c r="A299" s="100"/>
      <c r="B299" s="82"/>
      <c r="E299" s="82"/>
      <c r="G299" s="82"/>
    </row>
    <row r="300">
      <c r="A300" s="100"/>
      <c r="B300" s="82"/>
      <c r="E300" s="82"/>
      <c r="G300" s="82"/>
    </row>
    <row r="301">
      <c r="A301" s="100"/>
      <c r="B301" s="82"/>
      <c r="E301" s="82"/>
      <c r="G301" s="82"/>
    </row>
    <row r="302">
      <c r="A302" s="100"/>
      <c r="B302" s="82"/>
      <c r="E302" s="82"/>
      <c r="G302" s="82"/>
    </row>
    <row r="303">
      <c r="A303" s="100"/>
      <c r="B303" s="82"/>
      <c r="E303" s="82"/>
      <c r="G303" s="82"/>
    </row>
    <row r="304">
      <c r="A304" s="100"/>
      <c r="B304" s="82"/>
      <c r="E304" s="82"/>
      <c r="G304" s="82"/>
    </row>
    <row r="305">
      <c r="A305" s="100"/>
      <c r="B305" s="82"/>
      <c r="E305" s="82"/>
      <c r="G305" s="82"/>
    </row>
    <row r="306">
      <c r="A306" s="100"/>
      <c r="B306" s="82"/>
      <c r="E306" s="82"/>
      <c r="G306" s="82"/>
    </row>
    <row r="307">
      <c r="A307" s="100"/>
      <c r="B307" s="82"/>
      <c r="E307" s="82"/>
      <c r="G307" s="82"/>
    </row>
    <row r="308">
      <c r="A308" s="100"/>
      <c r="B308" s="82"/>
      <c r="E308" s="82"/>
      <c r="G308" s="82"/>
    </row>
    <row r="309">
      <c r="A309" s="100"/>
      <c r="B309" s="82"/>
      <c r="E309" s="82"/>
      <c r="G309" s="82"/>
    </row>
    <row r="310">
      <c r="A310" s="100"/>
      <c r="B310" s="82"/>
      <c r="E310" s="82"/>
      <c r="G310" s="82"/>
    </row>
    <row r="311">
      <c r="A311" s="100"/>
      <c r="B311" s="82"/>
      <c r="E311" s="82"/>
      <c r="G311" s="82"/>
    </row>
    <row r="312">
      <c r="A312" s="100"/>
      <c r="B312" s="82"/>
      <c r="E312" s="82"/>
      <c r="G312" s="82"/>
    </row>
    <row r="313">
      <c r="A313" s="100"/>
      <c r="B313" s="82"/>
      <c r="E313" s="82"/>
      <c r="G313" s="82"/>
    </row>
    <row r="314">
      <c r="A314" s="100"/>
      <c r="B314" s="82"/>
      <c r="E314" s="82"/>
      <c r="G314" s="82"/>
    </row>
    <row r="315">
      <c r="A315" s="100"/>
      <c r="B315" s="82"/>
      <c r="E315" s="82"/>
      <c r="G315" s="82"/>
    </row>
    <row r="316">
      <c r="A316" s="100"/>
      <c r="B316" s="82"/>
      <c r="E316" s="82"/>
      <c r="G316" s="82"/>
    </row>
    <row r="317">
      <c r="A317" s="100"/>
      <c r="B317" s="82"/>
      <c r="E317" s="82"/>
      <c r="G317" s="82"/>
    </row>
    <row r="318">
      <c r="A318" s="100"/>
      <c r="B318" s="82"/>
      <c r="E318" s="82"/>
      <c r="G318" s="82"/>
    </row>
    <row r="319">
      <c r="A319" s="100"/>
      <c r="B319" s="82"/>
      <c r="E319" s="82"/>
      <c r="G319" s="82"/>
    </row>
    <row r="320">
      <c r="A320" s="100"/>
      <c r="B320" s="82"/>
      <c r="E320" s="82"/>
      <c r="G320" s="82"/>
    </row>
    <row r="321">
      <c r="A321" s="100"/>
      <c r="B321" s="82"/>
      <c r="E321" s="82"/>
      <c r="G321" s="82"/>
    </row>
    <row r="322">
      <c r="A322" s="100"/>
      <c r="B322" s="82"/>
      <c r="E322" s="82"/>
      <c r="G322" s="82"/>
    </row>
    <row r="323">
      <c r="A323" s="100"/>
      <c r="B323" s="82"/>
      <c r="E323" s="82"/>
      <c r="G323" s="82"/>
    </row>
    <row r="324">
      <c r="A324" s="100"/>
      <c r="B324" s="82"/>
      <c r="E324" s="82"/>
      <c r="G324" s="82"/>
    </row>
    <row r="325">
      <c r="A325" s="100"/>
      <c r="B325" s="82"/>
      <c r="E325" s="82"/>
      <c r="G325" s="82"/>
    </row>
    <row r="326">
      <c r="A326" s="100"/>
      <c r="B326" s="82"/>
      <c r="E326" s="82"/>
      <c r="G326" s="82"/>
    </row>
    <row r="327">
      <c r="A327" s="100"/>
      <c r="B327" s="82"/>
      <c r="E327" s="82"/>
      <c r="G327" s="82"/>
    </row>
    <row r="328">
      <c r="A328" s="100"/>
      <c r="B328" s="82"/>
      <c r="E328" s="82"/>
      <c r="G328" s="82"/>
    </row>
    <row r="329">
      <c r="A329" s="100"/>
      <c r="B329" s="82"/>
      <c r="E329" s="82"/>
      <c r="G329" s="82"/>
    </row>
    <row r="330">
      <c r="A330" s="100"/>
      <c r="B330" s="82"/>
      <c r="E330" s="82"/>
      <c r="G330" s="82"/>
    </row>
    <row r="331">
      <c r="A331" s="100"/>
      <c r="B331" s="82"/>
      <c r="E331" s="82"/>
      <c r="G331" s="82"/>
    </row>
    <row r="332">
      <c r="A332" s="100"/>
      <c r="B332" s="82"/>
      <c r="E332" s="82"/>
      <c r="G332" s="82"/>
    </row>
    <row r="333">
      <c r="A333" s="100"/>
      <c r="B333" s="82"/>
      <c r="E333" s="82"/>
      <c r="G333" s="82"/>
    </row>
    <row r="334">
      <c r="A334" s="100"/>
      <c r="B334" s="82"/>
      <c r="E334" s="82"/>
      <c r="G334" s="82"/>
    </row>
    <row r="335">
      <c r="A335" s="100"/>
      <c r="B335" s="82"/>
      <c r="E335" s="82"/>
      <c r="G335" s="82"/>
    </row>
    <row r="336">
      <c r="A336" s="100"/>
      <c r="B336" s="82"/>
      <c r="E336" s="82"/>
      <c r="G336" s="82"/>
    </row>
    <row r="337">
      <c r="A337" s="100"/>
      <c r="B337" s="82"/>
      <c r="E337" s="82"/>
      <c r="G337" s="82"/>
    </row>
    <row r="338">
      <c r="A338" s="100"/>
      <c r="B338" s="82"/>
      <c r="E338" s="82"/>
      <c r="G338" s="82"/>
    </row>
    <row r="339">
      <c r="A339" s="100"/>
      <c r="B339" s="82"/>
      <c r="E339" s="82"/>
      <c r="G339" s="82"/>
    </row>
    <row r="340">
      <c r="A340" s="100"/>
      <c r="B340" s="82"/>
      <c r="E340" s="82"/>
      <c r="G340" s="82"/>
    </row>
    <row r="341">
      <c r="A341" s="100"/>
      <c r="B341" s="82"/>
      <c r="E341" s="82"/>
      <c r="G341" s="82"/>
    </row>
    <row r="342">
      <c r="A342" s="100"/>
      <c r="B342" s="82"/>
      <c r="E342" s="82"/>
      <c r="G342" s="82"/>
    </row>
    <row r="343">
      <c r="A343" s="100"/>
      <c r="B343" s="82"/>
      <c r="E343" s="82"/>
      <c r="G343" s="82"/>
    </row>
    <row r="344">
      <c r="A344" s="100"/>
      <c r="B344" s="82"/>
      <c r="E344" s="82"/>
      <c r="G344" s="82"/>
    </row>
    <row r="345">
      <c r="A345" s="100"/>
      <c r="B345" s="82"/>
      <c r="E345" s="82"/>
      <c r="G345" s="82"/>
    </row>
    <row r="346">
      <c r="A346" s="100"/>
      <c r="B346" s="82"/>
      <c r="E346" s="82"/>
      <c r="G346" s="82"/>
    </row>
    <row r="347">
      <c r="A347" s="100"/>
      <c r="B347" s="82"/>
      <c r="E347" s="82"/>
      <c r="G347" s="82"/>
    </row>
    <row r="348">
      <c r="A348" s="100"/>
      <c r="B348" s="82"/>
      <c r="E348" s="82"/>
      <c r="G348" s="82"/>
    </row>
    <row r="349">
      <c r="A349" s="100"/>
      <c r="B349" s="82"/>
      <c r="E349" s="82"/>
      <c r="G349" s="82"/>
    </row>
    <row r="350">
      <c r="A350" s="100"/>
      <c r="B350" s="82"/>
      <c r="E350" s="82"/>
      <c r="G350" s="82"/>
    </row>
    <row r="351">
      <c r="A351" s="100"/>
      <c r="B351" s="82"/>
      <c r="E351" s="82"/>
      <c r="G351" s="82"/>
    </row>
    <row r="352">
      <c r="A352" s="100"/>
      <c r="B352" s="82"/>
      <c r="E352" s="82"/>
      <c r="G352" s="82"/>
    </row>
    <row r="353">
      <c r="A353" s="100"/>
      <c r="B353" s="82"/>
      <c r="E353" s="82"/>
      <c r="G353" s="82"/>
    </row>
    <row r="354">
      <c r="A354" s="100"/>
      <c r="B354" s="82"/>
      <c r="E354" s="82"/>
      <c r="G354" s="82"/>
    </row>
    <row r="355">
      <c r="A355" s="100"/>
      <c r="B355" s="82"/>
      <c r="E355" s="82"/>
      <c r="G355" s="82"/>
    </row>
    <row r="356">
      <c r="A356" s="100"/>
      <c r="B356" s="82"/>
      <c r="E356" s="82"/>
      <c r="G356" s="82"/>
    </row>
    <row r="357">
      <c r="A357" s="100"/>
      <c r="B357" s="82"/>
      <c r="E357" s="82"/>
      <c r="G357" s="82"/>
    </row>
    <row r="358">
      <c r="A358" s="100"/>
      <c r="B358" s="82"/>
      <c r="E358" s="82"/>
      <c r="G358" s="82"/>
    </row>
    <row r="359">
      <c r="A359" s="100"/>
      <c r="B359" s="82"/>
      <c r="E359" s="82"/>
      <c r="G359" s="82"/>
    </row>
    <row r="360">
      <c r="A360" s="100"/>
      <c r="B360" s="82"/>
      <c r="E360" s="82"/>
      <c r="G360" s="82"/>
    </row>
    <row r="361">
      <c r="A361" s="100"/>
      <c r="B361" s="82"/>
      <c r="E361" s="82"/>
      <c r="G361" s="82"/>
    </row>
    <row r="362">
      <c r="A362" s="100"/>
      <c r="B362" s="82"/>
      <c r="E362" s="82"/>
      <c r="G362" s="82"/>
    </row>
    <row r="363">
      <c r="A363" s="100"/>
      <c r="B363" s="82"/>
      <c r="E363" s="82"/>
      <c r="G363" s="82"/>
    </row>
    <row r="364">
      <c r="A364" s="100"/>
      <c r="B364" s="82"/>
      <c r="E364" s="82"/>
      <c r="G364" s="82"/>
    </row>
    <row r="365">
      <c r="A365" s="100"/>
      <c r="B365" s="82"/>
      <c r="E365" s="82"/>
      <c r="G365" s="82"/>
    </row>
    <row r="366">
      <c r="A366" s="100"/>
      <c r="B366" s="82"/>
      <c r="E366" s="82"/>
      <c r="G366" s="82"/>
    </row>
    <row r="367">
      <c r="A367" s="100"/>
      <c r="B367" s="82"/>
      <c r="E367" s="82"/>
      <c r="G367" s="82"/>
    </row>
    <row r="368">
      <c r="A368" s="100"/>
      <c r="B368" s="82"/>
      <c r="E368" s="82"/>
      <c r="G368" s="82"/>
    </row>
    <row r="369">
      <c r="A369" s="100"/>
      <c r="B369" s="82"/>
      <c r="E369" s="82"/>
      <c r="G369" s="82"/>
    </row>
    <row r="370">
      <c r="A370" s="100"/>
      <c r="B370" s="82"/>
      <c r="E370" s="82"/>
      <c r="G370" s="82"/>
    </row>
    <row r="371">
      <c r="A371" s="100"/>
      <c r="B371" s="82"/>
      <c r="E371" s="82"/>
      <c r="G371" s="82"/>
    </row>
    <row r="372">
      <c r="A372" s="100"/>
      <c r="B372" s="82"/>
      <c r="E372" s="82"/>
      <c r="G372" s="82"/>
    </row>
    <row r="373">
      <c r="A373" s="100"/>
      <c r="B373" s="82"/>
      <c r="E373" s="82"/>
      <c r="G373" s="82"/>
    </row>
    <row r="374">
      <c r="A374" s="100"/>
      <c r="B374" s="82"/>
      <c r="E374" s="82"/>
      <c r="G374" s="82"/>
    </row>
    <row r="375">
      <c r="A375" s="100"/>
      <c r="B375" s="82"/>
      <c r="E375" s="82"/>
      <c r="G375" s="82"/>
    </row>
    <row r="376">
      <c r="A376" s="100"/>
      <c r="B376" s="82"/>
      <c r="E376" s="82"/>
      <c r="G376" s="82"/>
    </row>
    <row r="377">
      <c r="A377" s="100"/>
      <c r="B377" s="82"/>
      <c r="E377" s="82"/>
      <c r="G377" s="82"/>
    </row>
    <row r="378">
      <c r="A378" s="100"/>
      <c r="B378" s="82"/>
      <c r="E378" s="82"/>
      <c r="G378" s="82"/>
    </row>
    <row r="379">
      <c r="A379" s="100"/>
      <c r="B379" s="82"/>
      <c r="E379" s="82"/>
      <c r="G379" s="82"/>
    </row>
    <row r="380">
      <c r="A380" s="100"/>
      <c r="B380" s="82"/>
      <c r="E380" s="82"/>
      <c r="G380" s="82"/>
    </row>
    <row r="381">
      <c r="A381" s="100"/>
      <c r="B381" s="82"/>
      <c r="E381" s="82"/>
      <c r="G381" s="82"/>
    </row>
    <row r="382">
      <c r="A382" s="100"/>
      <c r="B382" s="82"/>
      <c r="E382" s="82"/>
      <c r="G382" s="82"/>
    </row>
    <row r="383">
      <c r="A383" s="100"/>
      <c r="B383" s="82"/>
      <c r="E383" s="82"/>
      <c r="G383" s="82"/>
    </row>
    <row r="384">
      <c r="A384" s="100"/>
      <c r="B384" s="82"/>
      <c r="E384" s="82"/>
      <c r="G384" s="82"/>
    </row>
    <row r="385">
      <c r="A385" s="100"/>
      <c r="B385" s="82"/>
      <c r="E385" s="82"/>
      <c r="G385" s="82"/>
    </row>
    <row r="386">
      <c r="A386" s="100"/>
      <c r="B386" s="82"/>
      <c r="E386" s="82"/>
      <c r="G386" s="82"/>
    </row>
    <row r="387">
      <c r="A387" s="100"/>
      <c r="B387" s="82"/>
      <c r="E387" s="82"/>
      <c r="G387" s="82"/>
    </row>
    <row r="388">
      <c r="A388" s="100"/>
      <c r="B388" s="82"/>
      <c r="E388" s="82"/>
      <c r="G388" s="82"/>
    </row>
    <row r="389">
      <c r="A389" s="100"/>
      <c r="B389" s="82"/>
      <c r="E389" s="82"/>
      <c r="G389" s="82"/>
    </row>
    <row r="390">
      <c r="A390" s="100"/>
      <c r="B390" s="82"/>
      <c r="E390" s="82"/>
      <c r="G390" s="82"/>
    </row>
    <row r="391">
      <c r="A391" s="100"/>
      <c r="B391" s="82"/>
      <c r="E391" s="82"/>
      <c r="G391" s="82"/>
    </row>
    <row r="392">
      <c r="A392" s="100"/>
      <c r="B392" s="82"/>
      <c r="E392" s="82"/>
      <c r="G392" s="82"/>
    </row>
    <row r="393">
      <c r="A393" s="100"/>
      <c r="B393" s="82"/>
      <c r="E393" s="82"/>
      <c r="G393" s="82"/>
    </row>
    <row r="394">
      <c r="A394" s="100"/>
      <c r="B394" s="82"/>
      <c r="E394" s="82"/>
      <c r="G394" s="82"/>
    </row>
    <row r="395">
      <c r="A395" s="100"/>
      <c r="B395" s="82"/>
      <c r="E395" s="82"/>
      <c r="G395" s="82"/>
    </row>
    <row r="396">
      <c r="A396" s="100"/>
      <c r="B396" s="82"/>
      <c r="E396" s="82"/>
      <c r="G396" s="82"/>
    </row>
    <row r="397">
      <c r="A397" s="100"/>
      <c r="B397" s="82"/>
      <c r="E397" s="82"/>
      <c r="G397" s="82"/>
    </row>
    <row r="398">
      <c r="A398" s="100"/>
      <c r="B398" s="82"/>
      <c r="E398" s="82"/>
      <c r="G398" s="82"/>
    </row>
    <row r="399">
      <c r="A399" s="100"/>
      <c r="B399" s="82"/>
      <c r="E399" s="82"/>
      <c r="G399" s="82"/>
    </row>
    <row r="400">
      <c r="A400" s="100"/>
      <c r="B400" s="82"/>
      <c r="E400" s="82"/>
      <c r="G400" s="82"/>
    </row>
    <row r="401">
      <c r="A401" s="100"/>
      <c r="B401" s="82"/>
      <c r="E401" s="82"/>
      <c r="G401" s="82"/>
    </row>
    <row r="402">
      <c r="A402" s="100"/>
      <c r="B402" s="82"/>
      <c r="E402" s="82"/>
      <c r="G402" s="82"/>
    </row>
    <row r="403">
      <c r="A403" s="100"/>
      <c r="B403" s="82"/>
      <c r="E403" s="82"/>
      <c r="G403" s="82"/>
    </row>
    <row r="404">
      <c r="A404" s="100"/>
      <c r="B404" s="82"/>
      <c r="E404" s="82"/>
      <c r="G404" s="82"/>
    </row>
    <row r="405">
      <c r="A405" s="100"/>
      <c r="B405" s="82"/>
      <c r="E405" s="82"/>
      <c r="G405" s="82"/>
    </row>
    <row r="406">
      <c r="A406" s="100"/>
      <c r="B406" s="82"/>
      <c r="E406" s="82"/>
      <c r="G406" s="82"/>
    </row>
    <row r="407">
      <c r="A407" s="100"/>
      <c r="B407" s="82"/>
      <c r="E407" s="82"/>
      <c r="G407" s="82"/>
    </row>
    <row r="408">
      <c r="A408" s="100"/>
      <c r="B408" s="82"/>
      <c r="E408" s="82"/>
      <c r="G408" s="82"/>
    </row>
    <row r="409">
      <c r="A409" s="100"/>
      <c r="B409" s="82"/>
      <c r="E409" s="82"/>
      <c r="G409" s="82"/>
    </row>
    <row r="410">
      <c r="A410" s="100"/>
      <c r="B410" s="82"/>
      <c r="E410" s="82"/>
      <c r="G410" s="82"/>
    </row>
    <row r="411">
      <c r="A411" s="100"/>
      <c r="B411" s="82"/>
      <c r="E411" s="82"/>
      <c r="G411" s="82"/>
    </row>
    <row r="412">
      <c r="A412" s="100"/>
      <c r="B412" s="82"/>
      <c r="E412" s="82"/>
      <c r="G412" s="82"/>
    </row>
    <row r="413">
      <c r="A413" s="100"/>
      <c r="B413" s="82"/>
      <c r="E413" s="82"/>
      <c r="G413" s="82"/>
    </row>
    <row r="414">
      <c r="A414" s="100"/>
      <c r="B414" s="82"/>
      <c r="E414" s="82"/>
      <c r="G414" s="82"/>
    </row>
    <row r="415">
      <c r="A415" s="100"/>
      <c r="B415" s="82"/>
      <c r="E415" s="82"/>
      <c r="G415" s="82"/>
    </row>
    <row r="416">
      <c r="A416" s="100"/>
      <c r="B416" s="82"/>
      <c r="E416" s="82"/>
      <c r="G416" s="82"/>
    </row>
    <row r="417">
      <c r="A417" s="100"/>
      <c r="B417" s="82"/>
      <c r="E417" s="82"/>
      <c r="G417" s="82"/>
    </row>
    <row r="418">
      <c r="A418" s="100"/>
      <c r="B418" s="82"/>
      <c r="E418" s="82"/>
      <c r="G418" s="82"/>
    </row>
    <row r="419">
      <c r="A419" s="100"/>
      <c r="B419" s="82"/>
      <c r="E419" s="82"/>
      <c r="G419" s="82"/>
    </row>
    <row r="420">
      <c r="A420" s="100"/>
      <c r="B420" s="82"/>
      <c r="E420" s="82"/>
      <c r="G420" s="82"/>
    </row>
    <row r="421">
      <c r="A421" s="100"/>
      <c r="B421" s="82"/>
      <c r="E421" s="82"/>
      <c r="G421" s="82"/>
    </row>
    <row r="422">
      <c r="A422" s="100"/>
      <c r="B422" s="82"/>
      <c r="E422" s="82"/>
      <c r="G422" s="82"/>
    </row>
    <row r="423">
      <c r="A423" s="100"/>
      <c r="B423" s="82"/>
      <c r="E423" s="82"/>
      <c r="G423" s="82"/>
    </row>
    <row r="424">
      <c r="A424" s="100"/>
      <c r="B424" s="82"/>
      <c r="E424" s="82"/>
      <c r="G424" s="82"/>
    </row>
    <row r="425">
      <c r="A425" s="100"/>
      <c r="B425" s="82"/>
      <c r="E425" s="82"/>
      <c r="G425" s="82"/>
    </row>
    <row r="426">
      <c r="A426" s="100"/>
      <c r="B426" s="82"/>
      <c r="E426" s="82"/>
      <c r="G426" s="82"/>
    </row>
    <row r="427">
      <c r="A427" s="100"/>
      <c r="B427" s="82"/>
      <c r="E427" s="82"/>
      <c r="G427" s="82"/>
    </row>
    <row r="428">
      <c r="A428" s="100"/>
      <c r="B428" s="82"/>
      <c r="E428" s="82"/>
      <c r="G428" s="82"/>
    </row>
    <row r="429">
      <c r="A429" s="100"/>
      <c r="B429" s="82"/>
      <c r="E429" s="82"/>
      <c r="G429" s="82"/>
    </row>
    <row r="430">
      <c r="A430" s="100"/>
      <c r="B430" s="82"/>
      <c r="E430" s="82"/>
      <c r="G430" s="82"/>
    </row>
    <row r="431">
      <c r="A431" s="100"/>
      <c r="B431" s="82"/>
      <c r="E431" s="82"/>
      <c r="G431" s="82"/>
    </row>
    <row r="432">
      <c r="A432" s="100"/>
      <c r="B432" s="82"/>
      <c r="E432" s="82"/>
      <c r="G432" s="82"/>
    </row>
    <row r="433">
      <c r="A433" s="100"/>
      <c r="B433" s="82"/>
      <c r="E433" s="82"/>
      <c r="G433" s="82"/>
    </row>
    <row r="434">
      <c r="A434" s="100"/>
      <c r="B434" s="82"/>
      <c r="E434" s="82"/>
      <c r="G434" s="82"/>
    </row>
    <row r="435">
      <c r="A435" s="100"/>
      <c r="B435" s="82"/>
      <c r="E435" s="82"/>
      <c r="G435" s="82"/>
    </row>
    <row r="436">
      <c r="A436" s="100"/>
      <c r="B436" s="82"/>
      <c r="E436" s="82"/>
      <c r="G436" s="82"/>
    </row>
    <row r="437">
      <c r="A437" s="100"/>
      <c r="B437" s="82"/>
      <c r="E437" s="82"/>
      <c r="G437" s="82"/>
    </row>
    <row r="438">
      <c r="A438" s="100"/>
      <c r="B438" s="82"/>
      <c r="E438" s="82"/>
      <c r="G438" s="82"/>
    </row>
    <row r="439">
      <c r="A439" s="100"/>
      <c r="B439" s="82"/>
      <c r="E439" s="82"/>
      <c r="G439" s="82"/>
    </row>
    <row r="440">
      <c r="A440" s="100"/>
      <c r="B440" s="82"/>
      <c r="E440" s="82"/>
      <c r="G440" s="82"/>
    </row>
    <row r="441">
      <c r="A441" s="100"/>
      <c r="B441" s="82"/>
      <c r="E441" s="82"/>
      <c r="G441" s="82"/>
    </row>
    <row r="442">
      <c r="A442" s="100"/>
      <c r="B442" s="82"/>
      <c r="E442" s="82"/>
      <c r="G442" s="82"/>
    </row>
    <row r="443">
      <c r="A443" s="100"/>
      <c r="B443" s="82"/>
      <c r="E443" s="82"/>
      <c r="G443" s="82"/>
    </row>
    <row r="444">
      <c r="A444" s="100"/>
      <c r="B444" s="82"/>
      <c r="E444" s="82"/>
      <c r="G444" s="82"/>
    </row>
    <row r="445">
      <c r="A445" s="100"/>
      <c r="B445" s="82"/>
      <c r="E445" s="82"/>
      <c r="G445" s="82"/>
    </row>
    <row r="446">
      <c r="A446" s="100"/>
      <c r="B446" s="82"/>
      <c r="E446" s="82"/>
      <c r="G446" s="82"/>
    </row>
    <row r="447">
      <c r="A447" s="100"/>
      <c r="B447" s="82"/>
      <c r="E447" s="82"/>
      <c r="G447" s="82"/>
    </row>
    <row r="448">
      <c r="A448" s="100"/>
      <c r="B448" s="82"/>
      <c r="E448" s="82"/>
      <c r="G448" s="82"/>
    </row>
    <row r="449">
      <c r="A449" s="100"/>
      <c r="B449" s="82"/>
      <c r="E449" s="82"/>
      <c r="G449" s="82"/>
    </row>
    <row r="450">
      <c r="A450" s="100"/>
      <c r="B450" s="82"/>
      <c r="E450" s="82"/>
      <c r="G450" s="82"/>
    </row>
    <row r="451">
      <c r="A451" s="100"/>
      <c r="B451" s="82"/>
      <c r="E451" s="82"/>
      <c r="G451" s="82"/>
    </row>
    <row r="452">
      <c r="A452" s="100"/>
      <c r="B452" s="82"/>
      <c r="E452" s="82"/>
      <c r="G452" s="82"/>
    </row>
    <row r="453">
      <c r="A453" s="100"/>
      <c r="B453" s="82"/>
      <c r="E453" s="82"/>
      <c r="G453" s="82"/>
    </row>
    <row r="454">
      <c r="A454" s="100"/>
      <c r="B454" s="82"/>
      <c r="E454" s="82"/>
      <c r="G454" s="82"/>
    </row>
    <row r="455">
      <c r="A455" s="100"/>
      <c r="B455" s="82"/>
      <c r="E455" s="82"/>
      <c r="G455" s="82"/>
    </row>
    <row r="456">
      <c r="A456" s="100"/>
      <c r="B456" s="82"/>
      <c r="E456" s="82"/>
      <c r="G456" s="82"/>
    </row>
    <row r="457">
      <c r="A457" s="100"/>
      <c r="B457" s="82"/>
      <c r="E457" s="82"/>
      <c r="G457" s="82"/>
    </row>
    <row r="458">
      <c r="A458" s="100"/>
      <c r="B458" s="82"/>
      <c r="E458" s="82"/>
      <c r="G458" s="82"/>
    </row>
    <row r="459">
      <c r="A459" s="100"/>
      <c r="B459" s="82"/>
      <c r="E459" s="82"/>
      <c r="G459" s="82"/>
    </row>
    <row r="460">
      <c r="A460" s="100"/>
      <c r="B460" s="82"/>
      <c r="E460" s="82"/>
      <c r="G460" s="82"/>
    </row>
    <row r="461">
      <c r="A461" s="100"/>
      <c r="B461" s="82"/>
      <c r="E461" s="82"/>
      <c r="G461" s="82"/>
    </row>
    <row r="462">
      <c r="A462" s="100"/>
      <c r="B462" s="82"/>
      <c r="E462" s="82"/>
      <c r="G462" s="82"/>
    </row>
    <row r="463">
      <c r="A463" s="100"/>
      <c r="B463" s="82"/>
      <c r="E463" s="82"/>
      <c r="G463" s="82"/>
    </row>
    <row r="464">
      <c r="A464" s="100"/>
      <c r="B464" s="82"/>
      <c r="E464" s="82"/>
      <c r="G464" s="82"/>
    </row>
    <row r="465">
      <c r="A465" s="100"/>
      <c r="B465" s="82"/>
      <c r="E465" s="82"/>
      <c r="G465" s="82"/>
    </row>
    <row r="466">
      <c r="A466" s="100"/>
      <c r="B466" s="82"/>
      <c r="E466" s="82"/>
      <c r="G466" s="82"/>
    </row>
    <row r="467">
      <c r="A467" s="100"/>
      <c r="B467" s="82"/>
      <c r="E467" s="82"/>
      <c r="G467" s="82"/>
    </row>
    <row r="468">
      <c r="A468" s="100"/>
      <c r="B468" s="82"/>
      <c r="E468" s="82"/>
      <c r="G468" s="82"/>
    </row>
    <row r="469">
      <c r="A469" s="100"/>
      <c r="B469" s="82"/>
      <c r="E469" s="82"/>
      <c r="G469" s="82"/>
    </row>
    <row r="470">
      <c r="A470" s="100"/>
      <c r="B470" s="82"/>
      <c r="E470" s="82"/>
      <c r="G470" s="82"/>
    </row>
    <row r="471">
      <c r="A471" s="100"/>
      <c r="B471" s="82"/>
      <c r="E471" s="82"/>
      <c r="G471" s="82"/>
    </row>
    <row r="472">
      <c r="A472" s="100"/>
      <c r="B472" s="82"/>
      <c r="E472" s="82"/>
      <c r="G472" s="82"/>
    </row>
    <row r="473">
      <c r="A473" s="100"/>
      <c r="B473" s="82"/>
      <c r="E473" s="82"/>
      <c r="G473" s="82"/>
    </row>
    <row r="474">
      <c r="A474" s="100"/>
      <c r="B474" s="82"/>
      <c r="E474" s="82"/>
      <c r="G474" s="82"/>
    </row>
    <row r="475">
      <c r="A475" s="100"/>
      <c r="B475" s="82"/>
      <c r="E475" s="82"/>
      <c r="G475" s="82"/>
    </row>
    <row r="476">
      <c r="A476" s="100"/>
      <c r="B476" s="82"/>
      <c r="E476" s="82"/>
      <c r="G476" s="82"/>
    </row>
    <row r="477">
      <c r="A477" s="100"/>
      <c r="B477" s="82"/>
      <c r="E477" s="82"/>
      <c r="G477" s="82"/>
    </row>
    <row r="478">
      <c r="A478" s="100"/>
      <c r="B478" s="82"/>
      <c r="E478" s="82"/>
      <c r="G478" s="82"/>
    </row>
    <row r="479">
      <c r="A479" s="100"/>
      <c r="B479" s="82"/>
      <c r="E479" s="82"/>
      <c r="G479" s="82"/>
    </row>
    <row r="480">
      <c r="A480" s="100"/>
      <c r="B480" s="82"/>
      <c r="E480" s="82"/>
      <c r="G480" s="82"/>
    </row>
    <row r="481">
      <c r="A481" s="100"/>
      <c r="B481" s="82"/>
      <c r="E481" s="82"/>
      <c r="G481" s="82"/>
    </row>
    <row r="482">
      <c r="A482" s="100"/>
      <c r="B482" s="82"/>
      <c r="E482" s="82"/>
      <c r="G482" s="82"/>
    </row>
    <row r="483">
      <c r="A483" s="100"/>
      <c r="B483" s="82"/>
      <c r="E483" s="82"/>
      <c r="G483" s="82"/>
    </row>
    <row r="484">
      <c r="A484" s="100"/>
      <c r="B484" s="82"/>
      <c r="E484" s="82"/>
      <c r="G484" s="82"/>
    </row>
    <row r="485">
      <c r="A485" s="100"/>
      <c r="B485" s="82"/>
      <c r="E485" s="82"/>
      <c r="G485" s="82"/>
    </row>
    <row r="486">
      <c r="A486" s="100"/>
      <c r="B486" s="82"/>
      <c r="E486" s="82"/>
      <c r="G486" s="82"/>
    </row>
    <row r="487">
      <c r="A487" s="100"/>
      <c r="B487" s="82"/>
      <c r="E487" s="82"/>
      <c r="G487" s="82"/>
    </row>
    <row r="488">
      <c r="A488" s="100"/>
      <c r="B488" s="82"/>
      <c r="E488" s="82"/>
      <c r="G488" s="82"/>
    </row>
    <row r="489">
      <c r="A489" s="100"/>
      <c r="B489" s="82"/>
      <c r="E489" s="82"/>
      <c r="G489" s="82"/>
    </row>
    <row r="490">
      <c r="A490" s="100"/>
      <c r="B490" s="82"/>
      <c r="E490" s="82"/>
      <c r="G490" s="82"/>
    </row>
    <row r="491">
      <c r="A491" s="100"/>
      <c r="B491" s="82"/>
      <c r="E491" s="82"/>
      <c r="G491" s="82"/>
    </row>
    <row r="492">
      <c r="A492" s="100"/>
      <c r="B492" s="82"/>
      <c r="E492" s="82"/>
      <c r="G492" s="82"/>
    </row>
    <row r="493">
      <c r="A493" s="100"/>
      <c r="B493" s="82"/>
      <c r="E493" s="82"/>
      <c r="G493" s="82"/>
    </row>
    <row r="494">
      <c r="A494" s="100"/>
      <c r="B494" s="82"/>
      <c r="E494" s="82"/>
      <c r="G494" s="82"/>
    </row>
    <row r="495">
      <c r="A495" s="100"/>
      <c r="B495" s="82"/>
      <c r="E495" s="82"/>
      <c r="G495" s="82"/>
    </row>
    <row r="496">
      <c r="A496" s="100"/>
      <c r="B496" s="82"/>
      <c r="E496" s="82"/>
      <c r="G496" s="82"/>
    </row>
    <row r="497">
      <c r="A497" s="100"/>
      <c r="B497" s="82"/>
      <c r="E497" s="82"/>
      <c r="G497" s="82"/>
    </row>
    <row r="498">
      <c r="A498" s="100"/>
      <c r="B498" s="82"/>
      <c r="E498" s="82"/>
      <c r="G498" s="82"/>
    </row>
    <row r="499">
      <c r="A499" s="100"/>
      <c r="B499" s="82"/>
      <c r="E499" s="82"/>
      <c r="G499" s="82"/>
    </row>
    <row r="500">
      <c r="A500" s="100"/>
      <c r="B500" s="82"/>
      <c r="E500" s="82"/>
      <c r="G500" s="82"/>
    </row>
    <row r="501">
      <c r="A501" s="100"/>
      <c r="B501" s="82"/>
      <c r="E501" s="82"/>
      <c r="G501" s="82"/>
    </row>
    <row r="502">
      <c r="A502" s="100"/>
      <c r="B502" s="82"/>
      <c r="E502" s="82"/>
      <c r="G502" s="82"/>
    </row>
    <row r="503">
      <c r="A503" s="100"/>
      <c r="B503" s="82"/>
      <c r="E503" s="82"/>
      <c r="G503" s="82"/>
    </row>
    <row r="504">
      <c r="A504" s="100"/>
      <c r="B504" s="82"/>
      <c r="E504" s="82"/>
      <c r="G504" s="82"/>
    </row>
    <row r="505">
      <c r="A505" s="100"/>
      <c r="B505" s="82"/>
      <c r="E505" s="82"/>
      <c r="G505" s="82"/>
    </row>
    <row r="506">
      <c r="A506" s="100"/>
      <c r="B506" s="82"/>
      <c r="E506" s="82"/>
      <c r="G506" s="82"/>
    </row>
    <row r="507">
      <c r="A507" s="100"/>
      <c r="B507" s="82"/>
      <c r="E507" s="82"/>
      <c r="G507" s="82"/>
    </row>
    <row r="508">
      <c r="A508" s="100"/>
      <c r="B508" s="82"/>
      <c r="E508" s="82"/>
      <c r="G508" s="82"/>
    </row>
    <row r="509">
      <c r="A509" s="100"/>
      <c r="B509" s="82"/>
      <c r="E509" s="82"/>
      <c r="G509" s="82"/>
    </row>
    <row r="510">
      <c r="A510" s="100"/>
      <c r="B510" s="82"/>
      <c r="E510" s="82"/>
      <c r="G510" s="82"/>
    </row>
    <row r="511">
      <c r="A511" s="100"/>
      <c r="B511" s="82"/>
      <c r="E511" s="82"/>
      <c r="G511" s="82"/>
    </row>
    <row r="512">
      <c r="A512" s="100"/>
      <c r="B512" s="82"/>
      <c r="E512" s="82"/>
      <c r="G512" s="82"/>
    </row>
    <row r="513">
      <c r="A513" s="100"/>
      <c r="B513" s="82"/>
      <c r="E513" s="82"/>
      <c r="G513" s="82"/>
    </row>
    <row r="514">
      <c r="A514" s="100"/>
      <c r="B514" s="82"/>
      <c r="E514" s="82"/>
      <c r="G514" s="82"/>
    </row>
    <row r="515">
      <c r="A515" s="100"/>
      <c r="B515" s="82"/>
      <c r="E515" s="82"/>
      <c r="G515" s="82"/>
    </row>
    <row r="516">
      <c r="A516" s="100"/>
      <c r="B516" s="82"/>
      <c r="E516" s="82"/>
      <c r="G516" s="82"/>
    </row>
    <row r="517">
      <c r="A517" s="100"/>
      <c r="B517" s="82"/>
      <c r="E517" s="82"/>
      <c r="G517" s="82"/>
    </row>
    <row r="518">
      <c r="A518" s="100"/>
      <c r="B518" s="82"/>
      <c r="E518" s="82"/>
      <c r="G518" s="82"/>
    </row>
    <row r="519">
      <c r="A519" s="100"/>
      <c r="B519" s="82"/>
      <c r="E519" s="82"/>
      <c r="G519" s="82"/>
    </row>
    <row r="520">
      <c r="A520" s="100"/>
      <c r="B520" s="82"/>
      <c r="E520" s="82"/>
      <c r="G520" s="82"/>
    </row>
    <row r="521">
      <c r="A521" s="100"/>
      <c r="B521" s="82"/>
      <c r="E521" s="82"/>
      <c r="G521" s="82"/>
    </row>
    <row r="522">
      <c r="A522" s="100"/>
      <c r="B522" s="82"/>
      <c r="E522" s="82"/>
      <c r="G522" s="82"/>
    </row>
    <row r="523">
      <c r="A523" s="100"/>
      <c r="B523" s="82"/>
      <c r="E523" s="82"/>
      <c r="G523" s="82"/>
    </row>
    <row r="524">
      <c r="A524" s="100"/>
      <c r="B524" s="82"/>
      <c r="E524" s="82"/>
      <c r="G524" s="82"/>
    </row>
    <row r="525">
      <c r="A525" s="100"/>
      <c r="B525" s="82"/>
      <c r="E525" s="82"/>
      <c r="G525" s="82"/>
    </row>
    <row r="526">
      <c r="A526" s="100"/>
      <c r="B526" s="82"/>
      <c r="E526" s="82"/>
      <c r="G526" s="82"/>
    </row>
    <row r="527">
      <c r="A527" s="100"/>
      <c r="B527" s="82"/>
      <c r="E527" s="82"/>
      <c r="G527" s="82"/>
    </row>
    <row r="528">
      <c r="A528" s="100"/>
      <c r="B528" s="82"/>
      <c r="E528" s="82"/>
      <c r="G528" s="82"/>
    </row>
    <row r="529">
      <c r="A529" s="100"/>
      <c r="B529" s="82"/>
      <c r="E529" s="82"/>
      <c r="G529" s="82"/>
    </row>
    <row r="530">
      <c r="A530" s="100"/>
      <c r="B530" s="82"/>
      <c r="E530" s="82"/>
      <c r="G530" s="82"/>
    </row>
    <row r="531">
      <c r="A531" s="100"/>
      <c r="B531" s="82"/>
      <c r="E531" s="82"/>
      <c r="G531" s="82"/>
    </row>
    <row r="532">
      <c r="A532" s="100"/>
      <c r="B532" s="82"/>
      <c r="E532" s="82"/>
      <c r="G532" s="82"/>
    </row>
    <row r="533">
      <c r="A533" s="100"/>
      <c r="B533" s="82"/>
      <c r="E533" s="82"/>
      <c r="G533" s="82"/>
    </row>
    <row r="534">
      <c r="A534" s="100"/>
      <c r="B534" s="82"/>
      <c r="E534" s="82"/>
      <c r="G534" s="82"/>
    </row>
    <row r="535">
      <c r="A535" s="100"/>
      <c r="B535" s="82"/>
      <c r="E535" s="82"/>
      <c r="G535" s="82"/>
    </row>
    <row r="536">
      <c r="A536" s="100"/>
      <c r="B536" s="82"/>
      <c r="E536" s="82"/>
      <c r="G536" s="82"/>
    </row>
    <row r="537">
      <c r="A537" s="100"/>
      <c r="B537" s="82"/>
      <c r="E537" s="82"/>
      <c r="G537" s="82"/>
    </row>
    <row r="538">
      <c r="A538" s="100"/>
      <c r="B538" s="82"/>
      <c r="E538" s="82"/>
      <c r="G538" s="82"/>
    </row>
    <row r="539">
      <c r="A539" s="100"/>
      <c r="B539" s="82"/>
      <c r="E539" s="82"/>
      <c r="G539" s="82"/>
    </row>
    <row r="540">
      <c r="A540" s="100"/>
      <c r="B540" s="82"/>
      <c r="E540" s="82"/>
      <c r="G540" s="82"/>
    </row>
    <row r="541">
      <c r="A541" s="100"/>
      <c r="B541" s="82"/>
      <c r="E541" s="82"/>
      <c r="G541" s="82"/>
    </row>
    <row r="542">
      <c r="A542" s="100"/>
      <c r="B542" s="82"/>
      <c r="E542" s="82"/>
      <c r="G542" s="82"/>
    </row>
    <row r="543">
      <c r="A543" s="100"/>
      <c r="B543" s="82"/>
      <c r="E543" s="82"/>
      <c r="G543" s="82"/>
    </row>
    <row r="544">
      <c r="A544" s="100"/>
      <c r="B544" s="82"/>
      <c r="E544" s="82"/>
      <c r="G544" s="82"/>
    </row>
    <row r="545">
      <c r="A545" s="100"/>
      <c r="B545" s="82"/>
      <c r="E545" s="82"/>
      <c r="G545" s="82"/>
    </row>
    <row r="546">
      <c r="A546" s="100"/>
      <c r="B546" s="82"/>
      <c r="E546" s="82"/>
      <c r="G546" s="82"/>
    </row>
    <row r="547">
      <c r="A547" s="100"/>
      <c r="B547" s="82"/>
      <c r="E547" s="82"/>
      <c r="G547" s="82"/>
    </row>
    <row r="548">
      <c r="A548" s="100"/>
      <c r="B548" s="82"/>
      <c r="E548" s="82"/>
      <c r="G548" s="82"/>
    </row>
    <row r="549">
      <c r="A549" s="100"/>
      <c r="B549" s="82"/>
      <c r="E549" s="82"/>
      <c r="G549" s="82"/>
    </row>
    <row r="550">
      <c r="A550" s="100"/>
      <c r="B550" s="82"/>
      <c r="E550" s="82"/>
      <c r="G550" s="82"/>
    </row>
    <row r="551">
      <c r="A551" s="100"/>
      <c r="B551" s="82"/>
      <c r="E551" s="82"/>
      <c r="G551" s="82"/>
    </row>
    <row r="552">
      <c r="A552" s="100"/>
      <c r="B552" s="82"/>
      <c r="E552" s="82"/>
      <c r="G552" s="82"/>
    </row>
    <row r="553">
      <c r="A553" s="100"/>
      <c r="B553" s="82"/>
      <c r="E553" s="82"/>
      <c r="G553" s="82"/>
    </row>
    <row r="554">
      <c r="A554" s="100"/>
      <c r="B554" s="82"/>
      <c r="E554" s="82"/>
      <c r="G554" s="82"/>
    </row>
    <row r="555">
      <c r="A555" s="100"/>
      <c r="B555" s="82"/>
      <c r="E555" s="82"/>
      <c r="G555" s="82"/>
    </row>
    <row r="556">
      <c r="A556" s="100"/>
      <c r="B556" s="82"/>
      <c r="E556" s="82"/>
      <c r="G556" s="82"/>
    </row>
    <row r="557">
      <c r="A557" s="100"/>
      <c r="B557" s="82"/>
      <c r="E557" s="82"/>
      <c r="G557" s="82"/>
    </row>
    <row r="558">
      <c r="A558" s="100"/>
      <c r="B558" s="82"/>
      <c r="E558" s="82"/>
      <c r="G558" s="82"/>
    </row>
    <row r="559">
      <c r="A559" s="100"/>
      <c r="B559" s="82"/>
      <c r="E559" s="82"/>
      <c r="G559" s="82"/>
    </row>
    <row r="560">
      <c r="A560" s="100"/>
      <c r="B560" s="82"/>
      <c r="E560" s="82"/>
      <c r="G560" s="82"/>
    </row>
    <row r="561">
      <c r="A561" s="100"/>
      <c r="B561" s="82"/>
      <c r="E561" s="82"/>
      <c r="G561" s="82"/>
    </row>
    <row r="562">
      <c r="A562" s="100"/>
      <c r="B562" s="82"/>
      <c r="E562" s="82"/>
      <c r="G562" s="82"/>
    </row>
    <row r="563">
      <c r="A563" s="100"/>
      <c r="B563" s="82"/>
      <c r="E563" s="82"/>
      <c r="G563" s="82"/>
    </row>
    <row r="564">
      <c r="A564" s="100"/>
      <c r="B564" s="82"/>
      <c r="E564" s="82"/>
      <c r="G564" s="82"/>
    </row>
    <row r="565">
      <c r="A565" s="100"/>
      <c r="B565" s="82"/>
      <c r="E565" s="82"/>
      <c r="G565" s="82"/>
    </row>
    <row r="566">
      <c r="A566" s="100"/>
      <c r="B566" s="82"/>
      <c r="E566" s="82"/>
      <c r="G566" s="82"/>
    </row>
    <row r="567">
      <c r="A567" s="100"/>
      <c r="B567" s="82"/>
      <c r="E567" s="82"/>
      <c r="G567" s="82"/>
    </row>
    <row r="568">
      <c r="A568" s="100"/>
      <c r="B568" s="82"/>
      <c r="E568" s="82"/>
      <c r="G568" s="82"/>
    </row>
    <row r="569">
      <c r="A569" s="100"/>
      <c r="B569" s="82"/>
      <c r="E569" s="82"/>
      <c r="G569" s="82"/>
    </row>
    <row r="570">
      <c r="A570" s="100"/>
      <c r="B570" s="82"/>
      <c r="E570" s="82"/>
      <c r="G570" s="82"/>
    </row>
    <row r="571">
      <c r="A571" s="100"/>
      <c r="B571" s="82"/>
      <c r="E571" s="82"/>
      <c r="G571" s="82"/>
    </row>
    <row r="572">
      <c r="A572" s="100"/>
      <c r="B572" s="82"/>
      <c r="E572" s="82"/>
      <c r="G572" s="82"/>
    </row>
    <row r="573">
      <c r="A573" s="100"/>
      <c r="B573" s="82"/>
      <c r="E573" s="82"/>
      <c r="G573" s="82"/>
    </row>
    <row r="574">
      <c r="A574" s="100"/>
      <c r="B574" s="82"/>
      <c r="E574" s="82"/>
      <c r="G574" s="82"/>
    </row>
    <row r="575">
      <c r="A575" s="100"/>
      <c r="B575" s="82"/>
      <c r="E575" s="82"/>
      <c r="G575" s="82"/>
    </row>
    <row r="576">
      <c r="A576" s="100"/>
      <c r="B576" s="82"/>
      <c r="E576" s="82"/>
      <c r="G576" s="82"/>
    </row>
    <row r="577">
      <c r="A577" s="100"/>
      <c r="B577" s="82"/>
      <c r="E577" s="82"/>
      <c r="G577" s="82"/>
    </row>
    <row r="578">
      <c r="A578" s="100"/>
      <c r="B578" s="82"/>
      <c r="E578" s="82"/>
      <c r="G578" s="82"/>
    </row>
    <row r="579">
      <c r="A579" s="100"/>
      <c r="B579" s="82"/>
      <c r="E579" s="82"/>
      <c r="G579" s="82"/>
    </row>
    <row r="580">
      <c r="A580" s="100"/>
      <c r="B580" s="82"/>
      <c r="E580" s="82"/>
      <c r="G580" s="82"/>
    </row>
    <row r="581">
      <c r="A581" s="100"/>
      <c r="B581" s="82"/>
      <c r="E581" s="82"/>
      <c r="G581" s="82"/>
    </row>
    <row r="582">
      <c r="A582" s="100"/>
      <c r="B582" s="82"/>
      <c r="E582" s="82"/>
      <c r="G582" s="82"/>
    </row>
    <row r="583">
      <c r="A583" s="100"/>
      <c r="B583" s="82"/>
      <c r="E583" s="82"/>
      <c r="G583" s="82"/>
    </row>
    <row r="584">
      <c r="A584" s="100"/>
      <c r="B584" s="82"/>
      <c r="E584" s="82"/>
      <c r="G584" s="82"/>
    </row>
    <row r="585">
      <c r="A585" s="100"/>
      <c r="B585" s="82"/>
      <c r="E585" s="82"/>
      <c r="G585" s="82"/>
    </row>
    <row r="586">
      <c r="A586" s="100"/>
      <c r="B586" s="82"/>
      <c r="E586" s="82"/>
      <c r="G586" s="82"/>
    </row>
    <row r="587">
      <c r="A587" s="100"/>
      <c r="B587" s="82"/>
      <c r="E587" s="82"/>
      <c r="G587" s="82"/>
    </row>
    <row r="588">
      <c r="A588" s="100"/>
      <c r="B588" s="82"/>
      <c r="E588" s="82"/>
      <c r="G588" s="82"/>
    </row>
    <row r="589">
      <c r="A589" s="100"/>
      <c r="B589" s="82"/>
      <c r="E589" s="82"/>
      <c r="G589" s="82"/>
    </row>
    <row r="590">
      <c r="A590" s="100"/>
      <c r="B590" s="82"/>
      <c r="E590" s="82"/>
      <c r="G590" s="82"/>
    </row>
    <row r="591">
      <c r="A591" s="100"/>
      <c r="B591" s="82"/>
      <c r="E591" s="82"/>
      <c r="G591" s="82"/>
    </row>
    <row r="592">
      <c r="A592" s="100"/>
      <c r="B592" s="82"/>
      <c r="E592" s="82"/>
      <c r="G592" s="82"/>
    </row>
    <row r="593">
      <c r="A593" s="100"/>
      <c r="B593" s="82"/>
      <c r="E593" s="82"/>
      <c r="G593" s="82"/>
    </row>
    <row r="594">
      <c r="A594" s="100"/>
      <c r="B594" s="82"/>
      <c r="E594" s="82"/>
      <c r="G594" s="82"/>
    </row>
    <row r="595">
      <c r="A595" s="100"/>
      <c r="B595" s="82"/>
      <c r="E595" s="82"/>
      <c r="G595" s="82"/>
    </row>
    <row r="596">
      <c r="A596" s="100"/>
      <c r="B596" s="82"/>
      <c r="E596" s="82"/>
      <c r="G596" s="82"/>
    </row>
    <row r="597">
      <c r="A597" s="100"/>
      <c r="B597" s="82"/>
      <c r="E597" s="82"/>
      <c r="G597" s="82"/>
    </row>
    <row r="598">
      <c r="A598" s="100"/>
      <c r="B598" s="82"/>
      <c r="E598" s="82"/>
      <c r="G598" s="82"/>
    </row>
    <row r="599">
      <c r="A599" s="100"/>
      <c r="B599" s="82"/>
      <c r="E599" s="82"/>
      <c r="G599" s="82"/>
    </row>
    <row r="600">
      <c r="A600" s="100"/>
      <c r="B600" s="82"/>
      <c r="E600" s="82"/>
      <c r="G600" s="82"/>
    </row>
    <row r="601">
      <c r="A601" s="100"/>
      <c r="B601" s="82"/>
      <c r="E601" s="82"/>
      <c r="G601" s="82"/>
    </row>
    <row r="602">
      <c r="A602" s="100"/>
      <c r="B602" s="82"/>
      <c r="E602" s="82"/>
      <c r="G602" s="82"/>
    </row>
    <row r="603">
      <c r="A603" s="100"/>
      <c r="B603" s="82"/>
      <c r="E603" s="82"/>
      <c r="G603" s="82"/>
    </row>
    <row r="604">
      <c r="A604" s="100"/>
      <c r="B604" s="82"/>
      <c r="E604" s="82"/>
      <c r="G604" s="82"/>
    </row>
    <row r="605">
      <c r="A605" s="100"/>
      <c r="B605" s="82"/>
      <c r="E605" s="82"/>
      <c r="G605" s="82"/>
    </row>
    <row r="606">
      <c r="A606" s="100"/>
      <c r="B606" s="82"/>
      <c r="E606" s="82"/>
      <c r="G606" s="82"/>
    </row>
    <row r="607">
      <c r="A607" s="100"/>
      <c r="B607" s="82"/>
      <c r="E607" s="82"/>
      <c r="G607" s="82"/>
    </row>
    <row r="608">
      <c r="A608" s="100"/>
      <c r="B608" s="82"/>
      <c r="E608" s="82"/>
      <c r="G608" s="82"/>
    </row>
    <row r="609">
      <c r="A609" s="100"/>
      <c r="B609" s="82"/>
      <c r="E609" s="82"/>
      <c r="G609" s="82"/>
    </row>
    <row r="610">
      <c r="A610" s="100"/>
      <c r="B610" s="82"/>
      <c r="E610" s="82"/>
      <c r="G610" s="82"/>
    </row>
    <row r="611">
      <c r="A611" s="100"/>
      <c r="B611" s="82"/>
      <c r="E611" s="82"/>
      <c r="G611" s="82"/>
    </row>
    <row r="612">
      <c r="A612" s="100"/>
      <c r="B612" s="82"/>
      <c r="E612" s="82"/>
      <c r="G612" s="82"/>
    </row>
    <row r="613">
      <c r="A613" s="100"/>
      <c r="B613" s="82"/>
      <c r="E613" s="82"/>
      <c r="G613" s="82"/>
    </row>
    <row r="614">
      <c r="A614" s="100"/>
      <c r="B614" s="82"/>
      <c r="E614" s="82"/>
      <c r="G614" s="82"/>
    </row>
    <row r="615">
      <c r="A615" s="100"/>
      <c r="B615" s="82"/>
      <c r="E615" s="82"/>
      <c r="G615" s="82"/>
    </row>
    <row r="616">
      <c r="A616" s="100"/>
      <c r="B616" s="82"/>
      <c r="E616" s="82"/>
      <c r="G616" s="82"/>
    </row>
    <row r="617">
      <c r="A617" s="100"/>
      <c r="B617" s="82"/>
      <c r="E617" s="82"/>
      <c r="G617" s="82"/>
    </row>
    <row r="618">
      <c r="A618" s="100"/>
      <c r="B618" s="82"/>
      <c r="E618" s="82"/>
      <c r="G618" s="82"/>
    </row>
    <row r="619">
      <c r="A619" s="100"/>
      <c r="B619" s="82"/>
      <c r="E619" s="82"/>
      <c r="G619" s="82"/>
    </row>
    <row r="620">
      <c r="A620" s="100"/>
      <c r="B620" s="82"/>
      <c r="E620" s="82"/>
      <c r="G620" s="82"/>
    </row>
    <row r="621">
      <c r="A621" s="100"/>
      <c r="B621" s="82"/>
      <c r="E621" s="82"/>
      <c r="G621" s="82"/>
    </row>
    <row r="622">
      <c r="A622" s="100"/>
      <c r="B622" s="82"/>
      <c r="E622" s="82"/>
      <c r="G622" s="82"/>
    </row>
    <row r="623">
      <c r="A623" s="100"/>
      <c r="B623" s="82"/>
      <c r="E623" s="82"/>
      <c r="G623" s="82"/>
    </row>
    <row r="624">
      <c r="A624" s="100"/>
      <c r="B624" s="82"/>
      <c r="E624" s="82"/>
      <c r="G624" s="82"/>
    </row>
    <row r="625">
      <c r="A625" s="100"/>
      <c r="B625" s="82"/>
      <c r="E625" s="82"/>
      <c r="G625" s="82"/>
    </row>
    <row r="626">
      <c r="A626" s="100"/>
      <c r="B626" s="82"/>
      <c r="E626" s="82"/>
      <c r="G626" s="82"/>
    </row>
    <row r="627">
      <c r="A627" s="100"/>
      <c r="B627" s="82"/>
      <c r="E627" s="82"/>
      <c r="G627" s="82"/>
    </row>
    <row r="628">
      <c r="A628" s="100"/>
      <c r="B628" s="82"/>
      <c r="E628" s="82"/>
      <c r="G628" s="82"/>
    </row>
    <row r="629">
      <c r="A629" s="100"/>
      <c r="B629" s="82"/>
      <c r="E629" s="82"/>
      <c r="G629" s="82"/>
    </row>
    <row r="630">
      <c r="A630" s="100"/>
      <c r="B630" s="82"/>
      <c r="E630" s="82"/>
      <c r="G630" s="82"/>
    </row>
    <row r="631">
      <c r="A631" s="100"/>
      <c r="B631" s="82"/>
      <c r="E631" s="82"/>
      <c r="G631" s="82"/>
    </row>
    <row r="632">
      <c r="A632" s="100"/>
      <c r="B632" s="82"/>
      <c r="E632" s="82"/>
      <c r="G632" s="82"/>
    </row>
    <row r="633">
      <c r="A633" s="100"/>
      <c r="B633" s="82"/>
      <c r="E633" s="82"/>
      <c r="G633" s="82"/>
    </row>
    <row r="634">
      <c r="A634" s="100"/>
      <c r="B634" s="82"/>
      <c r="E634" s="82"/>
      <c r="G634" s="82"/>
    </row>
    <row r="635">
      <c r="A635" s="100"/>
      <c r="B635" s="82"/>
      <c r="E635" s="82"/>
      <c r="G635" s="82"/>
    </row>
    <row r="636">
      <c r="A636" s="100"/>
      <c r="B636" s="82"/>
      <c r="E636" s="82"/>
      <c r="G636" s="82"/>
    </row>
    <row r="637">
      <c r="A637" s="100"/>
      <c r="B637" s="82"/>
      <c r="E637" s="82"/>
      <c r="G637" s="82"/>
    </row>
    <row r="638">
      <c r="A638" s="100"/>
      <c r="B638" s="82"/>
      <c r="E638" s="82"/>
      <c r="G638" s="82"/>
    </row>
    <row r="639">
      <c r="A639" s="100"/>
      <c r="B639" s="82"/>
      <c r="E639" s="82"/>
      <c r="G639" s="82"/>
    </row>
    <row r="640">
      <c r="A640" s="100"/>
      <c r="B640" s="82"/>
      <c r="E640" s="82"/>
      <c r="G640" s="82"/>
    </row>
    <row r="641">
      <c r="A641" s="100"/>
      <c r="B641" s="82"/>
      <c r="E641" s="82"/>
      <c r="G641" s="82"/>
    </row>
    <row r="642">
      <c r="A642" s="100"/>
      <c r="B642" s="82"/>
      <c r="E642" s="82"/>
      <c r="G642" s="82"/>
    </row>
    <row r="643">
      <c r="A643" s="100"/>
      <c r="B643" s="82"/>
      <c r="E643" s="82"/>
      <c r="G643" s="82"/>
    </row>
    <row r="644">
      <c r="A644" s="100"/>
      <c r="B644" s="82"/>
      <c r="E644" s="82"/>
      <c r="G644" s="82"/>
    </row>
    <row r="645">
      <c r="A645" s="100"/>
      <c r="B645" s="82"/>
      <c r="E645" s="82"/>
      <c r="G645" s="82"/>
    </row>
    <row r="646">
      <c r="A646" s="100"/>
      <c r="B646" s="82"/>
      <c r="E646" s="82"/>
      <c r="G646" s="82"/>
    </row>
    <row r="647">
      <c r="A647" s="100"/>
      <c r="B647" s="82"/>
      <c r="E647" s="82"/>
      <c r="G647" s="82"/>
    </row>
    <row r="648">
      <c r="A648" s="100"/>
      <c r="B648" s="82"/>
      <c r="E648" s="82"/>
      <c r="G648" s="82"/>
    </row>
    <row r="649">
      <c r="A649" s="100"/>
      <c r="B649" s="82"/>
      <c r="E649" s="82"/>
      <c r="G649" s="82"/>
    </row>
    <row r="650">
      <c r="A650" s="100"/>
      <c r="B650" s="82"/>
      <c r="E650" s="82"/>
      <c r="G650" s="82"/>
    </row>
    <row r="651">
      <c r="A651" s="100"/>
      <c r="B651" s="82"/>
      <c r="E651" s="82"/>
      <c r="G651" s="82"/>
    </row>
    <row r="652">
      <c r="A652" s="100"/>
      <c r="B652" s="82"/>
      <c r="E652" s="82"/>
      <c r="G652" s="82"/>
    </row>
    <row r="653">
      <c r="A653" s="100"/>
      <c r="B653" s="82"/>
      <c r="E653" s="82"/>
      <c r="G653" s="82"/>
    </row>
    <row r="654">
      <c r="A654" s="100"/>
      <c r="B654" s="82"/>
      <c r="E654" s="82"/>
      <c r="G654" s="82"/>
    </row>
    <row r="655">
      <c r="A655" s="100"/>
      <c r="B655" s="82"/>
      <c r="E655" s="82"/>
      <c r="G655" s="82"/>
    </row>
    <row r="656">
      <c r="A656" s="100"/>
      <c r="B656" s="82"/>
      <c r="E656" s="82"/>
      <c r="G656" s="82"/>
    </row>
    <row r="657">
      <c r="A657" s="100"/>
      <c r="B657" s="82"/>
      <c r="E657" s="82"/>
      <c r="G657" s="82"/>
    </row>
    <row r="658">
      <c r="A658" s="100"/>
      <c r="B658" s="82"/>
      <c r="E658" s="82"/>
      <c r="G658" s="82"/>
    </row>
    <row r="659">
      <c r="A659" s="100"/>
      <c r="B659" s="82"/>
      <c r="E659" s="82"/>
      <c r="G659" s="82"/>
    </row>
    <row r="660">
      <c r="A660" s="100"/>
      <c r="B660" s="82"/>
      <c r="E660" s="82"/>
      <c r="G660" s="82"/>
    </row>
    <row r="661">
      <c r="A661" s="100"/>
      <c r="B661" s="82"/>
      <c r="E661" s="82"/>
      <c r="G661" s="82"/>
    </row>
    <row r="662">
      <c r="A662" s="100"/>
      <c r="B662" s="82"/>
      <c r="E662" s="82"/>
      <c r="G662" s="82"/>
    </row>
    <row r="663">
      <c r="A663" s="100"/>
      <c r="B663" s="82"/>
      <c r="E663" s="82"/>
      <c r="G663" s="82"/>
    </row>
    <row r="664">
      <c r="A664" s="100"/>
      <c r="B664" s="82"/>
      <c r="E664" s="82"/>
      <c r="G664" s="82"/>
    </row>
    <row r="665">
      <c r="A665" s="100"/>
      <c r="B665" s="82"/>
      <c r="E665" s="82"/>
      <c r="G665" s="82"/>
    </row>
    <row r="666">
      <c r="A666" s="100"/>
      <c r="B666" s="82"/>
      <c r="E666" s="82"/>
      <c r="G666" s="82"/>
    </row>
    <row r="667">
      <c r="A667" s="100"/>
      <c r="B667" s="82"/>
      <c r="E667" s="82"/>
      <c r="G667" s="82"/>
    </row>
    <row r="668">
      <c r="A668" s="100"/>
      <c r="B668" s="82"/>
      <c r="E668" s="82"/>
      <c r="G668" s="82"/>
    </row>
    <row r="669">
      <c r="A669" s="100"/>
      <c r="B669" s="82"/>
      <c r="E669" s="82"/>
      <c r="G669" s="82"/>
    </row>
    <row r="670">
      <c r="A670" s="100"/>
      <c r="B670" s="82"/>
      <c r="E670" s="82"/>
      <c r="G670" s="82"/>
    </row>
    <row r="671">
      <c r="A671" s="100"/>
      <c r="B671" s="82"/>
      <c r="E671" s="82"/>
      <c r="G671" s="82"/>
    </row>
    <row r="672">
      <c r="A672" s="100"/>
      <c r="B672" s="82"/>
      <c r="E672" s="82"/>
      <c r="G672" s="82"/>
    </row>
    <row r="673">
      <c r="A673" s="100"/>
      <c r="B673" s="82"/>
      <c r="E673" s="82"/>
      <c r="G673" s="82"/>
    </row>
    <row r="674">
      <c r="A674" s="100"/>
      <c r="B674" s="82"/>
      <c r="E674" s="82"/>
      <c r="G674" s="82"/>
    </row>
    <row r="675">
      <c r="A675" s="100"/>
      <c r="B675" s="82"/>
      <c r="E675" s="82"/>
      <c r="G675" s="82"/>
    </row>
    <row r="676">
      <c r="A676" s="100"/>
      <c r="B676" s="82"/>
      <c r="E676" s="82"/>
      <c r="G676" s="82"/>
    </row>
    <row r="677">
      <c r="A677" s="100"/>
      <c r="B677" s="82"/>
      <c r="E677" s="82"/>
      <c r="G677" s="82"/>
    </row>
    <row r="678">
      <c r="A678" s="100"/>
      <c r="B678" s="82"/>
      <c r="E678" s="82"/>
      <c r="G678" s="82"/>
    </row>
    <row r="679">
      <c r="A679" s="100"/>
      <c r="B679" s="82"/>
      <c r="E679" s="82"/>
      <c r="G679" s="82"/>
    </row>
    <row r="680">
      <c r="A680" s="100"/>
      <c r="B680" s="82"/>
      <c r="E680" s="82"/>
      <c r="G680" s="82"/>
    </row>
    <row r="681">
      <c r="A681" s="100"/>
      <c r="B681" s="82"/>
      <c r="E681" s="82"/>
      <c r="G681" s="82"/>
    </row>
    <row r="682">
      <c r="A682" s="100"/>
      <c r="B682" s="82"/>
      <c r="E682" s="82"/>
      <c r="G682" s="82"/>
    </row>
    <row r="683">
      <c r="A683" s="100"/>
      <c r="B683" s="82"/>
      <c r="E683" s="82"/>
      <c r="G683" s="82"/>
    </row>
    <row r="684">
      <c r="A684" s="100"/>
      <c r="B684" s="82"/>
      <c r="E684" s="82"/>
      <c r="G684" s="82"/>
    </row>
    <row r="685">
      <c r="A685" s="100"/>
      <c r="B685" s="82"/>
      <c r="E685" s="82"/>
      <c r="G685" s="82"/>
    </row>
    <row r="686">
      <c r="A686" s="100"/>
      <c r="B686" s="82"/>
      <c r="E686" s="82"/>
      <c r="G686" s="82"/>
    </row>
    <row r="687">
      <c r="A687" s="100"/>
      <c r="B687" s="82"/>
      <c r="E687" s="82"/>
      <c r="G687" s="82"/>
    </row>
    <row r="688">
      <c r="A688" s="100"/>
      <c r="B688" s="82"/>
      <c r="E688" s="82"/>
      <c r="G688" s="82"/>
    </row>
    <row r="689">
      <c r="A689" s="100"/>
      <c r="B689" s="82"/>
      <c r="E689" s="82"/>
      <c r="G689" s="82"/>
    </row>
    <row r="690">
      <c r="A690" s="100"/>
      <c r="B690" s="82"/>
      <c r="E690" s="82"/>
      <c r="G690" s="82"/>
    </row>
    <row r="691">
      <c r="A691" s="100"/>
      <c r="B691" s="82"/>
      <c r="E691" s="82"/>
      <c r="G691" s="82"/>
    </row>
    <row r="692">
      <c r="A692" s="100"/>
      <c r="B692" s="82"/>
      <c r="E692" s="82"/>
      <c r="G692" s="82"/>
    </row>
    <row r="693">
      <c r="A693" s="100"/>
      <c r="B693" s="82"/>
      <c r="E693" s="82"/>
      <c r="G693" s="82"/>
    </row>
    <row r="694">
      <c r="A694" s="100"/>
      <c r="B694" s="82"/>
      <c r="E694" s="82"/>
      <c r="G694" s="82"/>
    </row>
    <row r="695">
      <c r="A695" s="100"/>
      <c r="B695" s="82"/>
      <c r="E695" s="82"/>
      <c r="G695" s="82"/>
    </row>
    <row r="696">
      <c r="A696" s="100"/>
      <c r="B696" s="82"/>
      <c r="E696" s="82"/>
      <c r="G696" s="82"/>
    </row>
    <row r="697">
      <c r="A697" s="100"/>
      <c r="B697" s="82"/>
      <c r="E697" s="82"/>
      <c r="G697" s="82"/>
    </row>
    <row r="698">
      <c r="A698" s="100"/>
      <c r="B698" s="82"/>
      <c r="E698" s="82"/>
      <c r="G698" s="82"/>
    </row>
    <row r="699">
      <c r="A699" s="100"/>
      <c r="B699" s="82"/>
      <c r="E699" s="82"/>
      <c r="G699" s="82"/>
    </row>
    <row r="700">
      <c r="A700" s="100"/>
      <c r="B700" s="82"/>
      <c r="E700" s="82"/>
      <c r="G700" s="82"/>
    </row>
    <row r="701">
      <c r="A701" s="100"/>
      <c r="B701" s="82"/>
      <c r="E701" s="82"/>
      <c r="G701" s="82"/>
    </row>
    <row r="702">
      <c r="A702" s="100"/>
      <c r="B702" s="82"/>
      <c r="E702" s="82"/>
      <c r="G702" s="82"/>
    </row>
    <row r="703">
      <c r="A703" s="100"/>
      <c r="B703" s="82"/>
      <c r="E703" s="82"/>
      <c r="G703" s="82"/>
    </row>
    <row r="704">
      <c r="A704" s="100"/>
      <c r="B704" s="82"/>
      <c r="E704" s="82"/>
      <c r="G704" s="82"/>
    </row>
    <row r="705">
      <c r="A705" s="100"/>
      <c r="B705" s="82"/>
      <c r="E705" s="82"/>
      <c r="G705" s="82"/>
    </row>
    <row r="706">
      <c r="A706" s="100"/>
      <c r="B706" s="82"/>
      <c r="E706" s="82"/>
      <c r="G706" s="82"/>
    </row>
    <row r="707">
      <c r="A707" s="100"/>
      <c r="B707" s="82"/>
      <c r="E707" s="82"/>
      <c r="G707" s="82"/>
    </row>
    <row r="708">
      <c r="A708" s="100"/>
      <c r="B708" s="82"/>
      <c r="E708" s="82"/>
      <c r="G708" s="82"/>
    </row>
    <row r="709">
      <c r="A709" s="100"/>
      <c r="B709" s="82"/>
      <c r="E709" s="82"/>
      <c r="G709" s="82"/>
    </row>
    <row r="710">
      <c r="A710" s="100"/>
      <c r="B710" s="82"/>
      <c r="E710" s="82"/>
      <c r="G710" s="82"/>
    </row>
    <row r="711">
      <c r="A711" s="100"/>
      <c r="B711" s="82"/>
      <c r="E711" s="82"/>
      <c r="G711" s="82"/>
    </row>
    <row r="712">
      <c r="A712" s="100"/>
      <c r="B712" s="82"/>
      <c r="E712" s="82"/>
      <c r="G712" s="82"/>
    </row>
    <row r="713">
      <c r="A713" s="100"/>
      <c r="B713" s="82"/>
      <c r="E713" s="82"/>
      <c r="G713" s="82"/>
    </row>
    <row r="714">
      <c r="A714" s="100"/>
      <c r="B714" s="82"/>
      <c r="E714" s="82"/>
      <c r="G714" s="82"/>
    </row>
    <row r="715">
      <c r="A715" s="100"/>
      <c r="B715" s="82"/>
      <c r="E715" s="82"/>
      <c r="G715" s="82"/>
    </row>
    <row r="716">
      <c r="A716" s="100"/>
      <c r="B716" s="82"/>
      <c r="E716" s="82"/>
      <c r="G716" s="82"/>
    </row>
    <row r="717">
      <c r="A717" s="100"/>
      <c r="B717" s="82"/>
      <c r="E717" s="82"/>
      <c r="G717" s="82"/>
    </row>
    <row r="718">
      <c r="A718" s="100"/>
      <c r="B718" s="82"/>
      <c r="E718" s="82"/>
      <c r="G718" s="82"/>
    </row>
    <row r="719">
      <c r="A719" s="100"/>
      <c r="B719" s="82"/>
      <c r="E719" s="82"/>
      <c r="G719" s="82"/>
    </row>
    <row r="720">
      <c r="A720" s="100"/>
      <c r="B720" s="82"/>
      <c r="E720" s="82"/>
      <c r="G720" s="82"/>
    </row>
    <row r="721">
      <c r="A721" s="100"/>
      <c r="B721" s="82"/>
      <c r="E721" s="82"/>
      <c r="G721" s="82"/>
    </row>
    <row r="722">
      <c r="A722" s="100"/>
      <c r="B722" s="82"/>
      <c r="E722" s="82"/>
      <c r="G722" s="82"/>
    </row>
    <row r="723">
      <c r="A723" s="100"/>
      <c r="B723" s="82"/>
      <c r="E723" s="82"/>
      <c r="G723" s="82"/>
    </row>
    <row r="724">
      <c r="A724" s="100"/>
      <c r="B724" s="82"/>
      <c r="E724" s="82"/>
      <c r="G724" s="82"/>
    </row>
    <row r="725">
      <c r="A725" s="100"/>
      <c r="B725" s="82"/>
      <c r="E725" s="82"/>
      <c r="G725" s="82"/>
    </row>
    <row r="726">
      <c r="A726" s="100"/>
      <c r="B726" s="82"/>
      <c r="E726" s="82"/>
      <c r="G726" s="82"/>
    </row>
    <row r="727">
      <c r="A727" s="100"/>
      <c r="B727" s="82"/>
      <c r="E727" s="82"/>
      <c r="G727" s="82"/>
    </row>
    <row r="728">
      <c r="A728" s="100"/>
      <c r="B728" s="82"/>
      <c r="E728" s="82"/>
      <c r="G728" s="82"/>
    </row>
    <row r="729">
      <c r="A729" s="100"/>
      <c r="B729" s="82"/>
      <c r="E729" s="82"/>
      <c r="G729" s="82"/>
    </row>
    <row r="730">
      <c r="A730" s="100"/>
      <c r="B730" s="82"/>
      <c r="E730" s="82"/>
      <c r="G730" s="82"/>
    </row>
    <row r="731">
      <c r="A731" s="100"/>
      <c r="B731" s="82"/>
      <c r="E731" s="82"/>
      <c r="G731" s="82"/>
    </row>
    <row r="732">
      <c r="A732" s="100"/>
      <c r="B732" s="82"/>
      <c r="E732" s="82"/>
      <c r="G732" s="82"/>
    </row>
    <row r="733">
      <c r="A733" s="100"/>
      <c r="B733" s="82"/>
      <c r="E733" s="82"/>
      <c r="G733" s="82"/>
    </row>
    <row r="734">
      <c r="A734" s="100"/>
      <c r="B734" s="82"/>
      <c r="E734" s="82"/>
      <c r="G734" s="82"/>
    </row>
    <row r="735">
      <c r="A735" s="100"/>
      <c r="B735" s="82"/>
      <c r="E735" s="82"/>
      <c r="G735" s="82"/>
    </row>
    <row r="736">
      <c r="A736" s="100"/>
      <c r="B736" s="82"/>
      <c r="E736" s="82"/>
      <c r="G736" s="82"/>
    </row>
    <row r="737">
      <c r="A737" s="100"/>
      <c r="B737" s="82"/>
      <c r="E737" s="82"/>
      <c r="G737" s="82"/>
    </row>
    <row r="738">
      <c r="A738" s="100"/>
      <c r="B738" s="82"/>
      <c r="E738" s="82"/>
      <c r="G738" s="82"/>
    </row>
    <row r="739">
      <c r="A739" s="100"/>
      <c r="B739" s="82"/>
      <c r="E739" s="82"/>
      <c r="G739" s="82"/>
    </row>
    <row r="740">
      <c r="A740" s="100"/>
      <c r="B740" s="82"/>
      <c r="E740" s="82"/>
      <c r="G740" s="82"/>
    </row>
    <row r="741">
      <c r="A741" s="100"/>
      <c r="B741" s="82"/>
      <c r="E741" s="82"/>
      <c r="G741" s="82"/>
    </row>
    <row r="742">
      <c r="A742" s="100"/>
      <c r="B742" s="82"/>
      <c r="E742" s="82"/>
      <c r="G742" s="82"/>
    </row>
    <row r="743">
      <c r="A743" s="100"/>
      <c r="B743" s="82"/>
      <c r="E743" s="82"/>
      <c r="G743" s="82"/>
    </row>
    <row r="744">
      <c r="A744" s="100"/>
      <c r="B744" s="82"/>
      <c r="E744" s="82"/>
      <c r="G744" s="82"/>
    </row>
    <row r="745">
      <c r="A745" s="100"/>
      <c r="B745" s="82"/>
      <c r="E745" s="82"/>
      <c r="G745" s="82"/>
    </row>
    <row r="746">
      <c r="A746" s="100"/>
      <c r="B746" s="82"/>
      <c r="E746" s="82"/>
      <c r="G746" s="82"/>
    </row>
    <row r="747">
      <c r="A747" s="100"/>
      <c r="B747" s="82"/>
      <c r="E747" s="82"/>
      <c r="G747" s="82"/>
    </row>
    <row r="748">
      <c r="A748" s="100"/>
      <c r="B748" s="82"/>
      <c r="E748" s="82"/>
      <c r="G748" s="82"/>
    </row>
    <row r="749">
      <c r="A749" s="100"/>
      <c r="B749" s="82"/>
      <c r="E749" s="82"/>
      <c r="G749" s="82"/>
    </row>
    <row r="750">
      <c r="A750" s="100"/>
      <c r="B750" s="82"/>
      <c r="E750" s="82"/>
      <c r="G750" s="82"/>
    </row>
    <row r="751">
      <c r="A751" s="100"/>
      <c r="B751" s="82"/>
      <c r="E751" s="82"/>
      <c r="G751" s="82"/>
    </row>
    <row r="752">
      <c r="A752" s="100"/>
      <c r="B752" s="82"/>
      <c r="E752" s="82"/>
      <c r="G752" s="82"/>
    </row>
    <row r="753">
      <c r="A753" s="100"/>
      <c r="B753" s="82"/>
      <c r="E753" s="82"/>
      <c r="G753" s="82"/>
    </row>
    <row r="754">
      <c r="A754" s="100"/>
      <c r="B754" s="82"/>
      <c r="E754" s="82"/>
      <c r="G754" s="82"/>
    </row>
    <row r="755">
      <c r="A755" s="100"/>
      <c r="B755" s="82"/>
      <c r="E755" s="82"/>
      <c r="G755" s="82"/>
    </row>
    <row r="756">
      <c r="A756" s="100"/>
      <c r="B756" s="82"/>
      <c r="E756" s="82"/>
      <c r="G756" s="82"/>
    </row>
    <row r="757">
      <c r="A757" s="100"/>
      <c r="B757" s="82"/>
      <c r="E757" s="82"/>
      <c r="G757" s="82"/>
    </row>
    <row r="758">
      <c r="A758" s="100"/>
      <c r="B758" s="82"/>
      <c r="E758" s="82"/>
      <c r="G758" s="82"/>
    </row>
    <row r="759">
      <c r="A759" s="100"/>
      <c r="B759" s="82"/>
      <c r="E759" s="82"/>
      <c r="G759" s="82"/>
    </row>
    <row r="760">
      <c r="A760" s="100"/>
      <c r="B760" s="82"/>
      <c r="E760" s="82"/>
      <c r="G760" s="82"/>
    </row>
    <row r="761">
      <c r="A761" s="100"/>
      <c r="B761" s="82"/>
      <c r="E761" s="82"/>
      <c r="G761" s="82"/>
    </row>
    <row r="762">
      <c r="A762" s="100"/>
      <c r="B762" s="82"/>
      <c r="E762" s="82"/>
      <c r="G762" s="82"/>
    </row>
    <row r="763">
      <c r="A763" s="100"/>
      <c r="B763" s="82"/>
      <c r="E763" s="82"/>
      <c r="G763" s="82"/>
    </row>
    <row r="764">
      <c r="A764" s="100"/>
      <c r="B764" s="82"/>
      <c r="E764" s="82"/>
      <c r="G764" s="82"/>
    </row>
    <row r="765">
      <c r="A765" s="100"/>
      <c r="B765" s="82"/>
      <c r="E765" s="82"/>
      <c r="G765" s="82"/>
    </row>
    <row r="766">
      <c r="A766" s="100"/>
      <c r="B766" s="82"/>
      <c r="E766" s="82"/>
      <c r="G766" s="82"/>
    </row>
    <row r="767">
      <c r="A767" s="100"/>
      <c r="B767" s="82"/>
      <c r="E767" s="82"/>
      <c r="G767" s="82"/>
    </row>
    <row r="768">
      <c r="A768" s="100"/>
      <c r="B768" s="82"/>
      <c r="E768" s="82"/>
      <c r="G768" s="82"/>
    </row>
    <row r="769">
      <c r="A769" s="100"/>
      <c r="B769" s="82"/>
      <c r="E769" s="82"/>
      <c r="G769" s="82"/>
    </row>
    <row r="770">
      <c r="A770" s="100"/>
      <c r="B770" s="82"/>
      <c r="E770" s="82"/>
      <c r="G770" s="82"/>
    </row>
    <row r="771">
      <c r="A771" s="100"/>
      <c r="B771" s="82"/>
      <c r="E771" s="82"/>
      <c r="G771" s="82"/>
    </row>
    <row r="772">
      <c r="A772" s="100"/>
      <c r="B772" s="82"/>
      <c r="E772" s="82"/>
      <c r="G772" s="82"/>
    </row>
    <row r="773">
      <c r="A773" s="100"/>
      <c r="B773" s="82"/>
      <c r="E773" s="82"/>
      <c r="G773" s="82"/>
    </row>
    <row r="774">
      <c r="A774" s="100"/>
      <c r="B774" s="82"/>
      <c r="E774" s="82"/>
      <c r="G774" s="82"/>
    </row>
    <row r="775">
      <c r="A775" s="100"/>
      <c r="B775" s="82"/>
      <c r="E775" s="82"/>
      <c r="G775" s="82"/>
    </row>
    <row r="776">
      <c r="A776" s="100"/>
      <c r="B776" s="82"/>
      <c r="E776" s="82"/>
      <c r="G776" s="82"/>
    </row>
    <row r="777">
      <c r="A777" s="100"/>
      <c r="B777" s="82"/>
      <c r="E777" s="82"/>
      <c r="G777" s="82"/>
    </row>
    <row r="778">
      <c r="A778" s="100"/>
      <c r="B778" s="82"/>
      <c r="E778" s="82"/>
      <c r="G778" s="82"/>
    </row>
    <row r="779">
      <c r="A779" s="100"/>
      <c r="B779" s="82"/>
      <c r="E779" s="82"/>
      <c r="G779" s="82"/>
    </row>
    <row r="780">
      <c r="A780" s="100"/>
      <c r="B780" s="82"/>
      <c r="E780" s="82"/>
      <c r="G780" s="82"/>
    </row>
    <row r="781">
      <c r="A781" s="100"/>
      <c r="B781" s="82"/>
      <c r="E781" s="82"/>
      <c r="G781" s="82"/>
    </row>
    <row r="782">
      <c r="A782" s="100"/>
      <c r="B782" s="82"/>
      <c r="E782" s="82"/>
      <c r="G782" s="82"/>
    </row>
    <row r="783">
      <c r="A783" s="100"/>
      <c r="B783" s="82"/>
      <c r="E783" s="82"/>
      <c r="G783" s="82"/>
    </row>
    <row r="784">
      <c r="A784" s="100"/>
      <c r="B784" s="82"/>
      <c r="E784" s="82"/>
      <c r="G784" s="82"/>
    </row>
    <row r="785">
      <c r="A785" s="100"/>
      <c r="B785" s="82"/>
      <c r="E785" s="82"/>
      <c r="G785" s="82"/>
    </row>
    <row r="786">
      <c r="A786" s="100"/>
      <c r="B786" s="82"/>
      <c r="E786" s="82"/>
      <c r="G786" s="82"/>
    </row>
    <row r="787">
      <c r="A787" s="100"/>
      <c r="B787" s="82"/>
      <c r="E787" s="82"/>
      <c r="G787" s="82"/>
    </row>
    <row r="788">
      <c r="A788" s="100"/>
      <c r="B788" s="82"/>
      <c r="E788" s="82"/>
      <c r="G788" s="82"/>
    </row>
    <row r="789">
      <c r="A789" s="100"/>
      <c r="B789" s="82"/>
      <c r="E789" s="82"/>
      <c r="G789" s="82"/>
    </row>
    <row r="790">
      <c r="A790" s="100"/>
      <c r="B790" s="82"/>
      <c r="E790" s="82"/>
      <c r="G790" s="82"/>
    </row>
    <row r="791">
      <c r="A791" s="100"/>
      <c r="B791" s="82"/>
      <c r="E791" s="82"/>
      <c r="G791" s="82"/>
    </row>
    <row r="792">
      <c r="A792" s="100"/>
      <c r="B792" s="82"/>
      <c r="E792" s="82"/>
      <c r="G792" s="82"/>
    </row>
    <row r="793">
      <c r="A793" s="100"/>
      <c r="B793" s="82"/>
      <c r="E793" s="82"/>
      <c r="G793" s="82"/>
    </row>
    <row r="794">
      <c r="A794" s="100"/>
      <c r="B794" s="82"/>
      <c r="E794" s="82"/>
      <c r="G794" s="82"/>
    </row>
    <row r="795">
      <c r="A795" s="100"/>
      <c r="B795" s="82"/>
      <c r="E795" s="82"/>
      <c r="G795" s="82"/>
    </row>
    <row r="796">
      <c r="A796" s="100"/>
      <c r="B796" s="82"/>
      <c r="E796" s="82"/>
      <c r="G796" s="82"/>
    </row>
    <row r="797">
      <c r="A797" s="100"/>
      <c r="B797" s="82"/>
      <c r="E797" s="82"/>
      <c r="G797" s="82"/>
    </row>
    <row r="798">
      <c r="A798" s="100"/>
      <c r="B798" s="82"/>
      <c r="E798" s="82"/>
      <c r="G798" s="82"/>
    </row>
    <row r="799">
      <c r="A799" s="100"/>
      <c r="B799" s="82"/>
      <c r="E799" s="82"/>
      <c r="G799" s="82"/>
    </row>
    <row r="800">
      <c r="A800" s="100"/>
      <c r="B800" s="82"/>
      <c r="E800" s="82"/>
      <c r="G800" s="82"/>
    </row>
    <row r="801">
      <c r="A801" s="100"/>
      <c r="B801" s="82"/>
      <c r="E801" s="82"/>
      <c r="G801" s="82"/>
    </row>
    <row r="802">
      <c r="A802" s="100"/>
      <c r="B802" s="82"/>
      <c r="E802" s="82"/>
      <c r="G802" s="82"/>
    </row>
    <row r="803">
      <c r="A803" s="100"/>
      <c r="B803" s="82"/>
      <c r="E803" s="82"/>
      <c r="G803" s="82"/>
    </row>
    <row r="804">
      <c r="A804" s="100"/>
      <c r="B804" s="82"/>
      <c r="E804" s="82"/>
      <c r="G804" s="82"/>
    </row>
    <row r="805">
      <c r="A805" s="100"/>
      <c r="B805" s="82"/>
      <c r="E805" s="82"/>
      <c r="G805" s="82"/>
    </row>
    <row r="806">
      <c r="A806" s="100"/>
      <c r="B806" s="82"/>
      <c r="E806" s="82"/>
      <c r="G806" s="82"/>
    </row>
    <row r="807">
      <c r="A807" s="100"/>
      <c r="B807" s="82"/>
      <c r="E807" s="82"/>
      <c r="G807" s="82"/>
    </row>
    <row r="808">
      <c r="A808" s="100"/>
      <c r="B808" s="82"/>
      <c r="E808" s="82"/>
      <c r="G808" s="82"/>
    </row>
    <row r="809">
      <c r="A809" s="100"/>
      <c r="B809" s="82"/>
      <c r="E809" s="82"/>
      <c r="G809" s="82"/>
    </row>
    <row r="810">
      <c r="A810" s="100"/>
      <c r="B810" s="82"/>
      <c r="E810" s="82"/>
      <c r="G810" s="82"/>
    </row>
    <row r="811">
      <c r="A811" s="100"/>
      <c r="B811" s="82"/>
      <c r="E811" s="82"/>
      <c r="G811" s="82"/>
    </row>
    <row r="812">
      <c r="A812" s="100"/>
      <c r="B812" s="82"/>
      <c r="E812" s="82"/>
      <c r="G812" s="82"/>
    </row>
    <row r="813">
      <c r="A813" s="100"/>
      <c r="B813" s="82"/>
      <c r="E813" s="82"/>
      <c r="G813" s="82"/>
    </row>
    <row r="814">
      <c r="A814" s="100"/>
      <c r="B814" s="82"/>
      <c r="E814" s="82"/>
      <c r="G814" s="82"/>
    </row>
    <row r="815">
      <c r="A815" s="100"/>
      <c r="B815" s="82"/>
      <c r="E815" s="82"/>
      <c r="G815" s="82"/>
    </row>
    <row r="816">
      <c r="A816" s="100"/>
      <c r="B816" s="82"/>
      <c r="E816" s="82"/>
      <c r="G816" s="82"/>
    </row>
    <row r="817">
      <c r="A817" s="100"/>
      <c r="B817" s="82"/>
      <c r="E817" s="82"/>
      <c r="G817" s="82"/>
    </row>
    <row r="818">
      <c r="A818" s="100"/>
      <c r="B818" s="82"/>
      <c r="E818" s="82"/>
      <c r="G818" s="82"/>
    </row>
    <row r="819">
      <c r="A819" s="100"/>
      <c r="B819" s="82"/>
      <c r="E819" s="82"/>
      <c r="G819" s="82"/>
    </row>
    <row r="820">
      <c r="A820" s="100"/>
      <c r="B820" s="82"/>
      <c r="E820" s="82"/>
      <c r="G820" s="82"/>
    </row>
    <row r="821">
      <c r="A821" s="100"/>
      <c r="B821" s="82"/>
      <c r="E821" s="82"/>
      <c r="G821" s="82"/>
    </row>
    <row r="822">
      <c r="A822" s="100"/>
      <c r="B822" s="82"/>
      <c r="E822" s="82"/>
      <c r="G822" s="82"/>
    </row>
    <row r="823">
      <c r="A823" s="100"/>
      <c r="B823" s="82"/>
      <c r="E823" s="82"/>
      <c r="G823" s="82"/>
    </row>
    <row r="824">
      <c r="A824" s="100"/>
      <c r="B824" s="82"/>
      <c r="E824" s="82"/>
      <c r="G824" s="82"/>
    </row>
    <row r="825">
      <c r="A825" s="100"/>
      <c r="B825" s="82"/>
      <c r="E825" s="82"/>
      <c r="G825" s="82"/>
    </row>
    <row r="826">
      <c r="A826" s="100"/>
      <c r="B826" s="82"/>
      <c r="E826" s="82"/>
      <c r="G826" s="82"/>
    </row>
    <row r="827">
      <c r="A827" s="100"/>
      <c r="B827" s="82"/>
      <c r="E827" s="82"/>
      <c r="G827" s="82"/>
    </row>
    <row r="828">
      <c r="A828" s="100"/>
      <c r="B828" s="82"/>
      <c r="E828" s="82"/>
      <c r="G828" s="82"/>
    </row>
    <row r="829">
      <c r="A829" s="100"/>
      <c r="B829" s="82"/>
      <c r="E829" s="82"/>
      <c r="G829" s="82"/>
    </row>
    <row r="830">
      <c r="A830" s="100"/>
      <c r="B830" s="82"/>
      <c r="E830" s="82"/>
      <c r="G830" s="82"/>
    </row>
    <row r="831">
      <c r="A831" s="100"/>
      <c r="B831" s="82"/>
      <c r="E831" s="82"/>
      <c r="G831" s="82"/>
    </row>
    <row r="832">
      <c r="A832" s="100"/>
      <c r="B832" s="82"/>
      <c r="E832" s="82"/>
      <c r="G832" s="82"/>
    </row>
    <row r="833">
      <c r="A833" s="100"/>
      <c r="B833" s="82"/>
      <c r="E833" s="82"/>
      <c r="G833" s="82"/>
    </row>
    <row r="834">
      <c r="A834" s="100"/>
      <c r="B834" s="82"/>
      <c r="E834" s="82"/>
      <c r="G834" s="82"/>
    </row>
    <row r="835">
      <c r="A835" s="100"/>
      <c r="B835" s="82"/>
      <c r="E835" s="82"/>
      <c r="G835" s="82"/>
    </row>
    <row r="836">
      <c r="A836" s="100"/>
      <c r="B836" s="82"/>
      <c r="E836" s="82"/>
      <c r="G836" s="82"/>
    </row>
    <row r="837">
      <c r="A837" s="100"/>
      <c r="B837" s="82"/>
      <c r="E837" s="82"/>
      <c r="G837" s="82"/>
    </row>
    <row r="838">
      <c r="A838" s="100"/>
      <c r="B838" s="82"/>
      <c r="E838" s="82"/>
      <c r="G838" s="82"/>
    </row>
    <row r="839">
      <c r="A839" s="100"/>
      <c r="B839" s="82"/>
      <c r="E839" s="82"/>
      <c r="G839" s="82"/>
    </row>
    <row r="840">
      <c r="A840" s="100"/>
      <c r="B840" s="82"/>
      <c r="E840" s="82"/>
      <c r="G840" s="82"/>
    </row>
    <row r="841">
      <c r="A841" s="100"/>
      <c r="B841" s="82"/>
      <c r="E841" s="82"/>
      <c r="G841" s="82"/>
    </row>
    <row r="842">
      <c r="A842" s="100"/>
      <c r="B842" s="82"/>
      <c r="E842" s="82"/>
      <c r="G842" s="82"/>
    </row>
    <row r="843">
      <c r="A843" s="100"/>
      <c r="B843" s="82"/>
      <c r="E843" s="82"/>
      <c r="G843" s="82"/>
    </row>
    <row r="844">
      <c r="A844" s="100"/>
      <c r="B844" s="82"/>
      <c r="E844" s="82"/>
      <c r="G844" s="82"/>
    </row>
    <row r="845">
      <c r="A845" s="100"/>
      <c r="B845" s="82"/>
      <c r="E845" s="82"/>
      <c r="G845" s="82"/>
    </row>
    <row r="846">
      <c r="A846" s="100"/>
      <c r="B846" s="82"/>
      <c r="E846" s="82"/>
      <c r="G846" s="82"/>
    </row>
    <row r="847">
      <c r="A847" s="100"/>
      <c r="B847" s="82"/>
      <c r="E847" s="82"/>
      <c r="G847" s="82"/>
    </row>
    <row r="848">
      <c r="A848" s="100"/>
      <c r="B848" s="82"/>
      <c r="E848" s="82"/>
      <c r="G848" s="82"/>
    </row>
    <row r="849">
      <c r="A849" s="100"/>
      <c r="B849" s="82"/>
      <c r="E849" s="82"/>
      <c r="G849" s="82"/>
    </row>
    <row r="850">
      <c r="A850" s="100"/>
      <c r="B850" s="82"/>
      <c r="E850" s="82"/>
      <c r="G850" s="82"/>
    </row>
    <row r="851">
      <c r="A851" s="100"/>
      <c r="B851" s="82"/>
      <c r="E851" s="82"/>
      <c r="G851" s="82"/>
    </row>
    <row r="852">
      <c r="A852" s="100"/>
      <c r="B852" s="82"/>
      <c r="E852" s="82"/>
      <c r="G852" s="82"/>
    </row>
    <row r="853">
      <c r="A853" s="100"/>
      <c r="B853" s="82"/>
      <c r="E853" s="82"/>
      <c r="G853" s="82"/>
    </row>
    <row r="854">
      <c r="A854" s="100"/>
      <c r="B854" s="82"/>
      <c r="E854" s="82"/>
      <c r="G854" s="82"/>
    </row>
    <row r="855">
      <c r="A855" s="100"/>
      <c r="B855" s="82"/>
      <c r="E855" s="82"/>
      <c r="G855" s="82"/>
    </row>
    <row r="856">
      <c r="A856" s="100"/>
      <c r="B856" s="82"/>
      <c r="E856" s="82"/>
      <c r="G856" s="82"/>
    </row>
    <row r="857">
      <c r="A857" s="100"/>
      <c r="B857" s="82"/>
      <c r="E857" s="82"/>
      <c r="G857" s="82"/>
    </row>
    <row r="858">
      <c r="A858" s="100"/>
      <c r="B858" s="82"/>
      <c r="E858" s="82"/>
      <c r="G858" s="82"/>
    </row>
    <row r="859">
      <c r="A859" s="100"/>
      <c r="B859" s="82"/>
      <c r="E859" s="82"/>
      <c r="G859" s="82"/>
    </row>
    <row r="860">
      <c r="A860" s="100"/>
      <c r="B860" s="82"/>
      <c r="E860" s="82"/>
      <c r="G860" s="82"/>
    </row>
    <row r="861">
      <c r="A861" s="100"/>
      <c r="B861" s="82"/>
      <c r="E861" s="82"/>
      <c r="G861" s="82"/>
    </row>
    <row r="862">
      <c r="A862" s="100"/>
      <c r="B862" s="82"/>
      <c r="E862" s="82"/>
      <c r="G862" s="82"/>
    </row>
    <row r="863">
      <c r="A863" s="100"/>
      <c r="B863" s="82"/>
      <c r="E863" s="82"/>
      <c r="G863" s="82"/>
    </row>
    <row r="864">
      <c r="A864" s="100"/>
      <c r="B864" s="82"/>
      <c r="E864" s="82"/>
      <c r="G864" s="82"/>
    </row>
    <row r="865">
      <c r="A865" s="100"/>
      <c r="B865" s="82"/>
      <c r="E865" s="82"/>
      <c r="G865" s="82"/>
    </row>
    <row r="866">
      <c r="A866" s="100"/>
      <c r="B866" s="82"/>
      <c r="E866" s="82"/>
      <c r="G866" s="82"/>
    </row>
    <row r="867">
      <c r="A867" s="100"/>
      <c r="B867" s="82"/>
      <c r="E867" s="82"/>
      <c r="G867" s="82"/>
    </row>
    <row r="868">
      <c r="A868" s="100"/>
      <c r="B868" s="82"/>
      <c r="E868" s="82"/>
      <c r="G868" s="82"/>
    </row>
    <row r="869">
      <c r="A869" s="100"/>
      <c r="B869" s="82"/>
      <c r="E869" s="82"/>
      <c r="G869" s="82"/>
    </row>
    <row r="870">
      <c r="A870" s="100"/>
      <c r="B870" s="82"/>
      <c r="E870" s="82"/>
      <c r="G870" s="82"/>
    </row>
    <row r="871">
      <c r="A871" s="100"/>
      <c r="B871" s="82"/>
      <c r="E871" s="82"/>
      <c r="G871" s="82"/>
    </row>
    <row r="872">
      <c r="A872" s="100"/>
      <c r="B872" s="82"/>
      <c r="E872" s="82"/>
      <c r="G872" s="82"/>
    </row>
    <row r="873">
      <c r="A873" s="100"/>
      <c r="B873" s="82"/>
      <c r="E873" s="82"/>
      <c r="G873" s="82"/>
    </row>
    <row r="874">
      <c r="A874" s="100"/>
      <c r="B874" s="82"/>
      <c r="E874" s="82"/>
      <c r="G874" s="82"/>
    </row>
    <row r="875">
      <c r="A875" s="100"/>
      <c r="B875" s="82"/>
      <c r="E875" s="82"/>
      <c r="G875" s="82"/>
    </row>
    <row r="876">
      <c r="A876" s="100"/>
      <c r="B876" s="82"/>
      <c r="E876" s="82"/>
      <c r="G876" s="82"/>
    </row>
    <row r="877">
      <c r="A877" s="100"/>
      <c r="B877" s="82"/>
      <c r="E877" s="82"/>
      <c r="G877" s="82"/>
    </row>
    <row r="878">
      <c r="A878" s="100"/>
      <c r="B878" s="82"/>
      <c r="E878" s="82"/>
      <c r="G878" s="82"/>
    </row>
    <row r="879">
      <c r="A879" s="100"/>
      <c r="B879" s="82"/>
      <c r="E879" s="82"/>
      <c r="G879" s="82"/>
    </row>
    <row r="880">
      <c r="A880" s="100"/>
      <c r="B880" s="82"/>
      <c r="E880" s="82"/>
      <c r="G880" s="82"/>
    </row>
    <row r="881">
      <c r="A881" s="100"/>
      <c r="B881" s="82"/>
      <c r="E881" s="82"/>
      <c r="G881" s="82"/>
    </row>
    <row r="882">
      <c r="A882" s="100"/>
      <c r="B882" s="82"/>
      <c r="E882" s="82"/>
      <c r="G882" s="82"/>
    </row>
    <row r="883">
      <c r="A883" s="100"/>
      <c r="B883" s="82"/>
      <c r="E883" s="82"/>
      <c r="G883" s="82"/>
    </row>
    <row r="884">
      <c r="A884" s="100"/>
      <c r="B884" s="82"/>
      <c r="E884" s="82"/>
      <c r="G884" s="82"/>
    </row>
    <row r="885">
      <c r="A885" s="100"/>
      <c r="B885" s="82"/>
      <c r="E885" s="82"/>
      <c r="G885" s="82"/>
    </row>
    <row r="886">
      <c r="A886" s="100"/>
      <c r="B886" s="82"/>
      <c r="E886" s="82"/>
      <c r="G886" s="82"/>
    </row>
    <row r="887">
      <c r="A887" s="100"/>
      <c r="B887" s="82"/>
      <c r="E887" s="82"/>
      <c r="G887" s="82"/>
    </row>
    <row r="888">
      <c r="A888" s="100"/>
      <c r="B888" s="82"/>
      <c r="E888" s="82"/>
      <c r="G888" s="82"/>
    </row>
    <row r="889">
      <c r="A889" s="100"/>
      <c r="B889" s="82"/>
      <c r="E889" s="82"/>
      <c r="G889" s="82"/>
    </row>
    <row r="890">
      <c r="A890" s="100"/>
      <c r="B890" s="82"/>
      <c r="E890" s="82"/>
      <c r="G890" s="82"/>
    </row>
    <row r="891">
      <c r="A891" s="100"/>
      <c r="B891" s="82"/>
      <c r="E891" s="82"/>
      <c r="G891" s="82"/>
    </row>
    <row r="892">
      <c r="A892" s="100"/>
      <c r="B892" s="82"/>
      <c r="E892" s="82"/>
      <c r="G892" s="82"/>
    </row>
    <row r="893">
      <c r="A893" s="100"/>
      <c r="B893" s="82"/>
      <c r="E893" s="82"/>
      <c r="G893" s="82"/>
    </row>
    <row r="894">
      <c r="A894" s="100"/>
      <c r="B894" s="82"/>
      <c r="E894" s="82"/>
      <c r="G894" s="82"/>
    </row>
    <row r="895">
      <c r="A895" s="100"/>
      <c r="B895" s="82"/>
      <c r="E895" s="82"/>
      <c r="G895" s="82"/>
    </row>
    <row r="896">
      <c r="A896" s="100"/>
      <c r="B896" s="82"/>
      <c r="E896" s="82"/>
      <c r="G896" s="82"/>
    </row>
    <row r="897">
      <c r="A897" s="100"/>
      <c r="B897" s="82"/>
      <c r="E897" s="82"/>
      <c r="G897" s="82"/>
    </row>
    <row r="898">
      <c r="A898" s="100"/>
      <c r="B898" s="82"/>
      <c r="E898" s="82"/>
      <c r="G898" s="82"/>
    </row>
    <row r="899">
      <c r="A899" s="100"/>
      <c r="B899" s="82"/>
      <c r="E899" s="82"/>
      <c r="G899" s="82"/>
    </row>
    <row r="900">
      <c r="A900" s="100"/>
      <c r="B900" s="82"/>
      <c r="E900" s="82"/>
      <c r="G900" s="82"/>
    </row>
    <row r="901">
      <c r="A901" s="100"/>
      <c r="B901" s="82"/>
      <c r="E901" s="82"/>
      <c r="G901" s="82"/>
    </row>
    <row r="902">
      <c r="A902" s="100"/>
      <c r="B902" s="82"/>
      <c r="E902" s="82"/>
      <c r="G902" s="82"/>
    </row>
    <row r="903">
      <c r="A903" s="100"/>
      <c r="B903" s="82"/>
      <c r="E903" s="82"/>
      <c r="G903" s="82"/>
    </row>
    <row r="904">
      <c r="A904" s="100"/>
      <c r="B904" s="82"/>
      <c r="E904" s="82"/>
      <c r="G904" s="82"/>
    </row>
    <row r="905">
      <c r="A905" s="100"/>
      <c r="B905" s="82"/>
      <c r="E905" s="82"/>
      <c r="G905" s="82"/>
    </row>
    <row r="906">
      <c r="A906" s="100"/>
      <c r="B906" s="82"/>
      <c r="E906" s="82"/>
      <c r="G906" s="82"/>
    </row>
    <row r="907">
      <c r="A907" s="100"/>
      <c r="B907" s="82"/>
      <c r="E907" s="82"/>
      <c r="G907" s="82"/>
    </row>
    <row r="908">
      <c r="A908" s="100"/>
      <c r="B908" s="82"/>
      <c r="E908" s="82"/>
      <c r="G908" s="82"/>
    </row>
    <row r="909">
      <c r="A909" s="100"/>
      <c r="B909" s="82"/>
      <c r="E909" s="82"/>
      <c r="G909" s="82"/>
    </row>
    <row r="910">
      <c r="A910" s="100"/>
      <c r="B910" s="82"/>
      <c r="E910" s="82"/>
      <c r="G910" s="82"/>
    </row>
    <row r="911">
      <c r="A911" s="100"/>
      <c r="B911" s="82"/>
      <c r="E911" s="82"/>
      <c r="G911" s="82"/>
    </row>
    <row r="912">
      <c r="A912" s="100"/>
      <c r="B912" s="82"/>
      <c r="E912" s="82"/>
      <c r="G912" s="82"/>
    </row>
    <row r="913">
      <c r="A913" s="100"/>
      <c r="B913" s="82"/>
      <c r="E913" s="82"/>
      <c r="G913" s="82"/>
    </row>
    <row r="914">
      <c r="A914" s="100"/>
      <c r="B914" s="82"/>
      <c r="E914" s="82"/>
      <c r="G914" s="82"/>
    </row>
    <row r="915">
      <c r="A915" s="100"/>
      <c r="B915" s="82"/>
      <c r="E915" s="82"/>
      <c r="G915" s="82"/>
    </row>
    <row r="916">
      <c r="A916" s="100"/>
      <c r="B916" s="82"/>
      <c r="E916" s="82"/>
      <c r="G916" s="82"/>
    </row>
    <row r="917">
      <c r="A917" s="100"/>
      <c r="B917" s="82"/>
      <c r="E917" s="82"/>
      <c r="G917" s="82"/>
    </row>
    <row r="918">
      <c r="A918" s="100"/>
      <c r="B918" s="82"/>
      <c r="E918" s="82"/>
      <c r="G918" s="82"/>
    </row>
    <row r="919">
      <c r="A919" s="100"/>
      <c r="B919" s="82"/>
      <c r="E919" s="82"/>
      <c r="G919" s="82"/>
    </row>
    <row r="920">
      <c r="A920" s="100"/>
      <c r="B920" s="82"/>
      <c r="E920" s="82"/>
      <c r="G920" s="82"/>
    </row>
    <row r="921">
      <c r="A921" s="100"/>
      <c r="B921" s="82"/>
      <c r="E921" s="82"/>
      <c r="G921" s="82"/>
    </row>
    <row r="922">
      <c r="A922" s="100"/>
      <c r="B922" s="82"/>
      <c r="E922" s="82"/>
      <c r="G922" s="82"/>
    </row>
    <row r="923">
      <c r="A923" s="100"/>
      <c r="B923" s="82"/>
      <c r="E923" s="82"/>
      <c r="G923" s="82"/>
    </row>
    <row r="924">
      <c r="A924" s="100"/>
      <c r="B924" s="82"/>
      <c r="E924" s="82"/>
      <c r="G924" s="82"/>
    </row>
    <row r="925">
      <c r="A925" s="100"/>
      <c r="B925" s="82"/>
      <c r="E925" s="82"/>
      <c r="G925" s="82"/>
    </row>
    <row r="926">
      <c r="A926" s="100"/>
      <c r="B926" s="82"/>
      <c r="E926" s="82"/>
      <c r="G926" s="82"/>
    </row>
    <row r="927">
      <c r="A927" s="100"/>
      <c r="B927" s="82"/>
      <c r="E927" s="82"/>
      <c r="G927" s="82"/>
    </row>
    <row r="928">
      <c r="A928" s="100"/>
      <c r="B928" s="82"/>
      <c r="E928" s="82"/>
      <c r="G928" s="82"/>
    </row>
    <row r="929">
      <c r="A929" s="100"/>
      <c r="B929" s="82"/>
      <c r="E929" s="82"/>
      <c r="G929" s="82"/>
    </row>
    <row r="930">
      <c r="A930" s="100"/>
      <c r="B930" s="82"/>
      <c r="E930" s="82"/>
      <c r="G930" s="82"/>
    </row>
    <row r="931">
      <c r="A931" s="100"/>
      <c r="B931" s="82"/>
      <c r="E931" s="82"/>
      <c r="G931" s="82"/>
    </row>
    <row r="932">
      <c r="A932" s="100"/>
      <c r="B932" s="82"/>
      <c r="E932" s="82"/>
      <c r="G932" s="82"/>
    </row>
    <row r="933">
      <c r="A933" s="100"/>
      <c r="B933" s="82"/>
      <c r="E933" s="82"/>
      <c r="G933" s="82"/>
    </row>
    <row r="934">
      <c r="A934" s="100"/>
      <c r="B934" s="82"/>
      <c r="E934" s="82"/>
      <c r="G934" s="82"/>
    </row>
    <row r="935">
      <c r="A935" s="100"/>
      <c r="B935" s="82"/>
      <c r="E935" s="82"/>
      <c r="G935" s="82"/>
    </row>
    <row r="936">
      <c r="A936" s="100"/>
      <c r="B936" s="82"/>
      <c r="E936" s="82"/>
      <c r="G936" s="82"/>
    </row>
    <row r="937">
      <c r="A937" s="100"/>
      <c r="B937" s="82"/>
      <c r="E937" s="82"/>
      <c r="G937" s="82"/>
    </row>
    <row r="938">
      <c r="A938" s="100"/>
      <c r="B938" s="82"/>
      <c r="E938" s="82"/>
      <c r="G938" s="82"/>
    </row>
    <row r="939">
      <c r="A939" s="100"/>
      <c r="B939" s="82"/>
      <c r="E939" s="82"/>
      <c r="G939" s="82"/>
    </row>
    <row r="940">
      <c r="A940" s="100"/>
      <c r="B940" s="82"/>
      <c r="E940" s="82"/>
      <c r="G940" s="82"/>
    </row>
    <row r="941">
      <c r="A941" s="100"/>
      <c r="B941" s="82"/>
      <c r="E941" s="82"/>
      <c r="G941" s="82"/>
    </row>
    <row r="942">
      <c r="A942" s="100"/>
      <c r="B942" s="82"/>
      <c r="E942" s="82"/>
      <c r="G942" s="82"/>
    </row>
    <row r="943">
      <c r="A943" s="100"/>
      <c r="B943" s="82"/>
      <c r="E943" s="82"/>
      <c r="G943" s="82"/>
    </row>
    <row r="944">
      <c r="A944" s="100"/>
      <c r="B944" s="82"/>
      <c r="E944" s="82"/>
      <c r="G944" s="82"/>
    </row>
    <row r="945">
      <c r="A945" s="100"/>
      <c r="B945" s="82"/>
      <c r="E945" s="82"/>
      <c r="G945" s="82"/>
    </row>
    <row r="946">
      <c r="A946" s="100"/>
      <c r="B946" s="82"/>
      <c r="E946" s="82"/>
      <c r="G946" s="82"/>
    </row>
    <row r="947">
      <c r="A947" s="100"/>
      <c r="B947" s="82"/>
      <c r="E947" s="82"/>
      <c r="G947" s="82"/>
    </row>
    <row r="948">
      <c r="A948" s="100"/>
      <c r="B948" s="82"/>
      <c r="E948" s="82"/>
      <c r="G948" s="82"/>
    </row>
    <row r="949">
      <c r="A949" s="100"/>
      <c r="B949" s="82"/>
      <c r="E949" s="82"/>
      <c r="G949" s="82"/>
    </row>
    <row r="950">
      <c r="A950" s="100"/>
      <c r="B950" s="82"/>
      <c r="E950" s="82"/>
      <c r="G950" s="82"/>
    </row>
    <row r="951">
      <c r="A951" s="100"/>
      <c r="B951" s="82"/>
      <c r="E951" s="82"/>
      <c r="G951" s="82"/>
    </row>
    <row r="952">
      <c r="A952" s="100"/>
      <c r="B952" s="82"/>
      <c r="E952" s="82"/>
      <c r="G952" s="82"/>
    </row>
    <row r="953">
      <c r="A953" s="100"/>
      <c r="B953" s="82"/>
      <c r="E953" s="82"/>
      <c r="G953" s="82"/>
    </row>
    <row r="954">
      <c r="A954" s="100"/>
      <c r="B954" s="82"/>
      <c r="E954" s="82"/>
      <c r="G954" s="82"/>
    </row>
    <row r="955">
      <c r="A955" s="100"/>
      <c r="B955" s="82"/>
      <c r="E955" s="82"/>
      <c r="G955" s="82"/>
    </row>
    <row r="956">
      <c r="A956" s="100"/>
      <c r="B956" s="82"/>
      <c r="E956" s="82"/>
      <c r="G956" s="82"/>
    </row>
    <row r="957">
      <c r="A957" s="100"/>
      <c r="B957" s="82"/>
      <c r="E957" s="82"/>
      <c r="G957" s="82"/>
    </row>
    <row r="958">
      <c r="A958" s="100"/>
      <c r="B958" s="82"/>
      <c r="E958" s="82"/>
      <c r="G958" s="82"/>
    </row>
    <row r="959">
      <c r="A959" s="100"/>
      <c r="B959" s="82"/>
      <c r="E959" s="82"/>
      <c r="G959" s="82"/>
    </row>
    <row r="960">
      <c r="A960" s="100"/>
      <c r="B960" s="82"/>
      <c r="E960" s="82"/>
      <c r="G960" s="82"/>
    </row>
    <row r="961">
      <c r="A961" s="100"/>
      <c r="B961" s="82"/>
      <c r="E961" s="82"/>
      <c r="G961" s="82"/>
    </row>
    <row r="962">
      <c r="A962" s="100"/>
      <c r="B962" s="82"/>
      <c r="E962" s="82"/>
      <c r="G962" s="82"/>
    </row>
    <row r="963">
      <c r="A963" s="100"/>
      <c r="B963" s="82"/>
      <c r="E963" s="82"/>
      <c r="G963" s="82"/>
    </row>
    <row r="964">
      <c r="A964" s="100"/>
      <c r="B964" s="82"/>
      <c r="E964" s="82"/>
      <c r="G964" s="82"/>
    </row>
    <row r="965">
      <c r="A965" s="100"/>
      <c r="B965" s="82"/>
      <c r="E965" s="82"/>
      <c r="G965" s="82"/>
    </row>
    <row r="966">
      <c r="A966" s="100"/>
      <c r="B966" s="82"/>
      <c r="E966" s="82"/>
      <c r="G966" s="82"/>
    </row>
    <row r="967">
      <c r="A967" s="100"/>
      <c r="B967" s="82"/>
      <c r="E967" s="82"/>
      <c r="G967" s="82"/>
    </row>
    <row r="968">
      <c r="A968" s="100"/>
      <c r="B968" s="82"/>
      <c r="E968" s="82"/>
      <c r="G968" s="82"/>
    </row>
    <row r="969">
      <c r="A969" s="100"/>
      <c r="B969" s="82"/>
      <c r="E969" s="82"/>
      <c r="G969" s="82"/>
    </row>
    <row r="970">
      <c r="A970" s="100"/>
      <c r="B970" s="82"/>
      <c r="E970" s="82"/>
      <c r="G970" s="82"/>
    </row>
    <row r="971">
      <c r="A971" s="100"/>
      <c r="B971" s="82"/>
      <c r="E971" s="82"/>
      <c r="G971" s="82"/>
    </row>
    <row r="972">
      <c r="A972" s="100"/>
      <c r="B972" s="82"/>
      <c r="E972" s="82"/>
      <c r="G972" s="82"/>
    </row>
    <row r="973">
      <c r="A973" s="100"/>
      <c r="B973" s="82"/>
      <c r="E973" s="82"/>
      <c r="G973" s="82"/>
    </row>
    <row r="974">
      <c r="A974" s="100"/>
      <c r="B974" s="82"/>
      <c r="E974" s="82"/>
      <c r="G974" s="82"/>
    </row>
    <row r="975">
      <c r="A975" s="100"/>
      <c r="B975" s="82"/>
      <c r="E975" s="82"/>
      <c r="G975" s="82"/>
    </row>
    <row r="976">
      <c r="A976" s="100"/>
      <c r="B976" s="82"/>
      <c r="E976" s="82"/>
      <c r="G976" s="82"/>
    </row>
    <row r="977">
      <c r="A977" s="100"/>
      <c r="B977" s="82"/>
      <c r="E977" s="82"/>
      <c r="G977" s="82"/>
    </row>
    <row r="978">
      <c r="A978" s="100"/>
      <c r="B978" s="82"/>
      <c r="E978" s="82"/>
      <c r="G978" s="82"/>
    </row>
    <row r="979">
      <c r="A979" s="100"/>
      <c r="B979" s="82"/>
      <c r="E979" s="82"/>
      <c r="G979" s="82"/>
    </row>
    <row r="980">
      <c r="A980" s="100"/>
      <c r="B980" s="82"/>
      <c r="E980" s="82"/>
      <c r="G980" s="82"/>
    </row>
    <row r="981">
      <c r="A981" s="100"/>
      <c r="B981" s="82"/>
      <c r="E981" s="82"/>
      <c r="G981" s="82"/>
    </row>
    <row r="982">
      <c r="A982" s="100"/>
      <c r="B982" s="82"/>
      <c r="E982" s="82"/>
      <c r="G982" s="82"/>
    </row>
    <row r="983">
      <c r="A983" s="100"/>
      <c r="B983" s="82"/>
      <c r="E983" s="82"/>
      <c r="G983" s="82"/>
    </row>
    <row r="984">
      <c r="A984" s="100"/>
      <c r="B984" s="82"/>
      <c r="E984" s="82"/>
      <c r="G984" s="82"/>
    </row>
    <row r="985">
      <c r="A985" s="100"/>
      <c r="B985" s="82"/>
      <c r="E985" s="82"/>
      <c r="G985" s="82"/>
    </row>
    <row r="986">
      <c r="A986" s="100"/>
      <c r="B986" s="82"/>
      <c r="E986" s="82"/>
      <c r="G986" s="82"/>
    </row>
    <row r="987">
      <c r="A987" s="100"/>
      <c r="B987" s="82"/>
      <c r="E987" s="82"/>
      <c r="G987" s="82"/>
    </row>
    <row r="988">
      <c r="A988" s="100"/>
      <c r="B988" s="82"/>
      <c r="E988" s="82"/>
      <c r="G988" s="82"/>
    </row>
    <row r="989">
      <c r="A989" s="100"/>
      <c r="B989" s="82"/>
      <c r="E989" s="82"/>
      <c r="G989" s="82"/>
    </row>
    <row r="990">
      <c r="A990" s="100"/>
      <c r="B990" s="82"/>
      <c r="E990" s="82"/>
      <c r="G990" s="82"/>
    </row>
    <row r="991">
      <c r="A991" s="100"/>
      <c r="B991" s="82"/>
      <c r="E991" s="82"/>
      <c r="G991" s="82"/>
    </row>
    <row r="992">
      <c r="A992" s="100"/>
      <c r="B992" s="82"/>
      <c r="E992" s="82"/>
      <c r="G992" s="82"/>
    </row>
    <row r="993">
      <c r="A993" s="100"/>
      <c r="B993" s="82"/>
      <c r="E993" s="82"/>
      <c r="G993" s="82"/>
    </row>
    <row r="994">
      <c r="A994" s="100"/>
      <c r="B994" s="82"/>
      <c r="E994" s="82"/>
      <c r="G994" s="82"/>
    </row>
    <row r="995">
      <c r="A995" s="100"/>
      <c r="B995" s="82"/>
      <c r="E995" s="82"/>
      <c r="G995" s="82"/>
    </row>
    <row r="996">
      <c r="A996" s="100"/>
      <c r="B996" s="82"/>
      <c r="E996" s="82"/>
      <c r="G996" s="82"/>
    </row>
    <row r="997">
      <c r="A997" s="100"/>
      <c r="B997" s="82"/>
      <c r="E997" s="82"/>
      <c r="G997" s="82"/>
    </row>
    <row r="998">
      <c r="A998" s="100"/>
      <c r="B998" s="82"/>
      <c r="E998" s="82"/>
      <c r="G998" s="82"/>
    </row>
    <row r="999">
      <c r="A999" s="100"/>
      <c r="B999" s="82"/>
      <c r="E999" s="82"/>
      <c r="G999" s="82"/>
    </row>
    <row r="1000">
      <c r="A1000" s="100"/>
      <c r="B1000" s="82"/>
      <c r="E1000" s="82"/>
      <c r="G1000" s="82"/>
    </row>
    <row r="1001">
      <c r="A1001" s="100"/>
      <c r="B1001" s="82"/>
      <c r="E1001" s="82"/>
      <c r="G1001" s="82"/>
    </row>
    <row r="1002">
      <c r="A1002" s="100"/>
      <c r="B1002" s="82"/>
      <c r="E1002" s="82"/>
      <c r="G1002" s="82"/>
    </row>
    <row r="1003">
      <c r="A1003" s="100"/>
      <c r="B1003" s="82"/>
      <c r="E1003" s="82"/>
      <c r="G1003" s="82"/>
    </row>
    <row r="1004">
      <c r="A1004" s="100"/>
      <c r="B1004" s="82"/>
      <c r="E1004" s="82"/>
      <c r="G1004" s="82"/>
    </row>
    <row r="1005">
      <c r="A1005" s="100"/>
      <c r="B1005" s="82"/>
      <c r="E1005" s="82"/>
      <c r="G1005" s="82"/>
    </row>
    <row r="1006">
      <c r="A1006" s="100"/>
      <c r="B1006" s="82"/>
      <c r="E1006" s="82"/>
      <c r="G1006" s="82"/>
    </row>
    <row r="1007">
      <c r="A1007" s="100"/>
      <c r="B1007" s="82"/>
      <c r="E1007" s="82"/>
      <c r="G1007" s="82"/>
    </row>
    <row r="1008">
      <c r="A1008" s="100"/>
      <c r="B1008" s="82"/>
      <c r="E1008" s="82"/>
      <c r="G1008" s="82"/>
    </row>
    <row r="1009">
      <c r="A1009" s="100"/>
      <c r="B1009" s="82"/>
      <c r="E1009" s="82"/>
      <c r="G1009" s="82"/>
    </row>
    <row r="1010">
      <c r="A1010" s="100"/>
      <c r="B1010" s="82"/>
      <c r="E1010" s="82"/>
      <c r="G1010" s="82"/>
    </row>
    <row r="1011">
      <c r="A1011" s="100"/>
      <c r="B1011" s="82"/>
      <c r="E1011" s="82"/>
      <c r="G1011" s="82"/>
    </row>
    <row r="1012">
      <c r="A1012" s="100"/>
      <c r="B1012" s="82"/>
      <c r="E1012" s="82"/>
      <c r="G1012" s="82"/>
    </row>
    <row r="1013">
      <c r="A1013" s="100"/>
      <c r="B1013" s="82"/>
      <c r="E1013" s="82"/>
      <c r="G1013" s="82"/>
    </row>
    <row r="1014">
      <c r="A1014" s="100"/>
      <c r="B1014" s="82"/>
      <c r="E1014" s="82"/>
      <c r="G1014" s="82"/>
    </row>
    <row r="1015">
      <c r="A1015" s="100"/>
      <c r="B1015" s="82"/>
      <c r="E1015" s="82"/>
      <c r="G1015" s="82"/>
    </row>
    <row r="1016">
      <c r="A1016" s="100"/>
      <c r="B1016" s="82"/>
      <c r="E1016" s="82"/>
      <c r="G1016" s="82"/>
    </row>
    <row r="1017">
      <c r="A1017" s="100"/>
      <c r="B1017" s="82"/>
      <c r="E1017" s="82"/>
      <c r="G1017" s="82"/>
    </row>
    <row r="1018">
      <c r="A1018" s="100"/>
      <c r="B1018" s="82"/>
      <c r="E1018" s="82"/>
      <c r="G1018" s="82"/>
    </row>
  </sheetData>
  <mergeCells count="3">
    <mergeCell ref="C2:D2"/>
    <mergeCell ref="E2:F2"/>
    <mergeCell ref="G2:H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5"/>
  </cols>
  <sheetData>
    <row r="1">
      <c r="A1" s="7" t="s">
        <v>96</v>
      </c>
      <c r="B1" s="7" t="s">
        <v>2031</v>
      </c>
      <c r="C1" s="7" t="s">
        <v>2032</v>
      </c>
      <c r="D1" s="7" t="s">
        <v>2033</v>
      </c>
      <c r="E1" s="7" t="s">
        <v>2034</v>
      </c>
      <c r="F1" s="7" t="s">
        <v>2035</v>
      </c>
      <c r="G1" s="7" t="s">
        <v>2036</v>
      </c>
      <c r="H1" s="7" t="s">
        <v>2037</v>
      </c>
      <c r="I1" s="7" t="s">
        <v>2038</v>
      </c>
    </row>
    <row r="2">
      <c r="A2" s="7" t="s">
        <v>2039</v>
      </c>
      <c r="B2" s="7">
        <v>0.4362</v>
      </c>
      <c r="C2" s="7">
        <v>0.0230802946255025</v>
      </c>
      <c r="D2" s="7">
        <v>0.371</v>
      </c>
      <c r="E2" s="7">
        <v>0.00803118920210451</v>
      </c>
      <c r="F2" s="7">
        <v>0.3042</v>
      </c>
      <c r="G2" s="7">
        <v>0.0224321198284959</v>
      </c>
      <c r="H2" s="7">
        <v>0.3292</v>
      </c>
      <c r="I2" s="7">
        <v>0.0134052228627501</v>
      </c>
    </row>
    <row r="3">
      <c r="A3" s="7" t="s">
        <v>2041</v>
      </c>
      <c r="B3" s="7">
        <v>0.499</v>
      </c>
      <c r="C3" s="7">
        <v>0.0</v>
      </c>
      <c r="D3" s="7">
        <v>0.317</v>
      </c>
      <c r="E3" s="7">
        <v>0.0</v>
      </c>
      <c r="F3" s="7">
        <v>0.35</v>
      </c>
      <c r="G3" s="7">
        <v>0.0</v>
      </c>
      <c r="H3" s="7">
        <v>0.285</v>
      </c>
      <c r="I3" s="7">
        <v>0.0</v>
      </c>
    </row>
    <row r="4">
      <c r="A4" s="7" t="s">
        <v>2042</v>
      </c>
      <c r="B4" s="7">
        <v>0.449</v>
      </c>
      <c r="C4" s="7">
        <v>0.0</v>
      </c>
      <c r="D4" s="7">
        <v>0.385</v>
      </c>
      <c r="E4" s="7">
        <v>0.0</v>
      </c>
      <c r="F4" s="7">
        <v>0.323</v>
      </c>
      <c r="G4" s="7">
        <v>0.0</v>
      </c>
      <c r="H4" s="7">
        <v>0.348</v>
      </c>
      <c r="I4" s="7">
        <v>0.0</v>
      </c>
    </row>
    <row r="5">
      <c r="A5" s="7" t="s">
        <v>2043</v>
      </c>
      <c r="B5" s="7">
        <v>0.4852</v>
      </c>
      <c r="C5" s="7">
        <v>0.0237002109695251</v>
      </c>
      <c r="D5" s="7">
        <v>0.3656</v>
      </c>
      <c r="E5" s="7">
        <v>0.00950263121456368</v>
      </c>
      <c r="F5" s="7">
        <v>0.3286</v>
      </c>
      <c r="G5" s="7">
        <v>0.0178549712965325</v>
      </c>
      <c r="H5" s="7">
        <v>0.3292</v>
      </c>
      <c r="I5" s="7">
        <v>0.00978263768111648</v>
      </c>
    </row>
    <row r="6">
      <c r="A6" s="7" t="s">
        <v>2044</v>
      </c>
      <c r="B6" s="7">
        <v>0.504</v>
      </c>
      <c r="C6" s="7">
        <v>0.0</v>
      </c>
      <c r="D6" s="7">
        <v>0.321</v>
      </c>
      <c r="E6" s="7">
        <v>0.0</v>
      </c>
      <c r="F6" s="7">
        <v>0.352</v>
      </c>
      <c r="G6" s="7">
        <v>0.0</v>
      </c>
      <c r="H6" s="7">
        <v>0.293</v>
      </c>
      <c r="I6" s="7">
        <v>0.0</v>
      </c>
    </row>
    <row r="7">
      <c r="A7" s="7" t="s">
        <v>2045</v>
      </c>
      <c r="B7" s="7">
        <v>0.516</v>
      </c>
      <c r="C7" s="7">
        <v>0.0</v>
      </c>
      <c r="D7" s="7">
        <v>0.358</v>
      </c>
      <c r="E7" s="7">
        <v>0.0</v>
      </c>
      <c r="F7" s="7">
        <v>0.356</v>
      </c>
      <c r="G7" s="7">
        <v>0.0</v>
      </c>
      <c r="H7" s="7">
        <v>0.338</v>
      </c>
      <c r="I7" s="7">
        <v>0.0</v>
      </c>
    </row>
    <row r="8">
      <c r="A8" s="7" t="s">
        <v>2046</v>
      </c>
      <c r="B8" s="7">
        <v>0.4522</v>
      </c>
      <c r="C8" s="7">
        <v>0.0183766155752358</v>
      </c>
      <c r="D8" s="7">
        <v>0.382599999999999</v>
      </c>
      <c r="E8" s="7">
        <v>0.0085615419172016</v>
      </c>
      <c r="F8" s="7">
        <v>0.3188</v>
      </c>
      <c r="G8" s="7">
        <v>0.0203519040878243</v>
      </c>
      <c r="H8" s="7">
        <v>0.3394</v>
      </c>
      <c r="I8" s="7">
        <v>0.0130115333454593</v>
      </c>
    </row>
    <row r="9">
      <c r="A9" s="7" t="s">
        <v>2047</v>
      </c>
      <c r="B9" s="7">
        <v>0.508</v>
      </c>
      <c r="C9" s="7">
        <v>0.0</v>
      </c>
      <c r="D9" s="7">
        <v>0.345</v>
      </c>
      <c r="E9" s="7">
        <v>0.0</v>
      </c>
      <c r="F9" s="7">
        <v>0.347</v>
      </c>
      <c r="G9" s="7">
        <v>0.0</v>
      </c>
      <c r="H9" s="7">
        <v>0.293</v>
      </c>
      <c r="I9" s="7">
        <v>0.0</v>
      </c>
    </row>
    <row r="10">
      <c r="A10" s="7" t="s">
        <v>2048</v>
      </c>
      <c r="B10" s="7">
        <v>0.455</v>
      </c>
      <c r="C10" s="7">
        <v>0.0</v>
      </c>
      <c r="D10" s="7">
        <v>0.384</v>
      </c>
      <c r="E10" s="7">
        <v>0.0</v>
      </c>
      <c r="F10" s="7">
        <v>0.324</v>
      </c>
      <c r="G10" s="7">
        <v>0.0</v>
      </c>
      <c r="H10" s="7">
        <v>0.352</v>
      </c>
      <c r="I10" s="7">
        <v>0.0</v>
      </c>
    </row>
    <row r="11">
      <c r="A11" s="7" t="s">
        <v>2049</v>
      </c>
      <c r="B11" s="7">
        <v>0.444199999999999</v>
      </c>
      <c r="C11" s="7">
        <v>0.0202163300329214</v>
      </c>
      <c r="D11" s="7">
        <v>0.366</v>
      </c>
      <c r="E11" s="7">
        <v>0.00447213595499958</v>
      </c>
      <c r="F11" s="7">
        <v>0.281</v>
      </c>
      <c r="G11" s="7">
        <v>0.0200249843945007</v>
      </c>
      <c r="H11" s="7">
        <v>0.3148</v>
      </c>
      <c r="I11" s="7">
        <v>0.00909395403551173</v>
      </c>
    </row>
    <row r="12">
      <c r="A12" s="7" t="s">
        <v>2050</v>
      </c>
      <c r="B12" s="7">
        <v>0.494</v>
      </c>
      <c r="C12" s="7">
        <v>0.0</v>
      </c>
      <c r="D12" s="7">
        <v>0.322</v>
      </c>
      <c r="E12" s="7">
        <v>0.0</v>
      </c>
      <c r="F12" s="7">
        <v>0.333</v>
      </c>
      <c r="G12" s="7">
        <v>0.0</v>
      </c>
      <c r="H12" s="7">
        <v>0.283</v>
      </c>
      <c r="I12" s="7">
        <v>0.0</v>
      </c>
    </row>
    <row r="13">
      <c r="A13" s="7" t="s">
        <v>2051</v>
      </c>
      <c r="B13" s="7">
        <v>0.459</v>
      </c>
      <c r="C13" s="7">
        <v>0.0</v>
      </c>
      <c r="D13" s="7">
        <v>0.371</v>
      </c>
      <c r="E13" s="7">
        <v>0.0</v>
      </c>
      <c r="F13" s="7">
        <v>0.281</v>
      </c>
      <c r="G13" s="7">
        <v>0.0</v>
      </c>
      <c r="H13" s="7">
        <v>0.323</v>
      </c>
      <c r="I13" s="7">
        <v>0.0</v>
      </c>
    </row>
    <row r="14">
      <c r="A14" s="7" t="s">
        <v>2052</v>
      </c>
      <c r="B14" s="7">
        <v>0.4684</v>
      </c>
      <c r="C14" s="7">
        <v>0.024774987386475</v>
      </c>
      <c r="D14" s="7">
        <v>0.3738</v>
      </c>
      <c r="E14" s="7">
        <v>0.00535723809439155</v>
      </c>
      <c r="F14" s="7">
        <v>0.3222</v>
      </c>
      <c r="G14" s="7">
        <v>0.026920252599112</v>
      </c>
      <c r="H14" s="7">
        <v>0.3418</v>
      </c>
      <c r="I14" s="7">
        <v>0.0151558569536664</v>
      </c>
    </row>
    <row r="15">
      <c r="A15" s="7" t="s">
        <v>2053</v>
      </c>
      <c r="B15" s="7">
        <v>0.517</v>
      </c>
      <c r="C15" s="7">
        <v>0.0</v>
      </c>
      <c r="D15" s="7">
        <v>0.326</v>
      </c>
      <c r="E15" s="7">
        <v>0.0</v>
      </c>
      <c r="F15" s="7">
        <v>0.363</v>
      </c>
      <c r="G15" s="7">
        <v>0.0</v>
      </c>
      <c r="H15" s="7">
        <v>0.297</v>
      </c>
      <c r="I15" s="7">
        <v>0.0</v>
      </c>
    </row>
    <row r="16">
      <c r="A16" s="7" t="s">
        <v>2054</v>
      </c>
      <c r="B16" s="7">
        <v>0.475</v>
      </c>
      <c r="C16" s="7">
        <v>0.0</v>
      </c>
      <c r="D16" s="7">
        <v>0.378</v>
      </c>
      <c r="E16" s="7">
        <v>0.0</v>
      </c>
      <c r="F16" s="7">
        <v>0.325</v>
      </c>
      <c r="G16" s="7">
        <v>0.0</v>
      </c>
      <c r="H16" s="7">
        <v>0.35</v>
      </c>
      <c r="I16" s="7">
        <v>0.0</v>
      </c>
    </row>
    <row r="17">
      <c r="A17" s="7" t="s">
        <v>2055</v>
      </c>
      <c r="B17" s="7">
        <v>0.453</v>
      </c>
      <c r="C17" s="7">
        <v>0.0209523268397569</v>
      </c>
      <c r="D17" s="7">
        <v>0.3744</v>
      </c>
      <c r="E17" s="7">
        <v>0.00907193474403338</v>
      </c>
      <c r="F17" s="7">
        <v>0.3236</v>
      </c>
      <c r="G17" s="7">
        <v>0.0135203550249244</v>
      </c>
      <c r="H17" s="7">
        <v>0.3432</v>
      </c>
      <c r="I17" s="7">
        <v>0.00540370243444249</v>
      </c>
    </row>
    <row r="18">
      <c r="A18" s="7" t="s">
        <v>2056</v>
      </c>
      <c r="B18" s="7">
        <v>0.491</v>
      </c>
      <c r="C18" s="7">
        <v>0.0</v>
      </c>
      <c r="D18" s="7">
        <v>0.332</v>
      </c>
      <c r="E18" s="7">
        <v>0.0</v>
      </c>
      <c r="F18" s="7">
        <v>0.348</v>
      </c>
      <c r="G18" s="7">
        <v>0.0</v>
      </c>
      <c r="H18" s="7">
        <v>0.311</v>
      </c>
      <c r="I18" s="7">
        <v>0.0</v>
      </c>
    </row>
    <row r="19">
      <c r="A19" s="7" t="s">
        <v>2057</v>
      </c>
      <c r="B19" s="7">
        <v>0.454</v>
      </c>
      <c r="C19" s="7">
        <v>0.0</v>
      </c>
      <c r="D19" s="7">
        <v>0.37</v>
      </c>
      <c r="E19" s="7">
        <v>0.0</v>
      </c>
      <c r="F19" s="7">
        <v>0.33</v>
      </c>
      <c r="G19" s="7">
        <v>0.0</v>
      </c>
      <c r="H19" s="7">
        <v>0.345</v>
      </c>
      <c r="I19" s="7">
        <v>0.0</v>
      </c>
    </row>
    <row r="20">
      <c r="A20" s="7" t="s">
        <v>2058</v>
      </c>
      <c r="B20" s="7">
        <v>0.4296</v>
      </c>
      <c r="C20" s="7">
        <v>0.0227002202632485</v>
      </c>
      <c r="D20" s="7">
        <v>0.3694</v>
      </c>
      <c r="E20" s="7">
        <v>0.00594138031100518</v>
      </c>
      <c r="F20" s="7">
        <v>0.2824</v>
      </c>
      <c r="G20" s="7">
        <v>0.0194370779696949</v>
      </c>
      <c r="H20" s="7">
        <v>0.3248</v>
      </c>
      <c r="I20" s="7">
        <v>0.0144118007202431</v>
      </c>
    </row>
    <row r="21">
      <c r="A21" s="7" t="s">
        <v>2059</v>
      </c>
      <c r="B21" s="7">
        <v>0.456</v>
      </c>
      <c r="C21" s="7">
        <v>0.0</v>
      </c>
      <c r="D21" s="7">
        <v>0.324</v>
      </c>
      <c r="E21" s="7">
        <v>0.0</v>
      </c>
      <c r="F21" s="7">
        <v>0.3</v>
      </c>
      <c r="G21" s="7">
        <v>0.0</v>
      </c>
      <c r="H21" s="7">
        <v>0.277</v>
      </c>
      <c r="I21" s="7">
        <v>0.0</v>
      </c>
    </row>
    <row r="22">
      <c r="A22" s="7" t="s">
        <v>2060</v>
      </c>
      <c r="B22" s="7">
        <v>0.442</v>
      </c>
      <c r="C22" s="7">
        <v>0.0</v>
      </c>
      <c r="D22" s="7">
        <v>0.368</v>
      </c>
      <c r="E22" s="7">
        <v>0.0</v>
      </c>
      <c r="F22" s="7">
        <v>0.286</v>
      </c>
      <c r="G22" s="7">
        <v>0.0</v>
      </c>
      <c r="H22" s="7">
        <v>0.326</v>
      </c>
      <c r="I22" s="7">
        <v>0.0</v>
      </c>
    </row>
    <row r="23">
      <c r="A23" s="7" t="s">
        <v>2061</v>
      </c>
      <c r="B23" s="7">
        <v>0.4884</v>
      </c>
      <c r="C23" s="7">
        <v>0.0160872620417521</v>
      </c>
      <c r="D23" s="7">
        <v>0.363</v>
      </c>
      <c r="E23" s="7">
        <v>0.00509901951359279</v>
      </c>
      <c r="F23" s="7">
        <v>0.309799999999999</v>
      </c>
      <c r="G23" s="7">
        <v>0.0149063744753712</v>
      </c>
      <c r="H23" s="7">
        <v>0.328</v>
      </c>
      <c r="I23" s="7">
        <v>0.00833666600026654</v>
      </c>
    </row>
    <row r="24">
      <c r="A24" s="7" t="s">
        <v>2062</v>
      </c>
      <c r="B24" s="7">
        <v>0.508</v>
      </c>
      <c r="C24" s="7">
        <v>0.0</v>
      </c>
      <c r="D24" s="7">
        <v>0.32</v>
      </c>
      <c r="E24" s="7">
        <v>0.0</v>
      </c>
      <c r="F24" s="7">
        <v>0.325</v>
      </c>
      <c r="G24" s="7">
        <v>0.0</v>
      </c>
      <c r="H24" s="7">
        <v>0.284</v>
      </c>
      <c r="I24" s="7">
        <v>0.0</v>
      </c>
    </row>
    <row r="25">
      <c r="A25" s="7" t="s">
        <v>2063</v>
      </c>
      <c r="B25" s="7">
        <v>0.498</v>
      </c>
      <c r="C25" s="7">
        <v>0.0</v>
      </c>
      <c r="D25" s="7">
        <v>0.369</v>
      </c>
      <c r="E25" s="7">
        <v>0.0</v>
      </c>
      <c r="F25" s="7">
        <v>0.308</v>
      </c>
      <c r="G25" s="7">
        <v>0.0</v>
      </c>
      <c r="H25" s="7">
        <v>0.34</v>
      </c>
      <c r="I25" s="7">
        <v>0.0</v>
      </c>
    </row>
    <row r="26">
      <c r="A26" s="7" t="s">
        <v>2064</v>
      </c>
      <c r="B26" s="7">
        <v>0.3016</v>
      </c>
      <c r="C26" s="7">
        <v>0.0172278843738864</v>
      </c>
      <c r="D26" s="7">
        <v>0.337999999999999</v>
      </c>
      <c r="E26" s="7">
        <v>0.00587367006223535</v>
      </c>
      <c r="F26" s="7">
        <v>0.1792</v>
      </c>
      <c r="G26" s="7">
        <v>0.0134981480211175</v>
      </c>
      <c r="H26" s="7">
        <v>0.2692</v>
      </c>
      <c r="I26" s="7">
        <v>0.00746324326281812</v>
      </c>
    </row>
    <row r="27">
      <c r="A27" s="7" t="s">
        <v>2065</v>
      </c>
      <c r="B27" s="7">
        <v>0.357</v>
      </c>
      <c r="C27" s="7">
        <v>0.0</v>
      </c>
      <c r="D27" s="7">
        <v>0.28</v>
      </c>
      <c r="E27" s="7">
        <v>0.0</v>
      </c>
      <c r="F27" s="7">
        <v>0.233</v>
      </c>
      <c r="G27" s="7">
        <v>0.0</v>
      </c>
      <c r="H27" s="7">
        <v>0.234</v>
      </c>
      <c r="I27" s="7">
        <v>0.0</v>
      </c>
    </row>
    <row r="28">
      <c r="A28" s="7" t="s">
        <v>2066</v>
      </c>
      <c r="B28" s="7">
        <v>0.295</v>
      </c>
      <c r="C28" s="7">
        <v>0.0</v>
      </c>
      <c r="D28" s="7">
        <v>0.347</v>
      </c>
      <c r="E28" s="7">
        <v>0.0</v>
      </c>
      <c r="F28" s="7">
        <v>0.178</v>
      </c>
      <c r="G28" s="7">
        <v>0.0</v>
      </c>
      <c r="H28" s="7">
        <v>0.294</v>
      </c>
      <c r="I28" s="7">
        <v>0.0</v>
      </c>
    </row>
    <row r="29">
      <c r="A29" s="7" t="s">
        <v>2067</v>
      </c>
      <c r="B29" s="7">
        <v>0.3106</v>
      </c>
      <c r="C29" s="7">
        <v>0.0226119437466132</v>
      </c>
      <c r="D29" s="7">
        <v>0.327</v>
      </c>
      <c r="E29" s="7">
        <v>0.0159843673631457</v>
      </c>
      <c r="F29" s="7">
        <v>0.1764</v>
      </c>
      <c r="G29" s="7">
        <v>0.0188494031735755</v>
      </c>
      <c r="H29" s="7">
        <v>0.257</v>
      </c>
      <c r="I29" s="7">
        <v>0.022237355957937</v>
      </c>
    </row>
    <row r="30">
      <c r="A30" s="7" t="s">
        <v>2068</v>
      </c>
      <c r="B30" s="7">
        <v>0.399</v>
      </c>
      <c r="C30" s="7">
        <v>0.0</v>
      </c>
      <c r="D30" s="7">
        <v>0.259</v>
      </c>
      <c r="E30" s="7">
        <v>0.0</v>
      </c>
      <c r="F30" s="7">
        <v>0.227</v>
      </c>
      <c r="G30" s="7">
        <v>0.0</v>
      </c>
      <c r="H30" s="7">
        <v>0.206</v>
      </c>
      <c r="I30" s="7">
        <v>0.0</v>
      </c>
    </row>
    <row r="31">
      <c r="A31" s="7" t="s">
        <v>2069</v>
      </c>
      <c r="B31" s="7">
        <v>0.277</v>
      </c>
      <c r="C31" s="7">
        <v>0.0</v>
      </c>
      <c r="D31" s="7">
        <v>0.309</v>
      </c>
      <c r="E31" s="7">
        <v>0.0</v>
      </c>
      <c r="F31" s="7">
        <v>0.157</v>
      </c>
      <c r="G31" s="7">
        <v>0.0</v>
      </c>
      <c r="H31" s="7">
        <v>0.247</v>
      </c>
      <c r="I31" s="7">
        <v>0.0</v>
      </c>
    </row>
    <row r="32">
      <c r="A32" s="7" t="s">
        <v>2070</v>
      </c>
      <c r="B32" s="7">
        <v>0.2836</v>
      </c>
      <c r="C32" s="7">
        <v>0.024110163831878</v>
      </c>
      <c r="D32" s="7">
        <v>0.3288</v>
      </c>
      <c r="E32" s="7">
        <v>0.0108489630840924</v>
      </c>
      <c r="F32" s="7">
        <v>0.189</v>
      </c>
      <c r="G32" s="7">
        <v>0.0132098448136229</v>
      </c>
      <c r="H32" s="7">
        <v>0.29</v>
      </c>
      <c r="I32" s="7">
        <v>0.0104163333279998</v>
      </c>
    </row>
    <row r="33">
      <c r="A33" s="7" t="s">
        <v>2071</v>
      </c>
      <c r="B33" s="7">
        <v>0.36</v>
      </c>
      <c r="C33" s="7">
        <v>0.0</v>
      </c>
      <c r="D33" s="7">
        <v>0.228</v>
      </c>
      <c r="E33" s="7">
        <v>0.0</v>
      </c>
      <c r="F33" s="7">
        <v>0.234</v>
      </c>
      <c r="G33" s="7">
        <v>0.0</v>
      </c>
      <c r="H33" s="7">
        <v>0.214</v>
      </c>
      <c r="I33" s="7">
        <v>0.0</v>
      </c>
    </row>
    <row r="34">
      <c r="A34" s="7" t="s">
        <v>2072</v>
      </c>
      <c r="B34" s="7">
        <v>0.276</v>
      </c>
      <c r="C34" s="7">
        <v>0.0</v>
      </c>
      <c r="D34" s="7">
        <v>0.351</v>
      </c>
      <c r="E34" s="7">
        <v>0.0</v>
      </c>
      <c r="F34" s="7">
        <v>0.199</v>
      </c>
      <c r="G34" s="7">
        <v>0.0</v>
      </c>
      <c r="H34" s="7">
        <v>0.319</v>
      </c>
      <c r="I34" s="7">
        <v>0.0</v>
      </c>
    </row>
    <row r="35">
      <c r="A35" s="7" t="s">
        <v>2073</v>
      </c>
      <c r="B35" s="7">
        <v>0.2892</v>
      </c>
      <c r="C35" s="7">
        <v>0.0117770964163498</v>
      </c>
      <c r="D35" s="7">
        <v>0.3316</v>
      </c>
      <c r="E35" s="7">
        <v>0.0161956784359285</v>
      </c>
      <c r="F35" s="7">
        <v>0.16</v>
      </c>
      <c r="G35" s="7">
        <v>0.0198871818013513</v>
      </c>
      <c r="H35" s="7">
        <v>0.2648</v>
      </c>
      <c r="I35" s="7">
        <v>0.0200922870773836</v>
      </c>
    </row>
    <row r="36">
      <c r="A36" s="7" t="s">
        <v>2074</v>
      </c>
      <c r="B36" s="7">
        <v>0.352</v>
      </c>
      <c r="C36" s="7">
        <v>0.0</v>
      </c>
      <c r="D36" s="7">
        <v>0.274</v>
      </c>
      <c r="E36" s="7">
        <v>0.0</v>
      </c>
      <c r="F36" s="7">
        <v>0.212</v>
      </c>
      <c r="G36" s="7">
        <v>0.0</v>
      </c>
      <c r="H36" s="7">
        <v>0.228</v>
      </c>
      <c r="I36" s="7">
        <v>0.0</v>
      </c>
    </row>
    <row r="37">
      <c r="A37" s="7" t="s">
        <v>2075</v>
      </c>
      <c r="B37" s="7">
        <v>0.278</v>
      </c>
      <c r="C37" s="7">
        <v>0.0</v>
      </c>
      <c r="D37" s="7">
        <v>0.331</v>
      </c>
      <c r="E37" s="7">
        <v>0.0</v>
      </c>
      <c r="F37" s="7">
        <v>0.15</v>
      </c>
      <c r="G37" s="7">
        <v>0.0</v>
      </c>
      <c r="H37" s="7">
        <v>0.272</v>
      </c>
      <c r="I37" s="7">
        <v>0.0</v>
      </c>
    </row>
    <row r="38">
      <c r="A38" s="7" t="s">
        <v>2076</v>
      </c>
      <c r="B38" s="7">
        <v>0.3124</v>
      </c>
      <c r="C38" s="7">
        <v>0.0228429420171745</v>
      </c>
      <c r="D38" s="7">
        <v>0.3248</v>
      </c>
      <c r="E38" s="7">
        <v>0.0110770032048384</v>
      </c>
      <c r="F38" s="7">
        <v>0.177</v>
      </c>
      <c r="G38" s="7">
        <v>0.0236431808350737</v>
      </c>
      <c r="H38" s="7">
        <v>0.253799999999999</v>
      </c>
      <c r="I38" s="7">
        <v>0.0211352785645233</v>
      </c>
    </row>
    <row r="39">
      <c r="A39" s="7" t="s">
        <v>2077</v>
      </c>
      <c r="B39" s="7">
        <v>0.355</v>
      </c>
      <c r="C39" s="7">
        <v>0.0</v>
      </c>
      <c r="D39" s="7">
        <v>0.281</v>
      </c>
      <c r="E39" s="7">
        <v>0.0</v>
      </c>
      <c r="F39" s="7">
        <v>0.219</v>
      </c>
      <c r="G39" s="7">
        <v>0.0</v>
      </c>
      <c r="H39" s="7">
        <v>0.224</v>
      </c>
      <c r="I39" s="7">
        <v>0.0</v>
      </c>
    </row>
    <row r="40">
      <c r="A40" s="7" t="s">
        <v>2078</v>
      </c>
      <c r="B40" s="7">
        <v>0.328</v>
      </c>
      <c r="C40" s="7">
        <v>0.0</v>
      </c>
      <c r="D40" s="7">
        <v>0.337</v>
      </c>
      <c r="E40" s="7">
        <v>0.0</v>
      </c>
      <c r="F40" s="7">
        <v>0.185</v>
      </c>
      <c r="G40" s="7">
        <v>0.0</v>
      </c>
      <c r="H40" s="7">
        <v>0.274</v>
      </c>
      <c r="I40" s="7">
        <v>0.0</v>
      </c>
    </row>
    <row r="41">
      <c r="A41" s="7" t="s">
        <v>2079</v>
      </c>
      <c r="B41" s="7">
        <v>0.2526</v>
      </c>
      <c r="C41" s="7">
        <v>0.0145705181788431</v>
      </c>
      <c r="D41" s="7">
        <v>0.3132</v>
      </c>
      <c r="E41" s="7">
        <v>0.0125379424149259</v>
      </c>
      <c r="F41" s="7">
        <v>0.163</v>
      </c>
      <c r="G41" s="7">
        <v>0.0123288280059379</v>
      </c>
      <c r="H41" s="7">
        <v>0.2636</v>
      </c>
      <c r="I41" s="7">
        <v>0.0178129166617934</v>
      </c>
    </row>
    <row r="42">
      <c r="A42" s="7" t="s">
        <v>2080</v>
      </c>
      <c r="B42" s="7">
        <v>0.318</v>
      </c>
      <c r="C42" s="7">
        <v>0.0</v>
      </c>
      <c r="D42" s="7">
        <v>0.261</v>
      </c>
      <c r="E42" s="7">
        <v>0.0</v>
      </c>
      <c r="F42" s="7">
        <v>0.202</v>
      </c>
      <c r="G42" s="7">
        <v>0.0</v>
      </c>
      <c r="H42" s="7">
        <v>0.213</v>
      </c>
      <c r="I42" s="7">
        <v>0.0</v>
      </c>
    </row>
    <row r="43">
      <c r="A43" s="7" t="s">
        <v>2081</v>
      </c>
      <c r="B43" s="7">
        <v>0.27</v>
      </c>
      <c r="C43" s="7">
        <v>0.0</v>
      </c>
      <c r="D43" s="7">
        <v>0.337</v>
      </c>
      <c r="E43" s="7">
        <v>0.0</v>
      </c>
      <c r="F43" s="7">
        <v>0.178</v>
      </c>
      <c r="G43" s="7">
        <v>0.0</v>
      </c>
      <c r="H43" s="7">
        <v>0.301</v>
      </c>
      <c r="I43" s="7">
        <v>0.0</v>
      </c>
    </row>
    <row r="44">
      <c r="A44" s="7" t="s">
        <v>2082</v>
      </c>
      <c r="B44" s="7">
        <v>0.3482</v>
      </c>
      <c r="C44" s="7">
        <v>0.007190271204899</v>
      </c>
      <c r="D44" s="7">
        <v>0.3206</v>
      </c>
      <c r="E44" s="7">
        <v>0.00723187389270582</v>
      </c>
      <c r="F44" s="7">
        <v>0.2128</v>
      </c>
      <c r="G44" s="7">
        <v>0.0108949529599718</v>
      </c>
      <c r="H44" s="7">
        <v>0.2692</v>
      </c>
      <c r="I44" s="7">
        <v>0.0141138230115018</v>
      </c>
    </row>
    <row r="45">
      <c r="A45" s="7" t="s">
        <v>2083</v>
      </c>
      <c r="B45" s="7">
        <v>0.351</v>
      </c>
      <c r="C45" s="7">
        <v>0.0</v>
      </c>
      <c r="D45" s="7">
        <v>0.3</v>
      </c>
      <c r="E45" s="7">
        <v>0.0</v>
      </c>
      <c r="F45" s="7">
        <v>0.217</v>
      </c>
      <c r="G45" s="7">
        <v>0.0</v>
      </c>
      <c r="H45" s="7">
        <v>0.24</v>
      </c>
      <c r="I45" s="7">
        <v>0.0</v>
      </c>
    </row>
    <row r="46">
      <c r="A46" s="7" t="s">
        <v>2084</v>
      </c>
      <c r="B46" s="7">
        <v>0.372</v>
      </c>
      <c r="C46" s="7">
        <v>0.0</v>
      </c>
      <c r="D46" s="7">
        <v>0.33</v>
      </c>
      <c r="E46" s="7">
        <v>0.0</v>
      </c>
      <c r="F46" s="7">
        <v>0.229</v>
      </c>
      <c r="G46" s="7">
        <v>0.0</v>
      </c>
      <c r="H46" s="7">
        <v>0.274</v>
      </c>
      <c r="I46" s="7">
        <v>0.0</v>
      </c>
    </row>
    <row r="47">
      <c r="A47" s="7" t="s">
        <v>2085</v>
      </c>
      <c r="B47" s="7">
        <v>0.3434</v>
      </c>
      <c r="C47" s="7">
        <v>0.0173579952759527</v>
      </c>
      <c r="D47" s="7">
        <v>0.3208</v>
      </c>
      <c r="E47" s="7">
        <v>0.00712039324756716</v>
      </c>
      <c r="F47" s="7">
        <v>0.2124</v>
      </c>
      <c r="G47" s="7">
        <v>0.0133154046127032</v>
      </c>
      <c r="H47" s="7">
        <v>0.2636</v>
      </c>
      <c r="I47" s="7">
        <v>0.00978774744259373</v>
      </c>
    </row>
    <row r="48">
      <c r="A48" s="7" t="s">
        <v>2086</v>
      </c>
      <c r="B48" s="7">
        <v>0.374</v>
      </c>
      <c r="C48" s="7">
        <v>0.0</v>
      </c>
      <c r="D48" s="7">
        <v>0.286</v>
      </c>
      <c r="E48" s="7">
        <v>0.0</v>
      </c>
      <c r="F48" s="7">
        <v>0.242</v>
      </c>
      <c r="G48" s="7">
        <v>0.0</v>
      </c>
      <c r="H48" s="7">
        <v>0.236</v>
      </c>
      <c r="I48" s="7">
        <v>0.0</v>
      </c>
    </row>
    <row r="49">
      <c r="A49" s="7" t="s">
        <v>2087</v>
      </c>
      <c r="B49" s="7">
        <v>0.36</v>
      </c>
      <c r="C49" s="7">
        <v>0.0</v>
      </c>
      <c r="D49" s="7">
        <v>0.339</v>
      </c>
      <c r="E49" s="7">
        <v>0.0</v>
      </c>
      <c r="F49" s="7">
        <v>0.213</v>
      </c>
      <c r="G49" s="7">
        <v>0.0</v>
      </c>
      <c r="H49" s="7">
        <v>0.267</v>
      </c>
      <c r="I49" s="7">
        <v>0.0</v>
      </c>
    </row>
    <row r="50">
      <c r="A50" s="7" t="s">
        <v>2088</v>
      </c>
      <c r="B50" s="7">
        <v>0.3392</v>
      </c>
      <c r="C50" s="7">
        <v>0.00676017751246221</v>
      </c>
      <c r="D50" s="7">
        <v>0.3226</v>
      </c>
      <c r="E50" s="7">
        <v>0.00763544366752843</v>
      </c>
      <c r="F50" s="7">
        <v>0.2208</v>
      </c>
      <c r="G50" s="7">
        <v>0.00535723809439155</v>
      </c>
      <c r="H50" s="7">
        <v>0.237</v>
      </c>
      <c r="I50" s="7">
        <v>0.00809320702811932</v>
      </c>
    </row>
    <row r="51">
      <c r="A51" s="7" t="s">
        <v>2089</v>
      </c>
      <c r="B51" s="7">
        <v>0.344</v>
      </c>
      <c r="C51" s="7">
        <v>0.0</v>
      </c>
      <c r="D51" s="7">
        <v>0.303</v>
      </c>
      <c r="E51" s="7">
        <v>0.0</v>
      </c>
      <c r="F51" s="7">
        <v>0.214</v>
      </c>
      <c r="G51" s="7">
        <v>0.0</v>
      </c>
      <c r="H51" s="7">
        <v>0.203</v>
      </c>
      <c r="I51" s="7">
        <v>0.0</v>
      </c>
    </row>
    <row r="52">
      <c r="A52" s="7" t="s">
        <v>2090</v>
      </c>
      <c r="B52" s="7">
        <v>0.346</v>
      </c>
      <c r="C52" s="7">
        <v>0.0</v>
      </c>
      <c r="D52" s="7">
        <v>0.33</v>
      </c>
      <c r="E52" s="7">
        <v>0.0</v>
      </c>
      <c r="F52" s="7">
        <v>0.226</v>
      </c>
      <c r="G52" s="7">
        <v>0.0</v>
      </c>
      <c r="H52" s="7">
        <v>0.241</v>
      </c>
      <c r="I52" s="7">
        <v>0.0</v>
      </c>
    </row>
    <row r="53">
      <c r="A53" s="7" t="s">
        <v>2091</v>
      </c>
      <c r="B53" s="7">
        <v>0.3592</v>
      </c>
      <c r="C53" s="7">
        <v>0.0149899966644426</v>
      </c>
      <c r="D53" s="7">
        <v>0.299799999999999</v>
      </c>
      <c r="E53" s="7">
        <v>0.00752994023880668</v>
      </c>
      <c r="F53" s="7">
        <v>0.2508</v>
      </c>
      <c r="G53" s="7">
        <v>0.0132551876637036</v>
      </c>
      <c r="H53" s="7">
        <v>0.2432</v>
      </c>
      <c r="I53" s="7">
        <v>0.0106160256216721</v>
      </c>
    </row>
    <row r="54">
      <c r="A54" s="7" t="s">
        <v>2092</v>
      </c>
      <c r="B54" s="7">
        <v>0.374</v>
      </c>
      <c r="C54" s="7">
        <v>0.0</v>
      </c>
      <c r="D54" s="7">
        <v>0.274</v>
      </c>
      <c r="E54" s="7">
        <v>0.0</v>
      </c>
      <c r="F54" s="7">
        <v>0.25</v>
      </c>
      <c r="G54" s="7">
        <v>0.0</v>
      </c>
      <c r="H54" s="7">
        <v>0.221</v>
      </c>
      <c r="I54" s="7">
        <v>0.0</v>
      </c>
    </row>
    <row r="55">
      <c r="A55" s="7" t="s">
        <v>2093</v>
      </c>
      <c r="B55" s="7">
        <v>0.356</v>
      </c>
      <c r="C55" s="7">
        <v>0.0</v>
      </c>
      <c r="D55" s="7">
        <v>0.299</v>
      </c>
      <c r="E55" s="7">
        <v>0.0</v>
      </c>
      <c r="F55" s="7">
        <v>0.251</v>
      </c>
      <c r="G55" s="7">
        <v>0.0</v>
      </c>
      <c r="H55" s="7">
        <v>0.242</v>
      </c>
      <c r="I55" s="7">
        <v>0.0</v>
      </c>
    </row>
    <row r="56">
      <c r="A56" s="7" t="s">
        <v>2094</v>
      </c>
      <c r="B56" s="7">
        <v>0.281</v>
      </c>
      <c r="C56" s="7">
        <v>0.00547722557505163</v>
      </c>
      <c r="D56" s="7">
        <v>0.4496</v>
      </c>
      <c r="E56" s="7">
        <v>0.00219089023002066</v>
      </c>
      <c r="F56" s="7">
        <v>0.281</v>
      </c>
      <c r="G56" s="7">
        <v>0.00547722557505163</v>
      </c>
      <c r="H56" s="7">
        <v>0.4496</v>
      </c>
      <c r="I56" s="7">
        <v>0.00219089023002066</v>
      </c>
    </row>
    <row r="57">
      <c r="A57" s="7" t="s">
        <v>2095</v>
      </c>
      <c r="B57" s="7">
        <v>0.282</v>
      </c>
      <c r="C57" s="7">
        <v>0.0</v>
      </c>
      <c r="D57" s="7">
        <v>0.447</v>
      </c>
      <c r="E57" s="7">
        <v>0.0</v>
      </c>
      <c r="F57" s="7">
        <v>0.281</v>
      </c>
      <c r="G57" s="7">
        <v>0.0</v>
      </c>
      <c r="H57" s="7">
        <v>0.447</v>
      </c>
      <c r="I57" s="7">
        <v>0.0</v>
      </c>
    </row>
    <row r="58">
      <c r="A58" s="7" t="s">
        <v>2097</v>
      </c>
      <c r="B58" s="7">
        <v>0.277</v>
      </c>
      <c r="C58" s="7">
        <v>0.0</v>
      </c>
      <c r="D58" s="7">
        <v>0.448</v>
      </c>
      <c r="E58" s="7">
        <v>0.0</v>
      </c>
      <c r="F58" s="7">
        <v>0.277</v>
      </c>
      <c r="G58" s="7">
        <v>0.0</v>
      </c>
      <c r="H58" s="7">
        <v>0.448</v>
      </c>
      <c r="I58" s="7">
        <v>0.0</v>
      </c>
    </row>
    <row r="59">
      <c r="A59" s="7" t="s">
        <v>2098</v>
      </c>
      <c r="B59" s="7">
        <v>0.3556</v>
      </c>
      <c r="C59" s="7">
        <v>0.0103101891350256</v>
      </c>
      <c r="D59" s="7">
        <v>0.3168</v>
      </c>
      <c r="E59" s="7">
        <v>0.00676017751246223</v>
      </c>
      <c r="F59" s="7">
        <v>0.235</v>
      </c>
      <c r="G59" s="7">
        <v>0.00827647267862341</v>
      </c>
      <c r="H59" s="7">
        <v>0.249399999999999</v>
      </c>
      <c r="I59" s="7">
        <v>0.00760263112349929</v>
      </c>
    </row>
    <row r="60">
      <c r="A60" s="7" t="s">
        <v>2099</v>
      </c>
      <c r="B60" s="7">
        <v>0.354</v>
      </c>
      <c r="C60" s="7">
        <v>0.0</v>
      </c>
      <c r="D60" s="7">
        <v>0.275</v>
      </c>
      <c r="E60" s="7">
        <v>0.0</v>
      </c>
      <c r="F60" s="7">
        <v>0.227</v>
      </c>
      <c r="G60" s="7">
        <v>0.0</v>
      </c>
      <c r="H60" s="7">
        <v>0.21</v>
      </c>
      <c r="I60" s="7">
        <v>0.0</v>
      </c>
    </row>
    <row r="61">
      <c r="A61" s="7" t="s">
        <v>2100</v>
      </c>
      <c r="B61" s="7">
        <v>0.363</v>
      </c>
      <c r="C61" s="7">
        <v>0.0</v>
      </c>
      <c r="D61" s="7">
        <v>0.319</v>
      </c>
      <c r="E61" s="7">
        <v>0.0</v>
      </c>
      <c r="F61" s="7">
        <v>0.237</v>
      </c>
      <c r="G61" s="7">
        <v>0.0</v>
      </c>
      <c r="H61" s="7">
        <v>0.25</v>
      </c>
      <c r="I61" s="7">
        <v>0.0</v>
      </c>
    </row>
    <row r="62">
      <c r="A62" s="7" t="s">
        <v>2101</v>
      </c>
      <c r="B62" s="7">
        <v>0.383</v>
      </c>
      <c r="C62" s="7">
        <v>0.0186145104689862</v>
      </c>
      <c r="D62" s="7">
        <v>0.316399999999999</v>
      </c>
      <c r="E62" s="7">
        <v>0.0102615788258922</v>
      </c>
      <c r="F62" s="7">
        <v>0.267599999999999</v>
      </c>
      <c r="G62" s="7">
        <v>0.0185822495947073</v>
      </c>
      <c r="H62" s="7">
        <v>0.2622</v>
      </c>
      <c r="I62" s="7">
        <v>0.0159279628327039</v>
      </c>
    </row>
    <row r="63">
      <c r="A63" s="7" t="s">
        <v>2102</v>
      </c>
      <c r="B63" s="7">
        <v>0.383</v>
      </c>
      <c r="C63" s="7">
        <v>0.0</v>
      </c>
      <c r="D63" s="7">
        <v>0.27</v>
      </c>
      <c r="E63" s="7">
        <v>0.0</v>
      </c>
      <c r="F63" s="7">
        <v>0.263</v>
      </c>
      <c r="G63" s="7">
        <v>0.0</v>
      </c>
      <c r="H63" s="7">
        <v>0.223</v>
      </c>
      <c r="I63" s="7">
        <v>0.0</v>
      </c>
    </row>
    <row r="64">
      <c r="A64" s="7" t="s">
        <v>2103</v>
      </c>
      <c r="B64" s="7">
        <v>0.376</v>
      </c>
      <c r="C64" s="7">
        <v>0.0</v>
      </c>
      <c r="D64" s="7">
        <v>0.308</v>
      </c>
      <c r="E64" s="7">
        <v>0.0</v>
      </c>
      <c r="F64" s="7">
        <v>0.264</v>
      </c>
      <c r="G64" s="7">
        <v>0.0</v>
      </c>
      <c r="H64" s="7">
        <v>0.25</v>
      </c>
      <c r="I64" s="7">
        <v>0.0</v>
      </c>
    </row>
    <row r="65">
      <c r="A65" s="7" t="s">
        <v>2104</v>
      </c>
      <c r="B65" s="7">
        <v>0.2978</v>
      </c>
      <c r="C65" s="7">
        <v>0.0188997354478839</v>
      </c>
      <c r="D65" s="7">
        <v>0.359199999999999</v>
      </c>
      <c r="E65" s="7">
        <v>0.00867179335547152</v>
      </c>
      <c r="F65" s="7">
        <v>0.211399999999999</v>
      </c>
      <c r="G65" s="7">
        <v>0.0129923054151293</v>
      </c>
      <c r="H65" s="7">
        <v>0.3034</v>
      </c>
      <c r="I65" s="7">
        <v>0.00993981891183135</v>
      </c>
    </row>
    <row r="66">
      <c r="A66" s="7" t="s">
        <v>2105</v>
      </c>
      <c r="B66" s="7">
        <v>0.323</v>
      </c>
      <c r="C66" s="7">
        <v>0.0</v>
      </c>
      <c r="D66" s="7">
        <v>0.334</v>
      </c>
      <c r="E66" s="7">
        <v>0.0</v>
      </c>
      <c r="F66" s="7">
        <v>0.224</v>
      </c>
      <c r="G66" s="7">
        <v>0.0</v>
      </c>
      <c r="H66" s="7">
        <v>0.28</v>
      </c>
      <c r="I66" s="7">
        <v>0.0</v>
      </c>
    </row>
    <row r="67">
      <c r="A67" s="7" t="s">
        <v>2106</v>
      </c>
      <c r="B67" s="7">
        <v>0.307</v>
      </c>
      <c r="C67" s="7">
        <v>0.0</v>
      </c>
      <c r="D67" s="7">
        <v>0.356</v>
      </c>
      <c r="E67" s="7">
        <v>0.0</v>
      </c>
      <c r="F67" s="7">
        <v>0.22</v>
      </c>
      <c r="G67" s="7">
        <v>0.0</v>
      </c>
      <c r="H67" s="7">
        <v>0.307</v>
      </c>
      <c r="I67" s="7">
        <v>0.0</v>
      </c>
    </row>
    <row r="68">
      <c r="A68" s="7" t="s">
        <v>2107</v>
      </c>
      <c r="B68" s="7">
        <v>0.4004</v>
      </c>
      <c r="C68" s="7">
        <v>0.00594138031100516</v>
      </c>
      <c r="D68" s="7">
        <v>0.315</v>
      </c>
      <c r="E68" s="7">
        <v>0.00632455532033676</v>
      </c>
      <c r="F68" s="7">
        <v>0.264</v>
      </c>
      <c r="G68" s="7">
        <v>0.00452769256906871</v>
      </c>
      <c r="H68" s="7">
        <v>0.2408</v>
      </c>
      <c r="I68" s="7">
        <v>0.00544977063737549</v>
      </c>
    </row>
    <row r="69">
      <c r="A69" s="7" t="s">
        <v>2108</v>
      </c>
      <c r="B69" s="7">
        <v>0.396</v>
      </c>
      <c r="C69" s="7">
        <v>0.0</v>
      </c>
      <c r="D69" s="7">
        <v>0.31</v>
      </c>
      <c r="E69" s="7">
        <v>0.0</v>
      </c>
      <c r="F69" s="7">
        <v>0.258</v>
      </c>
      <c r="G69" s="7">
        <v>0.0</v>
      </c>
      <c r="H69" s="7">
        <v>0.234</v>
      </c>
      <c r="I69" s="7">
        <v>0.0</v>
      </c>
    </row>
    <row r="70">
      <c r="A70" s="7" t="s">
        <v>2109</v>
      </c>
      <c r="B70" s="7">
        <v>0.401</v>
      </c>
      <c r="C70" s="7">
        <v>0.0</v>
      </c>
      <c r="D70" s="7">
        <v>0.315</v>
      </c>
      <c r="E70" s="7">
        <v>0.0</v>
      </c>
      <c r="F70" s="7">
        <v>0.266</v>
      </c>
      <c r="G70" s="7">
        <v>0.0</v>
      </c>
      <c r="H70" s="7">
        <v>0.239</v>
      </c>
      <c r="I70" s="7">
        <v>0.0</v>
      </c>
    </row>
    <row r="71">
      <c r="A71" s="7" t="s">
        <v>2110</v>
      </c>
      <c r="B71" s="7">
        <v>0.4214</v>
      </c>
      <c r="C71" s="7">
        <v>0.00789303490426845</v>
      </c>
      <c r="D71" s="7">
        <v>0.3238</v>
      </c>
      <c r="E71" s="7">
        <v>0.0101341008481265</v>
      </c>
      <c r="F71" s="7">
        <v>0.2862</v>
      </c>
      <c r="G71" s="7">
        <v>0.00813633824272319</v>
      </c>
      <c r="H71" s="7">
        <v>0.2636</v>
      </c>
      <c r="I71" s="7">
        <v>0.00782943165242536</v>
      </c>
    </row>
    <row r="72">
      <c r="A72" s="7" t="s">
        <v>2111</v>
      </c>
      <c r="B72" s="7">
        <v>0.423</v>
      </c>
      <c r="C72" s="7">
        <v>0.0</v>
      </c>
      <c r="D72" s="7">
        <v>0.29</v>
      </c>
      <c r="E72" s="7">
        <v>0.0</v>
      </c>
      <c r="F72" s="7">
        <v>0.282</v>
      </c>
      <c r="G72" s="7">
        <v>0.0</v>
      </c>
      <c r="H72" s="7">
        <v>0.237</v>
      </c>
      <c r="I72" s="7">
        <v>0.0</v>
      </c>
    </row>
    <row r="73">
      <c r="A73" s="7" t="s">
        <v>2112</v>
      </c>
      <c r="B73" s="7">
        <v>0.436</v>
      </c>
      <c r="C73" s="7">
        <v>0.0</v>
      </c>
      <c r="D73" s="7">
        <v>0.329</v>
      </c>
      <c r="E73" s="7">
        <v>0.0</v>
      </c>
      <c r="F73" s="7">
        <v>0.3</v>
      </c>
      <c r="G73" s="7">
        <v>0.0</v>
      </c>
      <c r="H73" s="7">
        <v>0.272</v>
      </c>
      <c r="I73" s="7">
        <v>0.0</v>
      </c>
    </row>
    <row r="74">
      <c r="A74" s="7" t="s">
        <v>2113</v>
      </c>
      <c r="B74" s="7">
        <v>0.1274</v>
      </c>
      <c r="C74" s="7">
        <v>0.0208398656425611</v>
      </c>
      <c r="D74" s="7">
        <v>0.226799999999999</v>
      </c>
      <c r="E74" s="7">
        <v>0.0223203942617508</v>
      </c>
      <c r="F74" s="7">
        <v>0.0496</v>
      </c>
      <c r="G74" s="7">
        <v>0.00536656314599949</v>
      </c>
      <c r="H74" s="7">
        <v>0.1264</v>
      </c>
      <c r="I74" s="7">
        <v>0.017952715672009</v>
      </c>
    </row>
    <row r="75">
      <c r="A75" s="7" t="s">
        <v>2114</v>
      </c>
      <c r="B75" s="7">
        <v>0.179</v>
      </c>
      <c r="C75" s="7">
        <v>0.0</v>
      </c>
      <c r="D75" s="7">
        <v>0.221</v>
      </c>
      <c r="E75" s="7">
        <v>0.0</v>
      </c>
      <c r="F75" s="7">
        <v>0.078</v>
      </c>
      <c r="G75" s="7">
        <v>0.0</v>
      </c>
      <c r="H75" s="7">
        <v>0.116</v>
      </c>
      <c r="I75" s="7">
        <v>0.0</v>
      </c>
    </row>
    <row r="76">
      <c r="A76" s="7" t="s">
        <v>2115</v>
      </c>
      <c r="B76" s="7">
        <v>0.154</v>
      </c>
      <c r="C76" s="7">
        <v>0.0</v>
      </c>
      <c r="D76" s="7">
        <v>0.314</v>
      </c>
      <c r="E76" s="7">
        <v>0.0</v>
      </c>
      <c r="F76" s="7">
        <v>0.113</v>
      </c>
      <c r="G76" s="7">
        <v>0.0</v>
      </c>
      <c r="H76" s="7">
        <v>0.291</v>
      </c>
      <c r="I76" s="7">
        <v>0.0</v>
      </c>
    </row>
    <row r="77">
      <c r="A77" s="7" t="s">
        <v>2116</v>
      </c>
      <c r="B77" s="7">
        <v>0.117799999999999</v>
      </c>
      <c r="C77" s="7">
        <v>0.010663020210053</v>
      </c>
      <c r="D77" s="7">
        <v>0.217999999999999</v>
      </c>
      <c r="E77" s="7">
        <v>0.020880613017821</v>
      </c>
      <c r="F77" s="7">
        <v>0.0406</v>
      </c>
      <c r="G77" s="7">
        <v>0.00898888202169769</v>
      </c>
      <c r="H77" s="7">
        <v>0.1326</v>
      </c>
      <c r="I77" s="7">
        <v>0.0301628911081149</v>
      </c>
    </row>
    <row r="78">
      <c r="A78" s="7" t="s">
        <v>2117</v>
      </c>
      <c r="B78" s="7">
        <v>0.165</v>
      </c>
      <c r="C78" s="7">
        <v>0.0</v>
      </c>
      <c r="D78" s="7">
        <v>0.206</v>
      </c>
      <c r="E78" s="7">
        <v>0.0</v>
      </c>
      <c r="F78" s="7">
        <v>0.069</v>
      </c>
      <c r="G78" s="7">
        <v>0.0</v>
      </c>
      <c r="H78" s="7">
        <v>0.123</v>
      </c>
      <c r="I78" s="7">
        <v>0.0</v>
      </c>
    </row>
    <row r="79">
      <c r="A79" s="7" t="s">
        <v>2118</v>
      </c>
      <c r="B79" s="7">
        <v>0.186</v>
      </c>
      <c r="C79" s="7">
        <v>0.0</v>
      </c>
      <c r="D79" s="7">
        <v>0.346</v>
      </c>
      <c r="E79" s="7">
        <v>0.0</v>
      </c>
      <c r="F79" s="7">
        <v>0.128</v>
      </c>
      <c r="G79" s="7">
        <v>0.0</v>
      </c>
      <c r="H79" s="7">
        <v>0.325</v>
      </c>
      <c r="I79" s="7">
        <v>0.0</v>
      </c>
    </row>
    <row r="80">
      <c r="A80" s="7" t="s">
        <v>2119</v>
      </c>
      <c r="B80" s="7">
        <v>0.1008</v>
      </c>
      <c r="C80" s="7">
        <v>0.0137368118571959</v>
      </c>
      <c r="D80" s="7">
        <v>0.199</v>
      </c>
      <c r="E80" s="7">
        <v>0.0116619037896906</v>
      </c>
      <c r="F80" s="7">
        <v>0.034</v>
      </c>
      <c r="G80" s="7">
        <v>0.00663324958071079</v>
      </c>
      <c r="H80" s="7">
        <v>0.1034</v>
      </c>
      <c r="I80" s="7">
        <v>0.0193726611491555</v>
      </c>
    </row>
    <row r="81">
      <c r="A81" s="7" t="s">
        <v>2120</v>
      </c>
      <c r="B81" s="7">
        <v>0.157</v>
      </c>
      <c r="C81" s="7">
        <v>0.0</v>
      </c>
      <c r="D81" s="7">
        <v>0.208</v>
      </c>
      <c r="E81" s="7">
        <v>0.0</v>
      </c>
      <c r="F81" s="7">
        <v>0.059</v>
      </c>
      <c r="G81" s="7">
        <v>0.0</v>
      </c>
      <c r="H81" s="7">
        <v>0.111</v>
      </c>
      <c r="I81" s="7">
        <v>0.0</v>
      </c>
    </row>
    <row r="82">
      <c r="A82" s="7" t="s">
        <v>2121</v>
      </c>
      <c r="B82" s="7">
        <v>0.109</v>
      </c>
      <c r="C82" s="7">
        <v>0.0</v>
      </c>
      <c r="D82" s="7">
        <v>0.284</v>
      </c>
      <c r="E82" s="7">
        <v>0.0</v>
      </c>
      <c r="F82" s="7">
        <v>0.092</v>
      </c>
      <c r="G82" s="7">
        <v>0.0</v>
      </c>
      <c r="H82" s="7">
        <v>0.274</v>
      </c>
      <c r="I82" s="7">
        <v>0.0</v>
      </c>
    </row>
    <row r="83">
      <c r="A83" s="7" t="s">
        <v>2122</v>
      </c>
      <c r="B83" s="7">
        <v>0.1424</v>
      </c>
      <c r="C83" s="7">
        <v>0.0142407864951343</v>
      </c>
      <c r="D83" s="7">
        <v>0.2558</v>
      </c>
      <c r="E83" s="7">
        <v>0.0149566038925954</v>
      </c>
      <c r="F83" s="7">
        <v>0.0802</v>
      </c>
      <c r="G83" s="7">
        <v>0.0145155089473294</v>
      </c>
      <c r="H83" s="7">
        <v>0.191</v>
      </c>
      <c r="I83" s="7">
        <v>0.0240208242989286</v>
      </c>
    </row>
    <row r="84">
      <c r="A84" s="7" t="s">
        <v>2123</v>
      </c>
      <c r="B84" s="7">
        <v>0.19</v>
      </c>
      <c r="C84" s="7">
        <v>0.0</v>
      </c>
      <c r="D84" s="7">
        <v>0.204</v>
      </c>
      <c r="E84" s="7">
        <v>0.0</v>
      </c>
      <c r="F84" s="7">
        <v>0.108</v>
      </c>
      <c r="G84" s="7">
        <v>0.0</v>
      </c>
      <c r="H84" s="7">
        <v>0.13</v>
      </c>
      <c r="I84" s="7">
        <v>0.0</v>
      </c>
    </row>
    <row r="85">
      <c r="A85" s="7" t="s">
        <v>2124</v>
      </c>
      <c r="B85" s="7">
        <v>0.15</v>
      </c>
      <c r="C85" s="7">
        <v>0.0</v>
      </c>
      <c r="D85" s="7">
        <v>0.316</v>
      </c>
      <c r="E85" s="7">
        <v>0.0</v>
      </c>
      <c r="F85" s="7">
        <v>0.109</v>
      </c>
      <c r="G85" s="7">
        <v>0.0</v>
      </c>
      <c r="H85" s="7">
        <v>0.283</v>
      </c>
      <c r="I85" s="7">
        <v>0.0</v>
      </c>
    </row>
    <row r="86">
      <c r="A86" s="7" t="s">
        <v>2125</v>
      </c>
      <c r="B86" s="7">
        <v>0.1246</v>
      </c>
      <c r="C86" s="7">
        <v>0.0171842951557519</v>
      </c>
      <c r="D86" s="7">
        <v>0.2382</v>
      </c>
      <c r="E86" s="7">
        <v>0.0277254395817271</v>
      </c>
      <c r="F86" s="7">
        <v>0.0576</v>
      </c>
      <c r="G86" s="7">
        <v>0.0218013761033564</v>
      </c>
      <c r="H86" s="7">
        <v>0.166999999999999</v>
      </c>
      <c r="I86" s="7">
        <v>0.0513078941294612</v>
      </c>
    </row>
    <row r="87">
      <c r="A87" s="7" t="s">
        <v>2126</v>
      </c>
      <c r="B87" s="7">
        <v>0.174</v>
      </c>
      <c r="C87" s="7">
        <v>0.0</v>
      </c>
      <c r="D87" s="7">
        <v>0.219</v>
      </c>
      <c r="E87" s="7">
        <v>0.0</v>
      </c>
      <c r="F87" s="7">
        <v>0.077</v>
      </c>
      <c r="G87" s="7">
        <v>0.0</v>
      </c>
      <c r="H87" s="7">
        <v>0.144</v>
      </c>
      <c r="I87" s="7">
        <v>0.0</v>
      </c>
    </row>
    <row r="88">
      <c r="A88" s="7" t="s">
        <v>2127</v>
      </c>
      <c r="B88" s="7">
        <v>0.174</v>
      </c>
      <c r="C88" s="7">
        <v>0.0</v>
      </c>
      <c r="D88" s="7">
        <v>0.337</v>
      </c>
      <c r="E88" s="7">
        <v>0.0</v>
      </c>
      <c r="F88" s="7">
        <v>0.135</v>
      </c>
      <c r="G88" s="7">
        <v>0.0</v>
      </c>
      <c r="H88" s="7">
        <v>0.316</v>
      </c>
      <c r="I88" s="7">
        <v>0.0</v>
      </c>
    </row>
    <row r="89">
      <c r="A89" s="7" t="s">
        <v>2128</v>
      </c>
      <c r="B89" s="7">
        <v>0.1028</v>
      </c>
      <c r="C89" s="7">
        <v>0.00729383301152418</v>
      </c>
      <c r="D89" s="7">
        <v>0.2018</v>
      </c>
      <c r="E89" s="7">
        <v>0.00697853852894715</v>
      </c>
      <c r="F89" s="7">
        <v>0.0496</v>
      </c>
      <c r="G89" s="7">
        <v>0.00606630035524124</v>
      </c>
      <c r="H89" s="7">
        <v>0.1274</v>
      </c>
      <c r="I89" s="7">
        <v>0.0171260036202261</v>
      </c>
    </row>
    <row r="90">
      <c r="A90" s="7" t="s">
        <v>2129</v>
      </c>
      <c r="B90" s="7">
        <v>0.161</v>
      </c>
      <c r="C90" s="7">
        <v>0.0</v>
      </c>
      <c r="D90" s="7">
        <v>0.206</v>
      </c>
      <c r="E90" s="7">
        <v>0.0</v>
      </c>
      <c r="F90" s="7">
        <v>0.077</v>
      </c>
      <c r="G90" s="7">
        <v>0.0</v>
      </c>
      <c r="H90" s="7">
        <v>0.119</v>
      </c>
      <c r="I90" s="7">
        <v>0.0</v>
      </c>
    </row>
    <row r="91">
      <c r="A91" s="7" t="s">
        <v>2130</v>
      </c>
      <c r="B91" s="7">
        <v>0.178</v>
      </c>
      <c r="C91" s="7">
        <v>0.0</v>
      </c>
      <c r="D91" s="7">
        <v>0.349</v>
      </c>
      <c r="E91" s="7">
        <v>0.0</v>
      </c>
      <c r="F91" s="7">
        <v>0.143</v>
      </c>
      <c r="G91" s="7">
        <v>0.0</v>
      </c>
      <c r="H91" s="7">
        <v>0.327</v>
      </c>
      <c r="I91" s="7">
        <v>0.0</v>
      </c>
    </row>
    <row r="92">
      <c r="A92" s="7" t="s">
        <v>2131</v>
      </c>
      <c r="B92" s="7">
        <v>0.179199999999999</v>
      </c>
      <c r="C92" s="7">
        <v>0.0168285471743701</v>
      </c>
      <c r="D92" s="7">
        <v>0.294799999999999</v>
      </c>
      <c r="E92" s="7">
        <v>0.0151062900806253</v>
      </c>
      <c r="F92" s="7">
        <v>0.1202</v>
      </c>
      <c r="G92" s="7">
        <v>0.00798122797569396</v>
      </c>
      <c r="H92" s="7">
        <v>0.258399999999999</v>
      </c>
      <c r="I92" s="7">
        <v>0.00947628619238571</v>
      </c>
    </row>
    <row r="93">
      <c r="A93" s="7" t="s">
        <v>2132</v>
      </c>
      <c r="B93" s="7">
        <v>0.212</v>
      </c>
      <c r="C93" s="7">
        <v>0.0</v>
      </c>
      <c r="D93" s="7">
        <v>0.238</v>
      </c>
      <c r="E93" s="7">
        <v>0.0</v>
      </c>
      <c r="F93" s="7">
        <v>0.133</v>
      </c>
      <c r="G93" s="7">
        <v>0.0</v>
      </c>
      <c r="H93" s="7">
        <v>0.185</v>
      </c>
      <c r="I93" s="7">
        <v>0.0</v>
      </c>
    </row>
    <row r="94">
      <c r="A94" s="7" t="s">
        <v>2133</v>
      </c>
      <c r="B94" s="7">
        <v>0.197</v>
      </c>
      <c r="C94" s="7">
        <v>0.0</v>
      </c>
      <c r="D94" s="7">
        <v>0.338</v>
      </c>
      <c r="E94" s="7">
        <v>0.0</v>
      </c>
      <c r="F94" s="7">
        <v>0.148</v>
      </c>
      <c r="G94" s="7">
        <v>0.0</v>
      </c>
      <c r="H94" s="7">
        <v>0.315</v>
      </c>
      <c r="I94" s="7">
        <v>0.0</v>
      </c>
    </row>
    <row r="95">
      <c r="A95" s="7" t="s">
        <v>2134</v>
      </c>
      <c r="B95" s="7">
        <v>0.1666</v>
      </c>
      <c r="C95" s="7">
        <v>0.0234158066271482</v>
      </c>
      <c r="D95" s="7">
        <v>0.2812</v>
      </c>
      <c r="E95" s="7">
        <v>0.0239207023308263</v>
      </c>
      <c r="F95" s="7">
        <v>0.1056</v>
      </c>
      <c r="G95" s="7">
        <v>0.0133902949930163</v>
      </c>
      <c r="H95" s="7">
        <v>0.2464</v>
      </c>
      <c r="I95" s="7">
        <v>0.024480604567698</v>
      </c>
    </row>
    <row r="96">
      <c r="A96" s="7" t="s">
        <v>2135</v>
      </c>
      <c r="B96" s="7">
        <v>0.203</v>
      </c>
      <c r="C96" s="7">
        <v>0.0</v>
      </c>
      <c r="D96" s="7">
        <v>0.232</v>
      </c>
      <c r="E96" s="7">
        <v>0.0</v>
      </c>
      <c r="F96" s="7">
        <v>0.118</v>
      </c>
      <c r="G96" s="7">
        <v>0.0</v>
      </c>
      <c r="H96" s="7">
        <v>0.183</v>
      </c>
      <c r="I96" s="7">
        <v>0.0</v>
      </c>
    </row>
    <row r="97">
      <c r="A97" s="7" t="s">
        <v>2136</v>
      </c>
      <c r="B97" s="7">
        <v>0.196</v>
      </c>
      <c r="C97" s="7">
        <v>0.0</v>
      </c>
      <c r="D97" s="7">
        <v>0.347</v>
      </c>
      <c r="E97" s="7">
        <v>0.0</v>
      </c>
      <c r="F97" s="7">
        <v>0.142</v>
      </c>
      <c r="G97" s="7">
        <v>0.0</v>
      </c>
      <c r="H97" s="7">
        <v>0.318</v>
      </c>
      <c r="I97" s="7">
        <v>0.0</v>
      </c>
    </row>
    <row r="98">
      <c r="A98" s="7" t="s">
        <v>2138</v>
      </c>
      <c r="B98" s="7">
        <v>0.4516</v>
      </c>
      <c r="C98" s="7">
        <v>0.0165015150819553</v>
      </c>
      <c r="D98" s="7">
        <v>0.3674</v>
      </c>
      <c r="E98" s="7">
        <v>0.0124619420637395</v>
      </c>
      <c r="F98" s="7">
        <v>0.2602</v>
      </c>
      <c r="G98" s="7">
        <v>0.0178661691473018</v>
      </c>
      <c r="H98" s="7">
        <v>0.2942</v>
      </c>
      <c r="I98" s="7">
        <v>0.0163003067455799</v>
      </c>
    </row>
    <row r="99">
      <c r="A99" s="7" t="s">
        <v>2139</v>
      </c>
      <c r="B99" s="7">
        <v>0.496</v>
      </c>
      <c r="C99" s="7">
        <v>0.0</v>
      </c>
      <c r="D99" s="7">
        <v>0.337</v>
      </c>
      <c r="E99" s="7">
        <v>0.0</v>
      </c>
      <c r="F99" s="7">
        <v>0.295</v>
      </c>
      <c r="G99" s="7">
        <v>0.0</v>
      </c>
      <c r="H99" s="7">
        <v>0.263</v>
      </c>
      <c r="I99" s="7">
        <v>0.0</v>
      </c>
    </row>
    <row r="100">
      <c r="A100" s="7" t="s">
        <v>2140</v>
      </c>
      <c r="B100" s="7">
        <v>0.442</v>
      </c>
      <c r="C100" s="7">
        <v>0.0</v>
      </c>
      <c r="D100" s="7">
        <v>0.376</v>
      </c>
      <c r="E100" s="7">
        <v>0.0</v>
      </c>
      <c r="F100" s="7">
        <v>0.269</v>
      </c>
      <c r="G100" s="7">
        <v>0.0</v>
      </c>
      <c r="H100" s="7">
        <v>0.311</v>
      </c>
      <c r="I100" s="7">
        <v>0.0</v>
      </c>
    </row>
    <row r="101">
      <c r="A101" s="7" t="s">
        <v>2141</v>
      </c>
      <c r="B101" s="7">
        <v>0.453599999999999</v>
      </c>
      <c r="C101" s="7">
        <v>0.0247951608181919</v>
      </c>
      <c r="D101" s="7">
        <v>0.359199999999999</v>
      </c>
      <c r="E101" s="7">
        <v>0.00887130204648675</v>
      </c>
      <c r="F101" s="7">
        <v>0.2698</v>
      </c>
      <c r="G101" s="7">
        <v>0.0159749804381726</v>
      </c>
      <c r="H101" s="7">
        <v>0.3004</v>
      </c>
      <c r="I101" s="7">
        <v>0.00955510334847301</v>
      </c>
    </row>
    <row r="102">
      <c r="A102" s="7" t="s">
        <v>2142</v>
      </c>
      <c r="B102" s="7">
        <v>0.485</v>
      </c>
      <c r="C102" s="7">
        <v>0.0</v>
      </c>
      <c r="D102" s="7">
        <v>0.338</v>
      </c>
      <c r="E102" s="7">
        <v>0.0</v>
      </c>
      <c r="F102" s="7">
        <v>0.292</v>
      </c>
      <c r="G102" s="7">
        <v>0.0</v>
      </c>
      <c r="H102" s="7">
        <v>0.256</v>
      </c>
      <c r="I102" s="7">
        <v>0.0</v>
      </c>
    </row>
    <row r="103">
      <c r="A103" s="7" t="s">
        <v>2143</v>
      </c>
      <c r="B103" s="7">
        <v>0.467</v>
      </c>
      <c r="C103" s="7">
        <v>0.0</v>
      </c>
      <c r="D103" s="7">
        <v>0.36</v>
      </c>
      <c r="E103" s="7">
        <v>0.0</v>
      </c>
      <c r="F103" s="7">
        <v>0.294</v>
      </c>
      <c r="G103" s="7">
        <v>0.0</v>
      </c>
      <c r="H103" s="7">
        <v>0.322</v>
      </c>
      <c r="I103" s="7">
        <v>0.0</v>
      </c>
    </row>
    <row r="104">
      <c r="A104" s="7" t="s">
        <v>2144</v>
      </c>
      <c r="B104" s="7">
        <v>0.4682</v>
      </c>
      <c r="C104" s="7">
        <v>0.00852642949891686</v>
      </c>
      <c r="D104" s="7">
        <v>0.3702</v>
      </c>
      <c r="E104" s="7">
        <v>0.00819756061276768</v>
      </c>
      <c r="F104" s="7">
        <v>0.285599999999999</v>
      </c>
      <c r="G104" s="7">
        <v>0.00770064932327136</v>
      </c>
      <c r="H104" s="7">
        <v>0.3056</v>
      </c>
      <c r="I104" s="7">
        <v>0.00568330889535313</v>
      </c>
    </row>
    <row r="105">
      <c r="A105" s="7" t="s">
        <v>2145</v>
      </c>
      <c r="B105" s="7">
        <v>0.502</v>
      </c>
      <c r="C105" s="7">
        <v>0.0</v>
      </c>
      <c r="D105" s="7">
        <v>0.355</v>
      </c>
      <c r="E105" s="7">
        <v>0.0</v>
      </c>
      <c r="F105" s="7">
        <v>0.301</v>
      </c>
      <c r="G105" s="7">
        <v>0.0</v>
      </c>
      <c r="H105" s="7">
        <v>0.269</v>
      </c>
      <c r="I105" s="7">
        <v>0.0</v>
      </c>
    </row>
    <row r="106">
      <c r="A106" s="7" t="s">
        <v>2146</v>
      </c>
      <c r="B106" s="7">
        <v>0.479</v>
      </c>
      <c r="C106" s="7">
        <v>0.0</v>
      </c>
      <c r="D106" s="7">
        <v>0.365</v>
      </c>
      <c r="E106" s="7">
        <v>0.0</v>
      </c>
      <c r="F106" s="7">
        <v>0.307</v>
      </c>
      <c r="G106" s="7">
        <v>0.0</v>
      </c>
      <c r="H106" s="7">
        <v>0.318</v>
      </c>
      <c r="I106" s="7">
        <v>0.0</v>
      </c>
    </row>
    <row r="107">
      <c r="A107" s="7" t="s">
        <v>2147</v>
      </c>
      <c r="B107" s="7">
        <v>0.469</v>
      </c>
      <c r="C107" s="7">
        <v>0.0131909059582729</v>
      </c>
      <c r="D107" s="7">
        <v>0.372799999999999</v>
      </c>
      <c r="E107" s="7">
        <v>0.00672309452558865</v>
      </c>
      <c r="F107" s="7">
        <v>0.265399999999999</v>
      </c>
      <c r="G107" s="7">
        <v>0.013831124321616</v>
      </c>
      <c r="H107" s="7">
        <v>0.288599999999999</v>
      </c>
      <c r="I107" s="7">
        <v>0.00931665175908168</v>
      </c>
    </row>
    <row r="108">
      <c r="A108" s="7" t="s">
        <v>2148</v>
      </c>
      <c r="B108" s="7">
        <v>0.502</v>
      </c>
      <c r="C108" s="7">
        <v>0.0</v>
      </c>
      <c r="D108" s="7">
        <v>0.358</v>
      </c>
      <c r="E108" s="7">
        <v>0.0</v>
      </c>
      <c r="F108" s="7">
        <v>0.283</v>
      </c>
      <c r="G108" s="7">
        <v>0.0</v>
      </c>
      <c r="H108" s="7">
        <v>0.26</v>
      </c>
      <c r="I108" s="7">
        <v>0.0</v>
      </c>
    </row>
    <row r="109">
      <c r="A109" s="7" t="s">
        <v>2149</v>
      </c>
      <c r="B109" s="7">
        <v>0.469</v>
      </c>
      <c r="C109" s="7">
        <v>0.0</v>
      </c>
      <c r="D109" s="7">
        <v>0.382</v>
      </c>
      <c r="E109" s="7">
        <v>0.0</v>
      </c>
      <c r="F109" s="7">
        <v>0.285</v>
      </c>
      <c r="G109" s="7">
        <v>0.0</v>
      </c>
      <c r="H109" s="7">
        <v>0.297</v>
      </c>
      <c r="I109" s="7">
        <v>0.0</v>
      </c>
    </row>
    <row r="110">
      <c r="A110" s="7" t="s">
        <v>2150</v>
      </c>
      <c r="B110" s="7">
        <v>0.45</v>
      </c>
      <c r="C110" s="7">
        <v>0.0197863589374093</v>
      </c>
      <c r="D110" s="7">
        <v>0.3626</v>
      </c>
      <c r="E110" s="7">
        <v>0.00403732584763727</v>
      </c>
      <c r="F110" s="7">
        <v>0.2692</v>
      </c>
      <c r="G110" s="7">
        <v>0.0152216950435882</v>
      </c>
      <c r="H110" s="7">
        <v>0.303</v>
      </c>
      <c r="I110" s="7">
        <v>0.0177059312096257</v>
      </c>
    </row>
    <row r="111">
      <c r="A111" s="7" t="s">
        <v>2151</v>
      </c>
      <c r="B111" s="7">
        <v>0.465</v>
      </c>
      <c r="C111" s="7">
        <v>0.0</v>
      </c>
      <c r="D111" s="7">
        <v>0.349</v>
      </c>
      <c r="E111" s="7">
        <v>0.0</v>
      </c>
      <c r="F111" s="7">
        <v>0.285</v>
      </c>
      <c r="G111" s="7">
        <v>0.0</v>
      </c>
      <c r="H111" s="7">
        <v>0.263</v>
      </c>
      <c r="I111" s="7">
        <v>0.0</v>
      </c>
    </row>
    <row r="112">
      <c r="A112" s="7" t="s">
        <v>2152</v>
      </c>
      <c r="B112" s="7">
        <v>0.452</v>
      </c>
      <c r="C112" s="7">
        <v>0.0</v>
      </c>
      <c r="D112" s="7">
        <v>0.36</v>
      </c>
      <c r="E112" s="7">
        <v>0.0</v>
      </c>
      <c r="F112" s="7">
        <v>0.281</v>
      </c>
      <c r="G112" s="7">
        <v>0.0</v>
      </c>
      <c r="H112" s="7">
        <v>0.314</v>
      </c>
      <c r="I112" s="7">
        <v>0.0</v>
      </c>
    </row>
    <row r="113">
      <c r="A113" s="7" t="s">
        <v>2153</v>
      </c>
      <c r="B113" s="7">
        <v>0.4574</v>
      </c>
      <c r="C113" s="7">
        <v>0.00955510334847301</v>
      </c>
      <c r="D113" s="7">
        <v>0.3656</v>
      </c>
      <c r="E113" s="7">
        <v>0.00896102672688795</v>
      </c>
      <c r="F113" s="7">
        <v>0.267</v>
      </c>
      <c r="G113" s="7">
        <v>0.0130958008537087</v>
      </c>
      <c r="H113" s="7">
        <v>0.288</v>
      </c>
      <c r="I113" s="7">
        <v>0.0147309198626562</v>
      </c>
    </row>
    <row r="114">
      <c r="A114" s="7" t="s">
        <v>2154</v>
      </c>
      <c r="B114" s="7">
        <v>0.491</v>
      </c>
      <c r="C114" s="7">
        <v>0.0</v>
      </c>
      <c r="D114" s="7">
        <v>0.35</v>
      </c>
      <c r="E114" s="7">
        <v>0.0</v>
      </c>
      <c r="F114" s="7">
        <v>0.276</v>
      </c>
      <c r="G114" s="7">
        <v>0.0</v>
      </c>
      <c r="H114" s="7">
        <v>0.253</v>
      </c>
      <c r="I114" s="7">
        <v>0.0</v>
      </c>
    </row>
    <row r="115">
      <c r="A115" s="7" t="s">
        <v>2156</v>
      </c>
      <c r="B115" s="7">
        <v>0.474</v>
      </c>
      <c r="C115" s="7">
        <v>0.0</v>
      </c>
      <c r="D115" s="7">
        <v>0.374</v>
      </c>
      <c r="E115" s="7">
        <v>0.0</v>
      </c>
      <c r="F115" s="7">
        <v>0.294</v>
      </c>
      <c r="G115" s="7">
        <v>0.0</v>
      </c>
      <c r="H115" s="7">
        <v>0.312</v>
      </c>
      <c r="I115" s="7">
        <v>0.0</v>
      </c>
    </row>
    <row r="116">
      <c r="A116" s="7" t="s">
        <v>2157</v>
      </c>
      <c r="B116" s="7">
        <v>0.5206</v>
      </c>
      <c r="C116" s="7">
        <v>0.0145361618042728</v>
      </c>
      <c r="D116" s="7">
        <v>0.3642</v>
      </c>
      <c r="E116" s="7">
        <v>0.00396232255123179</v>
      </c>
      <c r="F116" s="7">
        <v>0.3216</v>
      </c>
      <c r="G116" s="7">
        <v>0.0265386510584091</v>
      </c>
      <c r="H116" s="7">
        <v>0.2968</v>
      </c>
      <c r="I116" s="7">
        <v>0.0142723508925474</v>
      </c>
    </row>
    <row r="117">
      <c r="A117" s="7" t="s">
        <v>2158</v>
      </c>
      <c r="B117" s="7">
        <v>0.538</v>
      </c>
      <c r="C117" s="7">
        <v>0.0</v>
      </c>
      <c r="D117" s="7">
        <v>0.317</v>
      </c>
      <c r="E117" s="7">
        <v>0.0</v>
      </c>
      <c r="F117" s="7">
        <v>0.338</v>
      </c>
      <c r="G117" s="7">
        <v>0.0</v>
      </c>
      <c r="H117" s="7">
        <v>0.246</v>
      </c>
      <c r="I117" s="7">
        <v>0.0</v>
      </c>
    </row>
    <row r="118">
      <c r="A118" s="7" t="s">
        <v>2159</v>
      </c>
      <c r="B118" s="7">
        <v>0.532</v>
      </c>
      <c r="C118" s="7">
        <v>0.0</v>
      </c>
      <c r="D118" s="7">
        <v>0.37</v>
      </c>
      <c r="E118" s="7">
        <v>0.0</v>
      </c>
      <c r="F118" s="7">
        <v>0.34</v>
      </c>
      <c r="G118" s="7">
        <v>0.0</v>
      </c>
      <c r="H118" s="7">
        <v>0.316</v>
      </c>
      <c r="I118" s="7">
        <v>0.0</v>
      </c>
    </row>
    <row r="119">
      <c r="A119" s="7" t="s">
        <v>2160</v>
      </c>
      <c r="B119" s="7">
        <v>0.4858</v>
      </c>
      <c r="C119" s="7">
        <v>0.0230802946255025</v>
      </c>
      <c r="D119" s="7">
        <v>0.3696</v>
      </c>
      <c r="E119" s="7">
        <v>0.00598331012066064</v>
      </c>
      <c r="F119" s="7">
        <v>0.301799999999999</v>
      </c>
      <c r="G119" s="7">
        <v>0.0145155089473293</v>
      </c>
      <c r="H119" s="7">
        <v>0.3046</v>
      </c>
      <c r="I119" s="7">
        <v>0.00610737259384099</v>
      </c>
    </row>
    <row r="120">
      <c r="A120" s="7" t="s">
        <v>2161</v>
      </c>
      <c r="B120" s="7">
        <v>0.34</v>
      </c>
      <c r="C120" s="7">
        <v>0.0</v>
      </c>
      <c r="D120" s="7">
        <v>0.252</v>
      </c>
      <c r="E120" s="7">
        <v>0.0</v>
      </c>
      <c r="F120" s="7">
        <v>0.195</v>
      </c>
      <c r="G120" s="7">
        <v>0.0</v>
      </c>
      <c r="H120" s="7">
        <v>0.193</v>
      </c>
      <c r="I120" s="7">
        <v>0.0</v>
      </c>
    </row>
    <row r="121">
      <c r="A121" s="7" t="s">
        <v>2162</v>
      </c>
      <c r="B121" s="7">
        <v>0.105</v>
      </c>
      <c r="C121" s="7">
        <v>0.0</v>
      </c>
      <c r="D121" s="7">
        <v>0.241</v>
      </c>
      <c r="E121" s="7">
        <v>0.0</v>
      </c>
      <c r="F121" s="7">
        <v>0.036</v>
      </c>
      <c r="G121" s="7">
        <v>0.0</v>
      </c>
      <c r="H121" s="7">
        <v>0.115</v>
      </c>
      <c r="I121" s="7">
        <v>0.0</v>
      </c>
    </row>
    <row r="122">
      <c r="A122" s="7" t="s">
        <v>2163</v>
      </c>
      <c r="B122" s="7">
        <v>0.3014</v>
      </c>
      <c r="C122" s="7">
        <v>0.0337905312180794</v>
      </c>
      <c r="D122" s="7">
        <v>0.360199999999999</v>
      </c>
      <c r="E122" s="7">
        <v>0.00807465169527454</v>
      </c>
      <c r="F122" s="7">
        <v>0.1844</v>
      </c>
      <c r="G122" s="7">
        <v>0.0272451830604971</v>
      </c>
      <c r="H122" s="7">
        <v>0.325</v>
      </c>
      <c r="I122" s="7">
        <v>0.0147986485869487</v>
      </c>
    </row>
    <row r="123">
      <c r="A123" s="7" t="s">
        <v>2164</v>
      </c>
      <c r="B123" s="7">
        <v>0.377</v>
      </c>
      <c r="C123" s="7">
        <v>0.0</v>
      </c>
      <c r="D123" s="7">
        <v>0.217</v>
      </c>
      <c r="E123" s="7">
        <v>0.0</v>
      </c>
      <c r="F123" s="7">
        <v>0.214</v>
      </c>
      <c r="G123" s="7">
        <v>0.0</v>
      </c>
      <c r="H123" s="7">
        <v>0.2</v>
      </c>
      <c r="I123" s="7">
        <v>0.0</v>
      </c>
    </row>
    <row r="124">
      <c r="A124" s="7" t="s">
        <v>2165</v>
      </c>
      <c r="B124" s="7">
        <v>0.323</v>
      </c>
      <c r="C124" s="7">
        <v>0.0</v>
      </c>
      <c r="D124" s="7">
        <v>0.39</v>
      </c>
      <c r="E124" s="7">
        <v>0.0</v>
      </c>
      <c r="F124" s="7">
        <v>0.212</v>
      </c>
      <c r="G124" s="7">
        <v>0.0</v>
      </c>
      <c r="H124" s="7">
        <v>0.369</v>
      </c>
      <c r="I124" s="7">
        <v>0.0</v>
      </c>
    </row>
    <row r="125">
      <c r="A125" s="7" t="s">
        <v>2166</v>
      </c>
      <c r="B125" s="7">
        <v>0.2652</v>
      </c>
      <c r="C125" s="7">
        <v>0.0194345053963305</v>
      </c>
      <c r="D125" s="7">
        <v>0.3088</v>
      </c>
      <c r="E125" s="7">
        <v>0.0157384878562078</v>
      </c>
      <c r="F125" s="7">
        <v>0.0809999999999999</v>
      </c>
      <c r="G125" s="7">
        <v>0.0105356537528527</v>
      </c>
      <c r="H125" s="7">
        <v>0.187399999999999</v>
      </c>
      <c r="I125" s="7">
        <v>0.0181052478580106</v>
      </c>
    </row>
    <row r="126">
      <c r="A126" s="7" t="s">
        <v>2167</v>
      </c>
      <c r="B126" s="7">
        <v>0.314</v>
      </c>
      <c r="C126" s="7">
        <v>0.0</v>
      </c>
      <c r="D126" s="7">
        <v>0.238</v>
      </c>
      <c r="E126" s="7">
        <v>0.0</v>
      </c>
      <c r="F126" s="7">
        <v>0.114</v>
      </c>
      <c r="G126" s="7">
        <v>0.0</v>
      </c>
      <c r="H126" s="7">
        <v>0.14</v>
      </c>
      <c r="I126" s="7">
        <v>0.0</v>
      </c>
    </row>
    <row r="127">
      <c r="A127" s="7" t="s">
        <v>2168</v>
      </c>
      <c r="B127" s="7">
        <v>0.316</v>
      </c>
      <c r="C127" s="7">
        <v>0.0</v>
      </c>
      <c r="D127" s="7">
        <v>0.391</v>
      </c>
      <c r="E127" s="7">
        <v>0.0</v>
      </c>
      <c r="F127" s="7">
        <v>0.145</v>
      </c>
      <c r="G127" s="7">
        <v>0.0</v>
      </c>
      <c r="H127" s="7">
        <v>0.326</v>
      </c>
      <c r="I127" s="7">
        <v>0.0</v>
      </c>
    </row>
    <row r="128">
      <c r="A128" s="7" t="s">
        <v>2169</v>
      </c>
      <c r="B128" s="7">
        <v>0.2814</v>
      </c>
      <c r="C128" s="7">
        <v>0.0261208728797488</v>
      </c>
      <c r="D128" s="7">
        <v>0.3634</v>
      </c>
      <c r="E128" s="7">
        <v>0.0154693244842817</v>
      </c>
      <c r="F128" s="7">
        <v>0.1774</v>
      </c>
      <c r="G128" s="7">
        <v>0.0316749112074525</v>
      </c>
      <c r="H128" s="7">
        <v>0.3296</v>
      </c>
      <c r="I128" s="7">
        <v>0.0215476216785054</v>
      </c>
    </row>
    <row r="129">
      <c r="A129" s="7" t="s">
        <v>2170</v>
      </c>
      <c r="B129" s="7">
        <v>0.361</v>
      </c>
      <c r="C129" s="7">
        <v>0.0</v>
      </c>
      <c r="D129" s="7">
        <v>0.196</v>
      </c>
      <c r="E129" s="7">
        <v>0.0</v>
      </c>
      <c r="F129" s="7">
        <v>0.189</v>
      </c>
      <c r="G129" s="7">
        <v>0.0</v>
      </c>
      <c r="H129" s="7">
        <v>0.176</v>
      </c>
      <c r="I129" s="7">
        <v>0.0</v>
      </c>
    </row>
    <row r="130">
      <c r="A130" s="7" t="s">
        <v>2171</v>
      </c>
      <c r="B130" s="7">
        <v>0.323</v>
      </c>
      <c r="C130" s="7">
        <v>0.0</v>
      </c>
      <c r="D130" s="7">
        <v>0.416</v>
      </c>
      <c r="E130" s="7">
        <v>0.0</v>
      </c>
      <c r="F130" s="7">
        <v>0.237</v>
      </c>
      <c r="G130" s="7">
        <v>0.0</v>
      </c>
      <c r="H130" s="7">
        <v>0.399</v>
      </c>
      <c r="I130" s="7">
        <v>0.0</v>
      </c>
    </row>
    <row r="131">
      <c r="A131" s="7" t="s">
        <v>2172</v>
      </c>
      <c r="B131" s="7">
        <v>0.2952</v>
      </c>
      <c r="C131" s="7">
        <v>0.0257040852784143</v>
      </c>
      <c r="D131" s="7">
        <v>0.350399999999999</v>
      </c>
      <c r="E131" s="7">
        <v>0.0142232204510792</v>
      </c>
      <c r="F131" s="7">
        <v>0.1818</v>
      </c>
      <c r="G131" s="7">
        <v>0.026061465806819</v>
      </c>
      <c r="H131" s="7">
        <v>0.3156</v>
      </c>
      <c r="I131" s="7">
        <v>0.0212790977252326</v>
      </c>
    </row>
    <row r="132">
      <c r="A132" s="7" t="s">
        <v>2173</v>
      </c>
      <c r="B132" s="7">
        <v>0.387</v>
      </c>
      <c r="C132" s="7">
        <v>0.0</v>
      </c>
      <c r="D132" s="7">
        <v>0.203</v>
      </c>
      <c r="E132" s="7">
        <v>0.0</v>
      </c>
      <c r="F132" s="7">
        <v>0.226</v>
      </c>
      <c r="G132" s="7">
        <v>0.0</v>
      </c>
      <c r="H132" s="7">
        <v>0.207</v>
      </c>
      <c r="I132" s="7">
        <v>0.0</v>
      </c>
    </row>
    <row r="133">
      <c r="A133" s="7" t="s">
        <v>2174</v>
      </c>
      <c r="B133" s="7">
        <v>0.302</v>
      </c>
      <c r="C133" s="7">
        <v>0.0</v>
      </c>
      <c r="D133" s="7">
        <v>0.375</v>
      </c>
      <c r="E133" s="7">
        <v>0.0</v>
      </c>
      <c r="F133" s="7">
        <v>0.196</v>
      </c>
      <c r="G133" s="7">
        <v>0.0</v>
      </c>
      <c r="H133" s="7">
        <v>0.341</v>
      </c>
      <c r="I133" s="7">
        <v>0.0</v>
      </c>
    </row>
    <row r="134">
      <c r="A134" s="7" t="s">
        <v>2175</v>
      </c>
      <c r="B134" s="7">
        <v>0.2804</v>
      </c>
      <c r="C134" s="7">
        <v>0.0299132077851908</v>
      </c>
      <c r="D134" s="7">
        <v>0.3352</v>
      </c>
      <c r="E134" s="7">
        <v>0.0154175224987674</v>
      </c>
      <c r="F134" s="7">
        <v>0.136</v>
      </c>
      <c r="G134" s="7">
        <v>0.0230217288664426</v>
      </c>
      <c r="H134" s="7">
        <v>0.2764</v>
      </c>
      <c r="I134" s="7">
        <v>0.0271532686798477</v>
      </c>
    </row>
    <row r="135">
      <c r="A135" s="7" t="s">
        <v>2176</v>
      </c>
      <c r="B135" s="7">
        <v>0.361</v>
      </c>
      <c r="C135" s="7">
        <v>0.0</v>
      </c>
      <c r="D135" s="7">
        <v>0.214</v>
      </c>
      <c r="E135" s="7">
        <v>0.0</v>
      </c>
      <c r="F135" s="7">
        <v>0.18</v>
      </c>
      <c r="G135" s="7">
        <v>0.0</v>
      </c>
      <c r="H135" s="7">
        <v>0.169</v>
      </c>
      <c r="I135" s="7">
        <v>0.0</v>
      </c>
    </row>
    <row r="136">
      <c r="A136" s="7" t="s">
        <v>2177</v>
      </c>
      <c r="B136" s="7">
        <v>0.268</v>
      </c>
      <c r="C136" s="7">
        <v>0.0</v>
      </c>
      <c r="D136" s="7">
        <v>0.369</v>
      </c>
      <c r="E136" s="7">
        <v>0.0</v>
      </c>
      <c r="F136" s="7">
        <v>0.156</v>
      </c>
      <c r="G136" s="7">
        <v>0.0</v>
      </c>
      <c r="H136" s="7">
        <v>0.33</v>
      </c>
      <c r="I136" s="7">
        <v>0.0</v>
      </c>
    </row>
    <row r="137">
      <c r="A137" s="7" t="s">
        <v>2178</v>
      </c>
      <c r="B137" s="7">
        <v>0.2834</v>
      </c>
      <c r="C137" s="7">
        <v>0.0378391331824607</v>
      </c>
      <c r="D137" s="7">
        <v>0.3668</v>
      </c>
      <c r="E137" s="7">
        <v>0.0097313925005623</v>
      </c>
      <c r="F137" s="7">
        <v>0.1776</v>
      </c>
      <c r="G137" s="7">
        <v>0.029602364770403</v>
      </c>
      <c r="H137" s="7">
        <v>0.3322</v>
      </c>
      <c r="I137" s="7">
        <v>0.0249739864659208</v>
      </c>
    </row>
    <row r="138">
      <c r="A138" s="7" t="s">
        <v>2179</v>
      </c>
      <c r="B138" s="7">
        <v>0.365</v>
      </c>
      <c r="C138" s="7">
        <v>0.0</v>
      </c>
      <c r="D138" s="7">
        <v>0.216</v>
      </c>
      <c r="E138" s="7">
        <v>0.0</v>
      </c>
      <c r="F138" s="7">
        <v>0.209</v>
      </c>
      <c r="G138" s="7">
        <v>0.0</v>
      </c>
      <c r="H138" s="7">
        <v>0.195</v>
      </c>
      <c r="I138" s="7">
        <v>0.0</v>
      </c>
    </row>
    <row r="139">
      <c r="A139" s="7" t="s">
        <v>2180</v>
      </c>
      <c r="B139" s="7">
        <v>0.333</v>
      </c>
      <c r="C139" s="7">
        <v>0.0</v>
      </c>
      <c r="D139" s="7">
        <v>0.415</v>
      </c>
      <c r="E139" s="7">
        <v>0.0</v>
      </c>
      <c r="F139" s="7">
        <v>0.234</v>
      </c>
      <c r="G139" s="7">
        <v>0.0</v>
      </c>
      <c r="H139" s="7">
        <v>0.4</v>
      </c>
      <c r="I139" s="7">
        <v>0.0</v>
      </c>
    </row>
    <row r="140">
      <c r="A140" s="7" t="s">
        <v>2181</v>
      </c>
      <c r="B140" s="7">
        <v>0.363199999999999</v>
      </c>
      <c r="C140" s="7">
        <v>0.0108258948821794</v>
      </c>
      <c r="D140" s="7">
        <v>0.3178</v>
      </c>
      <c r="E140" s="7">
        <v>0.00593295878967653</v>
      </c>
      <c r="F140" s="7">
        <v>0.1464</v>
      </c>
      <c r="G140" s="7">
        <v>0.00461519230368572</v>
      </c>
      <c r="H140" s="7">
        <v>0.228799999999999</v>
      </c>
      <c r="I140" s="7">
        <v>0.0100099950049937</v>
      </c>
    </row>
    <row r="141">
      <c r="A141" s="7" t="s">
        <v>2182</v>
      </c>
      <c r="B141" s="7">
        <v>0.383</v>
      </c>
      <c r="C141" s="7">
        <v>0.0</v>
      </c>
      <c r="D141" s="7">
        <v>0.285</v>
      </c>
      <c r="E141" s="7">
        <v>0.0</v>
      </c>
      <c r="F141" s="7">
        <v>0.177</v>
      </c>
      <c r="G141" s="7">
        <v>0.0</v>
      </c>
      <c r="H141" s="7">
        <v>0.185</v>
      </c>
      <c r="I141" s="7">
        <v>0.0</v>
      </c>
    </row>
    <row r="142">
      <c r="A142" s="7" t="s">
        <v>2183</v>
      </c>
      <c r="B142" s="7">
        <v>0.357</v>
      </c>
      <c r="C142" s="7">
        <v>0.0</v>
      </c>
      <c r="D142" s="7">
        <v>0.328</v>
      </c>
      <c r="E142" s="7">
        <v>0.0</v>
      </c>
      <c r="F142" s="7">
        <v>0.147</v>
      </c>
      <c r="G142" s="7">
        <v>0.0</v>
      </c>
      <c r="H142" s="7">
        <v>0.25</v>
      </c>
      <c r="I142" s="7">
        <v>0.0</v>
      </c>
    </row>
    <row r="143">
      <c r="A143" s="7" t="s">
        <v>2184</v>
      </c>
      <c r="B143" s="7">
        <v>0.3398</v>
      </c>
      <c r="C143" s="7">
        <v>0.0106395488626162</v>
      </c>
      <c r="D143" s="7">
        <v>0.305</v>
      </c>
      <c r="E143" s="7">
        <v>0.0144048602908879</v>
      </c>
      <c r="F143" s="7">
        <v>0.1402</v>
      </c>
      <c r="G143" s="7">
        <v>0.00356370593624108</v>
      </c>
      <c r="H143" s="7">
        <v>0.214</v>
      </c>
      <c r="I143" s="7">
        <v>0.008</v>
      </c>
    </row>
    <row r="144">
      <c r="A144" s="7" t="s">
        <v>2185</v>
      </c>
      <c r="B144" s="7">
        <v>0.339</v>
      </c>
      <c r="C144" s="7">
        <v>0.0</v>
      </c>
      <c r="D144" s="7">
        <v>0.256</v>
      </c>
      <c r="E144" s="7">
        <v>0.0</v>
      </c>
      <c r="F144" s="7">
        <v>0.151</v>
      </c>
      <c r="G144" s="7">
        <v>0.0</v>
      </c>
      <c r="H144" s="7">
        <v>0.164</v>
      </c>
      <c r="I144" s="7">
        <v>0.0</v>
      </c>
    </row>
    <row r="145">
      <c r="A145" s="7" t="s">
        <v>2186</v>
      </c>
      <c r="B145" s="7">
        <v>0.359</v>
      </c>
      <c r="C145" s="7">
        <v>0.0</v>
      </c>
      <c r="D145" s="7">
        <v>0.309</v>
      </c>
      <c r="E145" s="7">
        <v>0.0</v>
      </c>
      <c r="F145" s="7">
        <v>0.155</v>
      </c>
      <c r="G145" s="7">
        <v>0.0</v>
      </c>
      <c r="H145" s="7">
        <v>0.246</v>
      </c>
      <c r="I145" s="7">
        <v>0.0</v>
      </c>
    </row>
    <row r="146">
      <c r="A146" s="7" t="s">
        <v>2187</v>
      </c>
      <c r="B146" s="7">
        <v>0.378599999999999</v>
      </c>
      <c r="C146" s="7">
        <v>0.0139032370331516</v>
      </c>
      <c r="D146" s="7">
        <v>0.314</v>
      </c>
      <c r="E146" s="7">
        <v>0.00845576726264389</v>
      </c>
      <c r="F146" s="7">
        <v>0.217399999999999</v>
      </c>
      <c r="G146" s="7">
        <v>0.0117388244726633</v>
      </c>
      <c r="H146" s="7">
        <v>0.2382</v>
      </c>
      <c r="I146" s="7">
        <v>0.0129884564132925</v>
      </c>
    </row>
    <row r="147">
      <c r="A147" s="7" t="s">
        <v>2188</v>
      </c>
      <c r="B147" s="7">
        <v>0.389</v>
      </c>
      <c r="C147" s="7">
        <v>0.0</v>
      </c>
      <c r="D147" s="7">
        <v>0.275</v>
      </c>
      <c r="E147" s="7">
        <v>0.0</v>
      </c>
      <c r="F147" s="7">
        <v>0.238</v>
      </c>
      <c r="G147" s="7">
        <v>0.0</v>
      </c>
      <c r="H147" s="7">
        <v>0.205</v>
      </c>
      <c r="I147" s="7">
        <v>0.0</v>
      </c>
    </row>
    <row r="148">
      <c r="A148" s="7" t="s">
        <v>2189</v>
      </c>
      <c r="B148" s="7">
        <v>0.372</v>
      </c>
      <c r="C148" s="7">
        <v>0.0</v>
      </c>
      <c r="D148" s="7">
        <v>0.311</v>
      </c>
      <c r="E148" s="7">
        <v>0.0</v>
      </c>
      <c r="F148" s="7">
        <v>0.218</v>
      </c>
      <c r="G148" s="7">
        <v>0.0</v>
      </c>
      <c r="H148" s="7">
        <v>0.236</v>
      </c>
      <c r="I148" s="7">
        <v>0.0</v>
      </c>
    </row>
    <row r="149">
      <c r="A149" s="7" t="s">
        <v>2190</v>
      </c>
      <c r="B149" s="7">
        <v>0.3854</v>
      </c>
      <c r="C149" s="7">
        <v>0.00779743547584717</v>
      </c>
      <c r="D149" s="7">
        <v>0.3344</v>
      </c>
      <c r="E149" s="7">
        <v>0.00541294744108974</v>
      </c>
      <c r="F149" s="7">
        <v>0.1814</v>
      </c>
      <c r="G149" s="7">
        <v>0.00909945053286185</v>
      </c>
      <c r="H149" s="7">
        <v>0.2274</v>
      </c>
      <c r="I149" s="7">
        <v>0.009044335243676</v>
      </c>
    </row>
    <row r="150">
      <c r="A150" s="7" t="s">
        <v>2191</v>
      </c>
      <c r="B150" s="7">
        <v>0.406</v>
      </c>
      <c r="C150" s="7">
        <v>0.0</v>
      </c>
      <c r="D150" s="7">
        <v>0.31</v>
      </c>
      <c r="E150" s="7">
        <v>0.0</v>
      </c>
      <c r="F150" s="7">
        <v>0.207</v>
      </c>
      <c r="G150" s="7">
        <v>0.0</v>
      </c>
      <c r="H150" s="7">
        <v>0.204</v>
      </c>
      <c r="I150" s="7">
        <v>0.0</v>
      </c>
    </row>
    <row r="151">
      <c r="A151" s="7" t="s">
        <v>2192</v>
      </c>
      <c r="B151" s="7">
        <v>0.399</v>
      </c>
      <c r="C151" s="7">
        <v>0.0</v>
      </c>
      <c r="D151" s="7">
        <v>0.343</v>
      </c>
      <c r="E151" s="7">
        <v>0.0</v>
      </c>
      <c r="F151" s="7">
        <v>0.186</v>
      </c>
      <c r="G151" s="7">
        <v>0.0</v>
      </c>
      <c r="H151" s="7">
        <v>0.242</v>
      </c>
      <c r="I151" s="7">
        <v>0.0</v>
      </c>
    </row>
    <row r="152">
      <c r="A152" s="7" t="s">
        <v>2193</v>
      </c>
      <c r="B152" s="7">
        <v>0.3714</v>
      </c>
      <c r="C152" s="7">
        <v>0.0085615419172016</v>
      </c>
      <c r="D152" s="7">
        <v>0.3266</v>
      </c>
      <c r="E152" s="7">
        <v>0.0106911178087232</v>
      </c>
      <c r="F152" s="7">
        <v>0.204599999999999</v>
      </c>
      <c r="G152" s="7">
        <v>0.00907193474403337</v>
      </c>
      <c r="H152" s="7">
        <v>0.233399999999999</v>
      </c>
      <c r="I152" s="7">
        <v>0.0155659885648165</v>
      </c>
    </row>
    <row r="153">
      <c r="A153" s="7" t="s">
        <v>2194</v>
      </c>
      <c r="B153" s="7">
        <v>0.381</v>
      </c>
      <c r="C153" s="7">
        <v>0.0</v>
      </c>
      <c r="D153" s="7">
        <v>0.292</v>
      </c>
      <c r="E153" s="7">
        <v>0.0</v>
      </c>
      <c r="F153" s="7">
        <v>0.225</v>
      </c>
      <c r="G153" s="7">
        <v>0.0</v>
      </c>
      <c r="H153" s="7">
        <v>0.201</v>
      </c>
      <c r="I153" s="7">
        <v>0.0</v>
      </c>
    </row>
    <row r="154">
      <c r="A154" s="7" t="s">
        <v>2195</v>
      </c>
      <c r="B154" s="7">
        <v>0.383</v>
      </c>
      <c r="C154" s="7">
        <v>0.0</v>
      </c>
      <c r="D154" s="7">
        <v>0.33</v>
      </c>
      <c r="E154" s="7">
        <v>0.0</v>
      </c>
      <c r="F154" s="7">
        <v>0.205</v>
      </c>
      <c r="G154" s="7">
        <v>0.0</v>
      </c>
      <c r="H154" s="7">
        <v>0.228</v>
      </c>
      <c r="I154" s="7">
        <v>0.0</v>
      </c>
    </row>
    <row r="155">
      <c r="A155" s="7" t="s">
        <v>2196</v>
      </c>
      <c r="B155" s="7">
        <v>0.342199999999999</v>
      </c>
      <c r="C155" s="7">
        <v>0.0105451410611712</v>
      </c>
      <c r="D155" s="7">
        <v>0.311</v>
      </c>
      <c r="E155" s="7">
        <v>0.00836660026534076</v>
      </c>
      <c r="F155" s="7">
        <v>0.180399999999999</v>
      </c>
      <c r="G155" s="7">
        <v>0.00890505474435727</v>
      </c>
      <c r="H155" s="7">
        <v>0.2274</v>
      </c>
      <c r="I155" s="7">
        <v>0.0163645959314613</v>
      </c>
    </row>
    <row r="156">
      <c r="A156" s="7" t="s">
        <v>2197</v>
      </c>
      <c r="B156" s="7">
        <v>0.359</v>
      </c>
      <c r="C156" s="7">
        <v>0.0</v>
      </c>
      <c r="D156" s="7">
        <v>0.271</v>
      </c>
      <c r="E156" s="7">
        <v>0.0</v>
      </c>
      <c r="F156" s="7">
        <v>0.196</v>
      </c>
      <c r="G156" s="7">
        <v>0.0</v>
      </c>
      <c r="H156" s="7">
        <v>0.187</v>
      </c>
      <c r="I156" s="7">
        <v>0.0</v>
      </c>
    </row>
    <row r="157">
      <c r="A157" s="7" t="s">
        <v>2198</v>
      </c>
      <c r="B157" s="7">
        <v>0.325</v>
      </c>
      <c r="C157" s="7">
        <v>0.0</v>
      </c>
      <c r="D157" s="7">
        <v>0.296</v>
      </c>
      <c r="E157" s="7">
        <v>0.0</v>
      </c>
      <c r="F157" s="7">
        <v>0.16</v>
      </c>
      <c r="G157" s="7">
        <v>0.0</v>
      </c>
      <c r="H157" s="7">
        <v>0.199</v>
      </c>
      <c r="I157" s="7">
        <v>0.0</v>
      </c>
    </row>
    <row r="158">
      <c r="A158" s="7" t="s">
        <v>2199</v>
      </c>
      <c r="B158" s="7">
        <v>0.3804</v>
      </c>
      <c r="C158" s="7">
        <v>0.0137949266036467</v>
      </c>
      <c r="D158" s="7">
        <v>0.319</v>
      </c>
      <c r="E158" s="7">
        <v>0.00604152298679729</v>
      </c>
      <c r="F158" s="7">
        <v>0.1926</v>
      </c>
      <c r="G158" s="7">
        <v>0.00801872807869177</v>
      </c>
      <c r="H158" s="7">
        <v>0.2354</v>
      </c>
      <c r="I158" s="7">
        <v>0.0158996855314814</v>
      </c>
    </row>
    <row r="159">
      <c r="A159" s="7" t="s">
        <v>2200</v>
      </c>
      <c r="B159" s="7">
        <v>0.383</v>
      </c>
      <c r="C159" s="7">
        <v>0.0</v>
      </c>
      <c r="D159" s="7">
        <v>0.283</v>
      </c>
      <c r="E159" s="7">
        <v>0.0</v>
      </c>
      <c r="F159" s="7">
        <v>0.214</v>
      </c>
      <c r="G159" s="7">
        <v>0.0</v>
      </c>
      <c r="H159" s="7">
        <v>0.207</v>
      </c>
      <c r="I159" s="7">
        <v>0.0</v>
      </c>
    </row>
    <row r="160">
      <c r="A160" s="7" t="s">
        <v>2201</v>
      </c>
      <c r="B160" s="7">
        <v>0.384</v>
      </c>
      <c r="C160" s="7">
        <v>0.0</v>
      </c>
      <c r="D160" s="7">
        <v>0.317</v>
      </c>
      <c r="E160" s="7">
        <v>0.0</v>
      </c>
      <c r="F160" s="7">
        <v>0.182</v>
      </c>
      <c r="G160" s="7">
        <v>0.0</v>
      </c>
      <c r="H160" s="7">
        <v>0.216</v>
      </c>
      <c r="I160" s="7">
        <v>0.0</v>
      </c>
    </row>
    <row r="161">
      <c r="A161" s="7" t="s">
        <v>2202</v>
      </c>
      <c r="B161" s="7">
        <v>0.3716</v>
      </c>
      <c r="C161" s="7">
        <v>0.0158050624801042</v>
      </c>
      <c r="D161" s="7">
        <v>0.33</v>
      </c>
      <c r="E161" s="7">
        <v>0.00648074069840786</v>
      </c>
      <c r="F161" s="7">
        <v>0.2182</v>
      </c>
      <c r="G161" s="7">
        <v>0.0144464528518249</v>
      </c>
      <c r="H161" s="7">
        <v>0.2626</v>
      </c>
      <c r="I161" s="7">
        <v>0.00853229160308062</v>
      </c>
    </row>
    <row r="162">
      <c r="A162" s="7" t="s">
        <v>2203</v>
      </c>
      <c r="B162" s="7">
        <v>0.387</v>
      </c>
      <c r="C162" s="7">
        <v>0.0</v>
      </c>
      <c r="D162" s="7">
        <v>0.268</v>
      </c>
      <c r="E162" s="7">
        <v>0.0</v>
      </c>
      <c r="F162" s="7">
        <v>0.225</v>
      </c>
      <c r="G162" s="7">
        <v>0.0</v>
      </c>
      <c r="H162" s="7">
        <v>0.198</v>
      </c>
      <c r="I162" s="7">
        <v>0.0</v>
      </c>
    </row>
    <row r="163">
      <c r="A163" s="7" t="s">
        <v>2204</v>
      </c>
      <c r="B163" s="7">
        <v>0.394</v>
      </c>
      <c r="C163" s="7">
        <v>0.0</v>
      </c>
      <c r="D163" s="7">
        <v>0.323</v>
      </c>
      <c r="E163" s="7">
        <v>0.0</v>
      </c>
      <c r="F163" s="7">
        <v>0.227</v>
      </c>
      <c r="G163" s="7">
        <v>0.0</v>
      </c>
      <c r="H163" s="7">
        <v>0.262</v>
      </c>
      <c r="I163" s="7">
        <v>0.0</v>
      </c>
    </row>
    <row r="164">
      <c r="A164" s="7" t="s">
        <v>2205</v>
      </c>
      <c r="B164" s="7">
        <v>0.289799999999999</v>
      </c>
      <c r="C164" s="7">
        <v>0.00605805249234438</v>
      </c>
      <c r="D164" s="7">
        <v>0.4486</v>
      </c>
      <c r="E164" s="7">
        <v>8.94427190999916E-4</v>
      </c>
      <c r="F164" s="7">
        <v>0.287799999999999</v>
      </c>
      <c r="G164" s="7">
        <v>0.00476445169982864</v>
      </c>
      <c r="H164" s="7">
        <v>0.4488</v>
      </c>
      <c r="I164" s="7">
        <v>0.00130384048104053</v>
      </c>
    </row>
    <row r="165">
      <c r="A165" s="7" t="s">
        <v>2206</v>
      </c>
      <c r="B165" s="7">
        <v>0.307</v>
      </c>
      <c r="C165" s="7">
        <v>0.0</v>
      </c>
      <c r="D165" s="7">
        <v>0.446</v>
      </c>
      <c r="E165" s="7">
        <v>0.0</v>
      </c>
      <c r="F165" s="7">
        <v>0.297</v>
      </c>
      <c r="G165" s="7">
        <v>0.0</v>
      </c>
      <c r="H165" s="7">
        <v>0.447</v>
      </c>
      <c r="I165" s="7">
        <v>0.0</v>
      </c>
    </row>
    <row r="166">
      <c r="A166" s="7" t="s">
        <v>2207</v>
      </c>
      <c r="B166" s="7">
        <v>0.295</v>
      </c>
      <c r="C166" s="7">
        <v>0.0</v>
      </c>
      <c r="D166" s="7">
        <v>0.454</v>
      </c>
      <c r="E166" s="7">
        <v>0.0</v>
      </c>
      <c r="F166" s="7">
        <v>0.294</v>
      </c>
      <c r="G166" s="7">
        <v>0.0</v>
      </c>
      <c r="H166" s="7">
        <v>0.452</v>
      </c>
      <c r="I166" s="7">
        <v>0.0</v>
      </c>
    </row>
    <row r="167">
      <c r="A167" s="7" t="s">
        <v>2209</v>
      </c>
      <c r="B167" s="7">
        <v>0.4278</v>
      </c>
      <c r="C167" s="7">
        <v>0.0275445094347312</v>
      </c>
      <c r="D167" s="7">
        <v>0.3954</v>
      </c>
      <c r="E167" s="7">
        <v>0.0142933550994859</v>
      </c>
      <c r="F167" s="7">
        <v>0.324199999999999</v>
      </c>
      <c r="G167" s="7">
        <v>0.0209690247746527</v>
      </c>
      <c r="H167" s="7">
        <v>0.3664</v>
      </c>
      <c r="I167" s="7">
        <v>0.0108765803449429</v>
      </c>
    </row>
    <row r="168">
      <c r="A168" s="7" t="s">
        <v>2210</v>
      </c>
      <c r="B168" s="7">
        <v>0.473</v>
      </c>
      <c r="C168" s="7">
        <v>0.0</v>
      </c>
      <c r="D168" s="7">
        <v>0.272</v>
      </c>
      <c r="E168" s="7">
        <v>0.0</v>
      </c>
      <c r="F168" s="7">
        <v>0.339</v>
      </c>
      <c r="G168" s="7">
        <v>0.0</v>
      </c>
      <c r="H168" s="7">
        <v>0.264</v>
      </c>
      <c r="I168" s="7">
        <v>0.0</v>
      </c>
    </row>
    <row r="169">
      <c r="A169" s="7" t="s">
        <v>2211</v>
      </c>
      <c r="B169" s="7">
        <v>0.422</v>
      </c>
      <c r="C169" s="7">
        <v>0.0</v>
      </c>
      <c r="D169" s="7">
        <v>0.396</v>
      </c>
      <c r="E169" s="7">
        <v>0.0</v>
      </c>
      <c r="F169" s="7">
        <v>0.323</v>
      </c>
      <c r="G169" s="7">
        <v>0.0</v>
      </c>
      <c r="H169" s="7">
        <v>0.357</v>
      </c>
      <c r="I169" s="7">
        <v>0.0</v>
      </c>
    </row>
    <row r="170">
      <c r="A170" s="7" t="s">
        <v>2212</v>
      </c>
      <c r="B170" s="7">
        <v>0.1582</v>
      </c>
      <c r="C170" s="7">
        <v>0.0184851291583261</v>
      </c>
      <c r="D170" s="7">
        <v>0.2608</v>
      </c>
      <c r="E170" s="7">
        <v>0.0148222805262888</v>
      </c>
      <c r="F170" s="7">
        <v>0.0654</v>
      </c>
      <c r="G170" s="7">
        <v>0.0120954536913668</v>
      </c>
      <c r="H170" s="7">
        <v>0.169599999999999</v>
      </c>
      <c r="I170" s="7">
        <v>0.0123207142650091</v>
      </c>
    </row>
    <row r="171">
      <c r="A171" s="7" t="s">
        <v>2213</v>
      </c>
      <c r="B171" s="7">
        <v>0.231</v>
      </c>
      <c r="C171" s="7">
        <v>0.0</v>
      </c>
      <c r="D171" s="7">
        <v>0.247</v>
      </c>
      <c r="E171" s="7">
        <v>0.0</v>
      </c>
      <c r="F171" s="7">
        <v>0.106</v>
      </c>
      <c r="G171" s="7">
        <v>0.0</v>
      </c>
      <c r="H171" s="7">
        <v>0.15</v>
      </c>
      <c r="I171" s="7">
        <v>0.0</v>
      </c>
    </row>
    <row r="172">
      <c r="A172" s="7" t="s">
        <v>2214</v>
      </c>
      <c r="B172" s="7">
        <v>0.207</v>
      </c>
      <c r="C172" s="7">
        <v>0.0</v>
      </c>
      <c r="D172" s="7">
        <v>0.372</v>
      </c>
      <c r="E172" s="7">
        <v>0.0</v>
      </c>
      <c r="F172" s="7">
        <v>0.162</v>
      </c>
      <c r="G172" s="7">
        <v>0.0</v>
      </c>
      <c r="H172" s="7">
        <v>0.342</v>
      </c>
      <c r="I172" s="7">
        <v>0.0</v>
      </c>
    </row>
    <row r="173">
      <c r="A173" s="7" t="s">
        <v>2215</v>
      </c>
      <c r="B173" s="7">
        <v>0.1236</v>
      </c>
      <c r="C173" s="7">
        <v>0.0132966161108757</v>
      </c>
      <c r="D173" s="7">
        <v>0.2374</v>
      </c>
      <c r="E173" s="7">
        <v>0.0202682016962531</v>
      </c>
      <c r="F173" s="7">
        <v>0.044</v>
      </c>
      <c r="G173" s="7">
        <v>0.0104880884817015</v>
      </c>
      <c r="H173" s="7">
        <v>0.1266</v>
      </c>
      <c r="I173" s="7">
        <v>0.0207074865688716</v>
      </c>
    </row>
    <row r="174">
      <c r="A174" s="7" t="s">
        <v>2216</v>
      </c>
      <c r="B174" s="7">
        <v>0.185</v>
      </c>
      <c r="C174" s="7">
        <v>0.0</v>
      </c>
      <c r="D174" s="7">
        <v>0.227</v>
      </c>
      <c r="E174" s="7">
        <v>0.0</v>
      </c>
      <c r="F174" s="7">
        <v>0.078</v>
      </c>
      <c r="G174" s="7">
        <v>0.0</v>
      </c>
      <c r="H174" s="7">
        <v>0.125</v>
      </c>
      <c r="I174" s="7">
        <v>0.0</v>
      </c>
    </row>
    <row r="175">
      <c r="A175" s="7" t="s">
        <v>2217</v>
      </c>
      <c r="B175" s="7">
        <v>0.255</v>
      </c>
      <c r="C175" s="7">
        <v>0.0</v>
      </c>
      <c r="D175" s="7">
        <v>0.403</v>
      </c>
      <c r="E175" s="7">
        <v>0.0</v>
      </c>
      <c r="F175" s="7">
        <v>0.216</v>
      </c>
      <c r="G175" s="7">
        <v>0.0</v>
      </c>
      <c r="H175" s="7">
        <v>0.391</v>
      </c>
      <c r="I175" s="7">
        <v>0.0</v>
      </c>
    </row>
    <row r="176">
      <c r="A176" s="7" t="s">
        <v>2218</v>
      </c>
      <c r="B176" s="7">
        <v>0.175799999999999</v>
      </c>
      <c r="C176" s="7">
        <v>0.0184986485992896</v>
      </c>
      <c r="D176" s="7">
        <v>0.292</v>
      </c>
      <c r="E176" s="7">
        <v>0.0128257553383806</v>
      </c>
      <c r="F176" s="7">
        <v>0.0826</v>
      </c>
      <c r="G176" s="7">
        <v>0.0114586212085049</v>
      </c>
      <c r="H176" s="7">
        <v>0.211399999999999</v>
      </c>
      <c r="I176" s="7">
        <v>0.0237549994737949</v>
      </c>
    </row>
    <row r="177">
      <c r="A177" s="7" t="s">
        <v>2219</v>
      </c>
      <c r="B177" s="7">
        <v>0.239</v>
      </c>
      <c r="C177" s="7">
        <v>0.0</v>
      </c>
      <c r="D177" s="7">
        <v>0.235</v>
      </c>
      <c r="E177" s="7">
        <v>0.0</v>
      </c>
      <c r="F177" s="7">
        <v>0.119</v>
      </c>
      <c r="G177" s="7">
        <v>0.0</v>
      </c>
      <c r="H177" s="7">
        <v>0.164</v>
      </c>
      <c r="I177" s="7">
        <v>0.0</v>
      </c>
    </row>
    <row r="178">
      <c r="A178" s="7" t="s">
        <v>2220</v>
      </c>
      <c r="B178" s="7">
        <v>0.195</v>
      </c>
      <c r="C178" s="7">
        <v>0.0</v>
      </c>
      <c r="D178" s="7">
        <v>0.372</v>
      </c>
      <c r="E178" s="7">
        <v>0.0</v>
      </c>
      <c r="F178" s="7">
        <v>0.159</v>
      </c>
      <c r="G178" s="7">
        <v>0.0</v>
      </c>
      <c r="H178" s="7">
        <v>0.349</v>
      </c>
      <c r="I178" s="7">
        <v>0.0</v>
      </c>
    </row>
    <row r="179">
      <c r="A179" s="7" t="s">
        <v>2221</v>
      </c>
      <c r="B179" s="7">
        <v>0.1542</v>
      </c>
      <c r="C179" s="7">
        <v>0.00975704873412038</v>
      </c>
      <c r="D179" s="7">
        <v>0.275</v>
      </c>
      <c r="E179" s="7">
        <v>0.0095131487952202</v>
      </c>
      <c r="F179" s="7">
        <v>0.0616</v>
      </c>
      <c r="G179" s="7">
        <v>0.0129923054151293</v>
      </c>
      <c r="H179" s="7">
        <v>0.1722</v>
      </c>
      <c r="I179" s="7">
        <v>0.0205109726731815</v>
      </c>
    </row>
    <row r="180">
      <c r="A180" s="7" t="s">
        <v>2222</v>
      </c>
      <c r="B180" s="7">
        <v>0.217</v>
      </c>
      <c r="C180" s="7">
        <v>0.0</v>
      </c>
      <c r="D180" s="7">
        <v>0.259</v>
      </c>
      <c r="E180" s="7">
        <v>0.0</v>
      </c>
      <c r="F180" s="7">
        <v>0.095</v>
      </c>
      <c r="G180" s="7">
        <v>0.0</v>
      </c>
      <c r="H180" s="7">
        <v>0.156</v>
      </c>
      <c r="I180" s="7">
        <v>0.0</v>
      </c>
    </row>
    <row r="181">
      <c r="A181" s="7" t="s">
        <v>2223</v>
      </c>
      <c r="B181" s="7">
        <v>0.26</v>
      </c>
      <c r="C181" s="7">
        <v>0.0</v>
      </c>
      <c r="D181" s="7">
        <v>0.411</v>
      </c>
      <c r="E181" s="7">
        <v>0.0</v>
      </c>
      <c r="F181" s="7">
        <v>0.209</v>
      </c>
      <c r="G181" s="7">
        <v>0.0</v>
      </c>
      <c r="H181" s="7">
        <v>0.391</v>
      </c>
      <c r="I181" s="7">
        <v>0.0</v>
      </c>
    </row>
    <row r="182">
      <c r="A182" s="7" t="s">
        <v>2224</v>
      </c>
      <c r="B182" s="7">
        <v>0.089</v>
      </c>
      <c r="C182" s="7">
        <v>0.0178885438199983</v>
      </c>
      <c r="D182" s="7">
        <v>0.2012</v>
      </c>
      <c r="E182" s="7">
        <v>0.0216610249064997</v>
      </c>
      <c r="F182" s="7">
        <v>0.0288</v>
      </c>
      <c r="G182" s="7">
        <v>0.0120706255016051</v>
      </c>
      <c r="H182" s="7">
        <v>0.110199999999999</v>
      </c>
      <c r="I182" s="7">
        <v>0.0374726566979177</v>
      </c>
    </row>
    <row r="183">
      <c r="A183" s="7" t="s">
        <v>2225</v>
      </c>
      <c r="B183" s="7">
        <v>0.182</v>
      </c>
      <c r="C183" s="7">
        <v>0.0</v>
      </c>
      <c r="D183" s="7">
        <v>0.268</v>
      </c>
      <c r="E183" s="7">
        <v>0.0</v>
      </c>
      <c r="F183" s="7">
        <v>0.065</v>
      </c>
      <c r="G183" s="7">
        <v>0.0</v>
      </c>
      <c r="H183" s="7">
        <v>0.148</v>
      </c>
      <c r="I183" s="7">
        <v>0.0</v>
      </c>
    </row>
    <row r="184">
      <c r="A184" s="7" t="s">
        <v>2226</v>
      </c>
      <c r="B184" s="7">
        <v>0.171</v>
      </c>
      <c r="C184" s="7">
        <v>0.0</v>
      </c>
      <c r="D184" s="7">
        <v>0.359</v>
      </c>
      <c r="E184" s="7">
        <v>0.0</v>
      </c>
      <c r="F184" s="7">
        <v>0.155</v>
      </c>
      <c r="G184" s="7">
        <v>0.0</v>
      </c>
      <c r="H184" s="7">
        <v>0.355</v>
      </c>
      <c r="I184" s="7">
        <v>0.0</v>
      </c>
    </row>
    <row r="185">
      <c r="A185" s="7" t="s">
        <v>2227</v>
      </c>
      <c r="B185" s="7">
        <v>0.1878</v>
      </c>
      <c r="C185" s="7">
        <v>0.032197826013568</v>
      </c>
      <c r="D185" s="7">
        <v>0.300199999999999</v>
      </c>
      <c r="E185" s="7">
        <v>0.0272525228189978</v>
      </c>
      <c r="F185" s="7">
        <v>0.0782</v>
      </c>
      <c r="G185" s="7">
        <v>0.00752994023880668</v>
      </c>
      <c r="H185" s="7">
        <v>0.216</v>
      </c>
      <c r="I185" s="7">
        <v>0.0130192165662915</v>
      </c>
    </row>
    <row r="186">
      <c r="A186" s="7" t="s">
        <v>2228</v>
      </c>
      <c r="B186" s="7">
        <v>0.243</v>
      </c>
      <c r="C186" s="7">
        <v>0.0</v>
      </c>
      <c r="D186" s="7">
        <v>0.265</v>
      </c>
      <c r="E186" s="7">
        <v>0.0</v>
      </c>
      <c r="F186" s="7">
        <v>0.112</v>
      </c>
      <c r="G186" s="7">
        <v>0.0</v>
      </c>
      <c r="H186" s="7">
        <v>0.186</v>
      </c>
      <c r="I186" s="7">
        <v>0.0</v>
      </c>
    </row>
    <row r="187">
      <c r="A187" s="7" t="s">
        <v>2229</v>
      </c>
      <c r="B187" s="7">
        <v>0.247</v>
      </c>
      <c r="C187" s="7">
        <v>0.0</v>
      </c>
      <c r="D187" s="7">
        <v>0.397</v>
      </c>
      <c r="E187" s="7">
        <v>0.0</v>
      </c>
      <c r="F187" s="7">
        <v>0.172</v>
      </c>
      <c r="G187" s="7">
        <v>0.0</v>
      </c>
      <c r="H187" s="7">
        <v>0.36</v>
      </c>
      <c r="I187" s="7">
        <v>0.0</v>
      </c>
    </row>
    <row r="188">
      <c r="A188" s="7" t="s">
        <v>2230</v>
      </c>
      <c r="B188" s="7">
        <v>0.195</v>
      </c>
      <c r="C188" s="7">
        <v>0.011379806676741</v>
      </c>
      <c r="D188" s="7">
        <v>0.323999999999999</v>
      </c>
      <c r="E188" s="7">
        <v>0.01113552872566</v>
      </c>
      <c r="F188" s="7">
        <v>0.1172</v>
      </c>
      <c r="G188" s="7">
        <v>0.0175698605572155</v>
      </c>
      <c r="H188" s="7">
        <v>0.2576</v>
      </c>
      <c r="I188" s="7">
        <v>0.0201816748561659</v>
      </c>
    </row>
    <row r="189">
      <c r="A189" s="7" t="s">
        <v>2231</v>
      </c>
      <c r="B189" s="7">
        <v>0.249</v>
      </c>
      <c r="C189" s="7">
        <v>0.0</v>
      </c>
      <c r="D189" s="7">
        <v>0.246</v>
      </c>
      <c r="E189" s="7">
        <v>0.0</v>
      </c>
      <c r="F189" s="7">
        <v>0.13</v>
      </c>
      <c r="G189" s="7">
        <v>0.0</v>
      </c>
      <c r="H189" s="7">
        <v>0.165</v>
      </c>
      <c r="I189" s="7">
        <v>0.0</v>
      </c>
    </row>
    <row r="190">
      <c r="A190" s="7" t="s">
        <v>2232</v>
      </c>
      <c r="B190" s="7">
        <v>0.269</v>
      </c>
      <c r="C190" s="7">
        <v>0.0</v>
      </c>
      <c r="D190" s="7">
        <v>0.404</v>
      </c>
      <c r="E190" s="7">
        <v>0.0</v>
      </c>
      <c r="F190" s="7">
        <v>0.208</v>
      </c>
      <c r="G190" s="7">
        <v>0.0</v>
      </c>
      <c r="H190" s="7">
        <v>0.368</v>
      </c>
      <c r="I190" s="7">
        <v>0.0</v>
      </c>
    </row>
    <row r="191">
      <c r="A191" s="7" t="s">
        <v>2233</v>
      </c>
      <c r="B191" s="7">
        <v>0.177</v>
      </c>
      <c r="C191" s="7">
        <v>0.0123085336250911</v>
      </c>
      <c r="D191" s="7">
        <v>0.2988</v>
      </c>
      <c r="E191" s="7">
        <v>0.0153850576859496</v>
      </c>
      <c r="F191" s="7">
        <v>0.08</v>
      </c>
      <c r="G191" s="7">
        <v>0.0138202749610852</v>
      </c>
      <c r="H191" s="7">
        <v>0.2058</v>
      </c>
      <c r="I191" s="7">
        <v>0.0265084892062901</v>
      </c>
    </row>
    <row r="192">
      <c r="A192" s="7" t="s">
        <v>2234</v>
      </c>
      <c r="B192" s="7">
        <v>0.23</v>
      </c>
      <c r="C192" s="7">
        <v>0.0</v>
      </c>
      <c r="D192" s="7">
        <v>0.261</v>
      </c>
      <c r="E192" s="7">
        <v>0.0</v>
      </c>
      <c r="F192" s="7">
        <v>0.112</v>
      </c>
      <c r="G192" s="7">
        <v>0.0</v>
      </c>
      <c r="H192" s="7">
        <v>0.151</v>
      </c>
      <c r="I192" s="7">
        <v>0.0</v>
      </c>
    </row>
    <row r="193">
      <c r="A193" s="7" t="s">
        <v>2235</v>
      </c>
      <c r="B193" s="7">
        <v>0.207</v>
      </c>
      <c r="C193" s="7">
        <v>0.0</v>
      </c>
      <c r="D193" s="7">
        <v>0.37</v>
      </c>
      <c r="E193" s="7">
        <v>0.0</v>
      </c>
      <c r="F193" s="7">
        <v>0.142</v>
      </c>
      <c r="G193" s="7">
        <v>0.0</v>
      </c>
      <c r="H193" s="7">
        <v>0.329</v>
      </c>
      <c r="I193" s="7">
        <v>0.0</v>
      </c>
    </row>
    <row r="194">
      <c r="A194" s="7" t="s">
        <v>2236</v>
      </c>
      <c r="B194" s="7">
        <v>0.3578</v>
      </c>
      <c r="C194" s="7">
        <v>0.0131415372007996</v>
      </c>
      <c r="D194" s="7">
        <v>0.3692</v>
      </c>
      <c r="E194" s="7">
        <v>0.0103295692068933</v>
      </c>
      <c r="F194" s="7">
        <v>0.188</v>
      </c>
      <c r="G194" s="7">
        <v>0.00777817459305203</v>
      </c>
      <c r="H194" s="7">
        <v>0.265599999999999</v>
      </c>
      <c r="I194" s="7">
        <v>0.0093166517590817</v>
      </c>
    </row>
    <row r="195">
      <c r="A195" s="7" t="s">
        <v>2237</v>
      </c>
      <c r="B195" s="7">
        <v>0.408</v>
      </c>
      <c r="C195" s="7">
        <v>0.0</v>
      </c>
      <c r="D195" s="7">
        <v>0.322</v>
      </c>
      <c r="E195" s="7">
        <v>0.0</v>
      </c>
      <c r="F195" s="7">
        <v>0.235</v>
      </c>
      <c r="G195" s="7">
        <v>0.0</v>
      </c>
      <c r="H195" s="7">
        <v>0.24</v>
      </c>
      <c r="I195" s="7">
        <v>0.0</v>
      </c>
    </row>
    <row r="196">
      <c r="A196" s="7" t="s">
        <v>2238</v>
      </c>
      <c r="B196" s="7">
        <v>0.339</v>
      </c>
      <c r="C196" s="7">
        <v>0.0</v>
      </c>
      <c r="D196" s="7">
        <v>0.362</v>
      </c>
      <c r="E196" s="7">
        <v>0.0</v>
      </c>
      <c r="F196" s="7">
        <v>0.18</v>
      </c>
      <c r="G196" s="7">
        <v>0.0</v>
      </c>
      <c r="H196" s="7">
        <v>0.261</v>
      </c>
      <c r="I196" s="7">
        <v>0.0</v>
      </c>
    </row>
    <row r="197">
      <c r="A197" s="7" t="s">
        <v>2239</v>
      </c>
      <c r="B197" s="7">
        <v>0.3814</v>
      </c>
      <c r="C197" s="7">
        <v>0.0195652753622329</v>
      </c>
      <c r="D197" s="7">
        <v>0.365</v>
      </c>
      <c r="E197" s="7">
        <v>0.00897217922246318</v>
      </c>
      <c r="F197" s="7">
        <v>0.2058</v>
      </c>
      <c r="G197" s="7">
        <v>0.0269851811185324</v>
      </c>
      <c r="H197" s="7">
        <v>0.2798</v>
      </c>
      <c r="I197" s="7">
        <v>0.0222306095283057</v>
      </c>
    </row>
    <row r="198">
      <c r="A198" s="7" t="s">
        <v>2240</v>
      </c>
      <c r="B198" s="7">
        <v>0.429</v>
      </c>
      <c r="C198" s="7">
        <v>0.0</v>
      </c>
      <c r="D198" s="7">
        <v>0.303</v>
      </c>
      <c r="E198" s="7">
        <v>0.0</v>
      </c>
      <c r="F198" s="7">
        <v>0.244</v>
      </c>
      <c r="G198" s="7">
        <v>0.0</v>
      </c>
      <c r="H198" s="7">
        <v>0.23</v>
      </c>
      <c r="I198" s="7">
        <v>0.0</v>
      </c>
    </row>
    <row r="199">
      <c r="A199" s="7" t="s">
        <v>2241</v>
      </c>
      <c r="B199" s="7">
        <v>0.368</v>
      </c>
      <c r="C199" s="7">
        <v>0.0</v>
      </c>
      <c r="D199" s="7">
        <v>0.376</v>
      </c>
      <c r="E199" s="7">
        <v>0.0</v>
      </c>
      <c r="F199" s="7">
        <v>0.219</v>
      </c>
      <c r="G199" s="7">
        <v>0.0</v>
      </c>
      <c r="H199" s="7">
        <v>0.311</v>
      </c>
      <c r="I199" s="7">
        <v>0.0</v>
      </c>
    </row>
    <row r="200">
      <c r="A200" s="7" t="s">
        <v>2242</v>
      </c>
      <c r="B200" s="7">
        <v>0.372</v>
      </c>
      <c r="C200" s="7">
        <v>0.0180969610708538</v>
      </c>
      <c r="D200" s="7">
        <v>0.3754</v>
      </c>
      <c r="E200" s="7">
        <v>0.00723187389270582</v>
      </c>
      <c r="F200" s="7">
        <v>0.2172</v>
      </c>
      <c r="G200" s="7">
        <v>0.0136271787248865</v>
      </c>
      <c r="H200" s="7">
        <v>0.2976</v>
      </c>
      <c r="I200" s="7">
        <v>0.0144326019830105</v>
      </c>
    </row>
    <row r="201">
      <c r="A201" s="7" t="s">
        <v>2243</v>
      </c>
      <c r="B201" s="7">
        <v>0.427</v>
      </c>
      <c r="C201" s="7">
        <v>0.0</v>
      </c>
      <c r="D201" s="7">
        <v>0.322</v>
      </c>
      <c r="E201" s="7">
        <v>0.0</v>
      </c>
      <c r="F201" s="7">
        <v>0.246</v>
      </c>
      <c r="G201" s="7">
        <v>0.0</v>
      </c>
      <c r="H201" s="7">
        <v>0.247</v>
      </c>
      <c r="I201" s="7">
        <v>0.0</v>
      </c>
    </row>
    <row r="202">
      <c r="A202" s="7" t="s">
        <v>2244</v>
      </c>
      <c r="B202" s="7">
        <v>0.404</v>
      </c>
      <c r="C202" s="7">
        <v>0.0</v>
      </c>
      <c r="D202" s="7">
        <v>0.385</v>
      </c>
      <c r="E202" s="7">
        <v>0.0</v>
      </c>
      <c r="F202" s="7">
        <v>0.245</v>
      </c>
      <c r="G202" s="7">
        <v>0.0</v>
      </c>
      <c r="H202" s="7">
        <v>0.325</v>
      </c>
      <c r="I202" s="7">
        <v>0.0</v>
      </c>
    </row>
    <row r="203">
      <c r="A203" s="7" t="s">
        <v>2245</v>
      </c>
      <c r="B203" s="7">
        <v>0.4038</v>
      </c>
      <c r="C203" s="7">
        <v>0.0132363136862194</v>
      </c>
      <c r="D203" s="7">
        <v>0.365999999999999</v>
      </c>
      <c r="E203" s="7">
        <v>0.00651920240520265</v>
      </c>
      <c r="F203" s="7">
        <v>0.2144</v>
      </c>
      <c r="G203" s="7">
        <v>0.0115021737076084</v>
      </c>
      <c r="H203" s="7">
        <v>0.2744</v>
      </c>
      <c r="I203" s="7">
        <v>0.00773304597167246</v>
      </c>
    </row>
    <row r="204">
      <c r="A204" s="7" t="s">
        <v>2246</v>
      </c>
      <c r="B204" s="7">
        <v>0.464</v>
      </c>
      <c r="C204" s="7">
        <v>0.0</v>
      </c>
      <c r="D204" s="7">
        <v>0.322</v>
      </c>
      <c r="E204" s="7">
        <v>0.0</v>
      </c>
      <c r="F204" s="7">
        <v>0.262</v>
      </c>
      <c r="G204" s="7">
        <v>0.0</v>
      </c>
      <c r="H204" s="7">
        <v>0.236</v>
      </c>
      <c r="I204" s="7">
        <v>0.0</v>
      </c>
    </row>
    <row r="205">
      <c r="A205" s="7" t="s">
        <v>2247</v>
      </c>
      <c r="B205" s="7">
        <v>0.431</v>
      </c>
      <c r="C205" s="7">
        <v>0.0</v>
      </c>
      <c r="D205" s="7">
        <v>0.37</v>
      </c>
      <c r="E205" s="7">
        <v>0.0</v>
      </c>
      <c r="F205" s="7">
        <v>0.23</v>
      </c>
      <c r="G205" s="7">
        <v>0.0</v>
      </c>
      <c r="H205" s="7">
        <v>0.297</v>
      </c>
      <c r="I205" s="7">
        <v>0.0</v>
      </c>
    </row>
    <row r="206">
      <c r="A206" s="7" t="s">
        <v>2248</v>
      </c>
      <c r="B206" s="7">
        <v>0.3806</v>
      </c>
      <c r="C206" s="7">
        <v>0.0233944437847964</v>
      </c>
      <c r="D206" s="7">
        <v>0.3692</v>
      </c>
      <c r="E206" s="7">
        <v>0.0061400325732035</v>
      </c>
      <c r="F206" s="7">
        <v>0.2112</v>
      </c>
      <c r="G206" s="7">
        <v>0.0173695135222607</v>
      </c>
      <c r="H206" s="7">
        <v>0.2734</v>
      </c>
      <c r="I206" s="7">
        <v>0.00952890339965726</v>
      </c>
    </row>
    <row r="207">
      <c r="A207" s="7" t="s">
        <v>2249</v>
      </c>
      <c r="B207" s="7">
        <v>0.442</v>
      </c>
      <c r="C207" s="7">
        <v>0.0</v>
      </c>
      <c r="D207" s="7">
        <v>0.332</v>
      </c>
      <c r="E207" s="7">
        <v>0.0</v>
      </c>
      <c r="F207" s="7">
        <v>0.248</v>
      </c>
      <c r="G207" s="7">
        <v>0.0</v>
      </c>
      <c r="H207" s="7">
        <v>0.243</v>
      </c>
      <c r="I207" s="7">
        <v>0.0</v>
      </c>
    </row>
    <row r="208">
      <c r="A208" s="7" t="s">
        <v>2250</v>
      </c>
      <c r="B208" s="7">
        <v>0.382</v>
      </c>
      <c r="C208" s="7">
        <v>0.0</v>
      </c>
      <c r="D208" s="7">
        <v>0.375</v>
      </c>
      <c r="E208" s="7">
        <v>0.0</v>
      </c>
      <c r="F208" s="7">
        <v>0.225</v>
      </c>
      <c r="G208" s="7">
        <v>0.0</v>
      </c>
      <c r="H208" s="7">
        <v>0.292</v>
      </c>
      <c r="I208" s="7">
        <v>0.0</v>
      </c>
    </row>
    <row r="209">
      <c r="A209" s="7" t="s">
        <v>2251</v>
      </c>
      <c r="B209" s="7">
        <v>0.1898</v>
      </c>
      <c r="C209" s="7">
        <v>0.027068431797945</v>
      </c>
      <c r="D209" s="7">
        <v>0.330399999999999</v>
      </c>
      <c r="E209" s="7">
        <v>0.0189156020258409</v>
      </c>
      <c r="F209" s="7">
        <v>0.1254</v>
      </c>
      <c r="G209" s="7">
        <v>0.0172133668990119</v>
      </c>
      <c r="H209" s="7">
        <v>0.3086</v>
      </c>
      <c r="I209" s="7">
        <v>0.0208158593384947</v>
      </c>
    </row>
    <row r="210">
      <c r="A210" s="7" t="s">
        <v>2252</v>
      </c>
      <c r="B210" s="7">
        <v>0.24</v>
      </c>
      <c r="C210" s="7">
        <v>0.0</v>
      </c>
      <c r="D210" s="7">
        <v>0.198</v>
      </c>
      <c r="E210" s="7">
        <v>0.0</v>
      </c>
      <c r="F210" s="7">
        <v>0.134</v>
      </c>
      <c r="G210" s="7">
        <v>0.0</v>
      </c>
      <c r="H210" s="7">
        <v>0.165</v>
      </c>
      <c r="I210" s="7">
        <v>0.0</v>
      </c>
    </row>
    <row r="211">
      <c r="A211" s="7" t="s">
        <v>2253</v>
      </c>
      <c r="B211" s="7">
        <v>0.157</v>
      </c>
      <c r="C211" s="7">
        <v>0.0</v>
      </c>
      <c r="D211" s="7">
        <v>0.328</v>
      </c>
      <c r="E211" s="7">
        <v>0.0</v>
      </c>
      <c r="F211" s="7">
        <v>0.121</v>
      </c>
      <c r="G211" s="7">
        <v>0.0</v>
      </c>
      <c r="H211" s="7">
        <v>0.309</v>
      </c>
      <c r="I211" s="7">
        <v>0.0</v>
      </c>
    </row>
    <row r="212">
      <c r="A212" s="7" t="s">
        <v>2254</v>
      </c>
      <c r="B212" s="7">
        <v>0.1898</v>
      </c>
      <c r="C212" s="7">
        <v>0.0283672346202445</v>
      </c>
      <c r="D212" s="7">
        <v>0.3254</v>
      </c>
      <c r="E212" s="7">
        <v>0.0186627972179949</v>
      </c>
      <c r="F212" s="7">
        <v>0.118799999999999</v>
      </c>
      <c r="G212" s="7">
        <v>0.0225211012164147</v>
      </c>
      <c r="H212" s="7">
        <v>0.2986</v>
      </c>
      <c r="I212" s="7">
        <v>0.0244294903753639</v>
      </c>
    </row>
    <row r="213">
      <c r="A213" s="7" t="s">
        <v>2255</v>
      </c>
      <c r="B213" s="7">
        <v>0.241</v>
      </c>
      <c r="C213" s="7">
        <v>0.0</v>
      </c>
      <c r="D213" s="7">
        <v>0.196</v>
      </c>
      <c r="E213" s="7">
        <v>0.0</v>
      </c>
      <c r="F213" s="7">
        <v>0.118</v>
      </c>
      <c r="G213" s="7">
        <v>0.0</v>
      </c>
      <c r="H213" s="7">
        <v>0.155</v>
      </c>
      <c r="I213" s="7">
        <v>0.0</v>
      </c>
    </row>
    <row r="214">
      <c r="A214" s="7" t="s">
        <v>2256</v>
      </c>
      <c r="B214" s="7">
        <v>0.233</v>
      </c>
      <c r="C214" s="7">
        <v>0.0</v>
      </c>
      <c r="D214" s="7">
        <v>0.4</v>
      </c>
      <c r="E214" s="7">
        <v>0.0</v>
      </c>
      <c r="F214" s="7">
        <v>0.205</v>
      </c>
      <c r="G214" s="7">
        <v>0.0</v>
      </c>
      <c r="H214" s="7">
        <v>0.401</v>
      </c>
      <c r="I214" s="7">
        <v>0.0</v>
      </c>
    </row>
    <row r="215">
      <c r="A215" s="7" t="s">
        <v>2257</v>
      </c>
      <c r="B215" s="7">
        <v>0.1596</v>
      </c>
      <c r="C215" s="7">
        <v>0.0181466250305669</v>
      </c>
      <c r="D215" s="7">
        <v>0.3014</v>
      </c>
      <c r="E215" s="7">
        <v>0.0208638443245725</v>
      </c>
      <c r="F215" s="7">
        <v>0.0998</v>
      </c>
      <c r="G215" s="7">
        <v>0.0202657346276911</v>
      </c>
      <c r="H215" s="7">
        <v>0.2706</v>
      </c>
      <c r="I215" s="7">
        <v>0.0295601082541996</v>
      </c>
    </row>
    <row r="216">
      <c r="A216" s="7" t="s">
        <v>2258</v>
      </c>
      <c r="B216" s="7">
        <v>0.212</v>
      </c>
      <c r="C216" s="7">
        <v>0.0</v>
      </c>
      <c r="D216" s="7">
        <v>0.198</v>
      </c>
      <c r="E216" s="7">
        <v>0.0</v>
      </c>
      <c r="F216" s="7">
        <v>0.112</v>
      </c>
      <c r="G216" s="7">
        <v>0.0</v>
      </c>
      <c r="H216" s="7">
        <v>0.144</v>
      </c>
      <c r="I216" s="7">
        <v>0.0</v>
      </c>
    </row>
    <row r="217">
      <c r="A217" s="7" t="s">
        <v>2259</v>
      </c>
      <c r="B217" s="7">
        <v>0.145</v>
      </c>
      <c r="C217" s="7">
        <v>0.0</v>
      </c>
      <c r="D217" s="7">
        <v>0.322</v>
      </c>
      <c r="E217" s="7">
        <v>0.0</v>
      </c>
      <c r="F217" s="7">
        <v>0.11</v>
      </c>
      <c r="G217" s="7">
        <v>0.0</v>
      </c>
      <c r="H217" s="7">
        <v>0.304</v>
      </c>
      <c r="I217" s="7">
        <v>0.0</v>
      </c>
    </row>
    <row r="218">
      <c r="A218" s="7" t="s">
        <v>2260</v>
      </c>
      <c r="B218" s="7">
        <v>0.1788</v>
      </c>
      <c r="C218" s="7">
        <v>0.0259846108302587</v>
      </c>
      <c r="D218" s="7">
        <v>0.3128</v>
      </c>
      <c r="E218" s="7">
        <v>0.026771253239249</v>
      </c>
      <c r="F218" s="7">
        <v>0.0958</v>
      </c>
      <c r="G218" s="7">
        <v>0.024863628053846</v>
      </c>
      <c r="H218" s="7">
        <v>0.2722</v>
      </c>
      <c r="I218" s="7">
        <v>0.0399899987496874</v>
      </c>
    </row>
    <row r="219">
      <c r="A219" s="7" t="s">
        <v>2261</v>
      </c>
      <c r="B219" s="7">
        <v>0.227</v>
      </c>
      <c r="C219" s="7">
        <v>0.0</v>
      </c>
      <c r="D219" s="7">
        <v>0.182</v>
      </c>
      <c r="E219" s="7">
        <v>0.0</v>
      </c>
      <c r="F219" s="7">
        <v>0.093</v>
      </c>
      <c r="G219" s="7">
        <v>0.0</v>
      </c>
      <c r="H219" s="7">
        <v>0.138</v>
      </c>
      <c r="I219" s="7">
        <v>0.0</v>
      </c>
    </row>
    <row r="220">
      <c r="A220" s="7" t="s">
        <v>2262</v>
      </c>
      <c r="B220" s="7">
        <v>0.165</v>
      </c>
      <c r="C220" s="7">
        <v>0.0</v>
      </c>
      <c r="D220" s="7">
        <v>0.349</v>
      </c>
      <c r="E220" s="7">
        <v>0.0</v>
      </c>
      <c r="F220" s="7">
        <v>0.134</v>
      </c>
      <c r="G220" s="7">
        <v>0.0</v>
      </c>
      <c r="H220" s="7">
        <v>0.329</v>
      </c>
      <c r="I220" s="7">
        <v>0.0</v>
      </c>
    </row>
    <row r="221">
      <c r="A221" s="7" t="s">
        <v>2263</v>
      </c>
      <c r="B221" s="7">
        <v>0.2604</v>
      </c>
      <c r="C221" s="7">
        <v>0.0186493967730862</v>
      </c>
      <c r="D221" s="7">
        <v>0.3488</v>
      </c>
      <c r="E221" s="7">
        <v>0.0121119775429117</v>
      </c>
      <c r="F221" s="7">
        <v>0.1682</v>
      </c>
      <c r="G221" s="7">
        <v>0.0151558569536664</v>
      </c>
      <c r="H221" s="7">
        <v>0.3202</v>
      </c>
      <c r="I221" s="7">
        <v>0.0232314442082277</v>
      </c>
    </row>
    <row r="222">
      <c r="A222" s="7" t="s">
        <v>2264</v>
      </c>
      <c r="B222" s="7">
        <v>0.343</v>
      </c>
      <c r="C222" s="7">
        <v>0.0</v>
      </c>
      <c r="D222" s="7">
        <v>0.198</v>
      </c>
      <c r="E222" s="7">
        <v>0.0</v>
      </c>
      <c r="F222" s="7">
        <v>0.188</v>
      </c>
      <c r="G222" s="7">
        <v>0.0</v>
      </c>
      <c r="H222" s="7">
        <v>0.169</v>
      </c>
      <c r="I222" s="7">
        <v>0.0</v>
      </c>
    </row>
    <row r="223">
      <c r="A223" s="7" t="s">
        <v>2265</v>
      </c>
      <c r="B223" s="7">
        <v>0.234</v>
      </c>
      <c r="C223" s="7">
        <v>0.0</v>
      </c>
      <c r="D223" s="7">
        <v>0.376</v>
      </c>
      <c r="E223" s="7">
        <v>0.0</v>
      </c>
      <c r="F223" s="7">
        <v>0.186</v>
      </c>
      <c r="G223" s="7">
        <v>0.0</v>
      </c>
      <c r="H223" s="7">
        <v>0.363</v>
      </c>
      <c r="I223" s="7">
        <v>0.0</v>
      </c>
    </row>
    <row r="224">
      <c r="A224" s="7" t="s">
        <v>2266</v>
      </c>
      <c r="B224" s="7">
        <v>0.2748</v>
      </c>
      <c r="C224" s="7">
        <v>0.0215684955432686</v>
      </c>
      <c r="D224" s="7">
        <v>0.3604</v>
      </c>
      <c r="E224" s="7">
        <v>0.0125019998400255</v>
      </c>
      <c r="F224" s="7">
        <v>0.187199999999999</v>
      </c>
      <c r="G224" s="7">
        <v>0.0172539850469391</v>
      </c>
      <c r="H224" s="7">
        <v>0.336599999999999</v>
      </c>
      <c r="I224" s="7">
        <v>0.0213845738793177</v>
      </c>
    </row>
    <row r="225">
      <c r="A225" s="7" t="s">
        <v>2267</v>
      </c>
      <c r="B225" s="7">
        <v>0.329</v>
      </c>
      <c r="C225" s="7">
        <v>0.0</v>
      </c>
      <c r="D225" s="7">
        <v>0.183</v>
      </c>
      <c r="E225" s="7">
        <v>0.0</v>
      </c>
      <c r="F225" s="7">
        <v>0.185</v>
      </c>
      <c r="G225" s="7">
        <v>0.0</v>
      </c>
      <c r="H225" s="7">
        <v>0.144</v>
      </c>
      <c r="I225" s="7">
        <v>0.0</v>
      </c>
    </row>
    <row r="226">
      <c r="A226" s="7" t="s">
        <v>2268</v>
      </c>
      <c r="B226" s="7">
        <v>0.344</v>
      </c>
      <c r="C226" s="7">
        <v>0.0</v>
      </c>
      <c r="D226" s="7">
        <v>0.443</v>
      </c>
      <c r="E226" s="7">
        <v>0.0</v>
      </c>
      <c r="F226" s="7">
        <v>0.301</v>
      </c>
      <c r="G226" s="7">
        <v>0.0</v>
      </c>
      <c r="H226" s="7">
        <v>0.442</v>
      </c>
      <c r="I226" s="7">
        <v>0.0</v>
      </c>
    </row>
    <row r="227">
      <c r="A227" s="7" t="s">
        <v>2269</v>
      </c>
      <c r="B227" s="7">
        <v>0.2704</v>
      </c>
      <c r="C227" s="7">
        <v>0.0343263746993474</v>
      </c>
      <c r="D227" s="7">
        <v>0.4176</v>
      </c>
      <c r="E227" s="7">
        <v>0.0171551741465949</v>
      </c>
      <c r="F227" s="7">
        <v>0.2434</v>
      </c>
      <c r="G227" s="7">
        <v>0.0314054135460751</v>
      </c>
      <c r="H227" s="7">
        <v>0.4068</v>
      </c>
      <c r="I227" s="7">
        <v>0.0199298770693649</v>
      </c>
    </row>
    <row r="228">
      <c r="A228" s="7" t="s">
        <v>2270</v>
      </c>
      <c r="B228" s="7">
        <v>0.336</v>
      </c>
      <c r="C228" s="7">
        <v>0.0</v>
      </c>
      <c r="D228" s="7">
        <v>0.319</v>
      </c>
      <c r="E228" s="7">
        <v>0.0</v>
      </c>
      <c r="F228" s="7">
        <v>0.261</v>
      </c>
      <c r="G228" s="7">
        <v>0.0</v>
      </c>
      <c r="H228" s="7">
        <v>0.308</v>
      </c>
      <c r="I228" s="7">
        <v>0.0</v>
      </c>
    </row>
    <row r="229">
      <c r="A229" s="7" t="s">
        <v>2271</v>
      </c>
      <c r="B229" s="7">
        <v>0.275</v>
      </c>
      <c r="C229" s="7">
        <v>0.0</v>
      </c>
      <c r="D229" s="7">
        <v>0.439</v>
      </c>
      <c r="E229" s="7">
        <v>0.0</v>
      </c>
      <c r="F229" s="7">
        <v>0.262</v>
      </c>
      <c r="G229" s="7">
        <v>0.0</v>
      </c>
      <c r="H229" s="7">
        <v>0.431</v>
      </c>
      <c r="I229" s="7">
        <v>0.0</v>
      </c>
    </row>
    <row r="230">
      <c r="A230" s="7" t="s">
        <v>2272</v>
      </c>
      <c r="B230" s="7">
        <v>0.2542</v>
      </c>
      <c r="C230" s="7">
        <v>0.0165740761431821</v>
      </c>
      <c r="D230" s="7">
        <v>0.421</v>
      </c>
      <c r="E230" s="7">
        <v>0.00871779788708135</v>
      </c>
      <c r="F230" s="7">
        <v>0.242</v>
      </c>
      <c r="G230" s="7">
        <v>0.0185337529928506</v>
      </c>
      <c r="H230" s="7">
        <v>0.416599999999999</v>
      </c>
      <c r="I230" s="7">
        <v>0.0125419296760905</v>
      </c>
    </row>
    <row r="231">
      <c r="A231" s="7" t="s">
        <v>2273</v>
      </c>
      <c r="B231" s="7">
        <v>0.29</v>
      </c>
      <c r="C231" s="7">
        <v>0.0</v>
      </c>
      <c r="D231" s="7">
        <v>0.343</v>
      </c>
      <c r="E231" s="7">
        <v>0.0</v>
      </c>
      <c r="F231" s="7">
        <v>0.234</v>
      </c>
      <c r="G231" s="7">
        <v>0.0</v>
      </c>
      <c r="H231" s="7">
        <v>0.322</v>
      </c>
      <c r="I231" s="7">
        <v>0.0</v>
      </c>
    </row>
    <row r="232">
      <c r="A232" s="7" t="s">
        <v>2274</v>
      </c>
      <c r="B232" s="7">
        <v>0.257</v>
      </c>
      <c r="C232" s="7">
        <v>0.0</v>
      </c>
      <c r="D232" s="7">
        <v>0.437</v>
      </c>
      <c r="E232" s="7">
        <v>0.0</v>
      </c>
      <c r="F232" s="7">
        <v>0.257</v>
      </c>
      <c r="G232" s="7">
        <v>0.0</v>
      </c>
      <c r="H232" s="7">
        <v>0.437</v>
      </c>
      <c r="I232" s="7">
        <v>0.0</v>
      </c>
    </row>
    <row r="233">
      <c r="A233" s="7" t="s">
        <v>2275</v>
      </c>
      <c r="B233" s="7">
        <v>0.2782</v>
      </c>
      <c r="C233" s="7">
        <v>0.0167988094816269</v>
      </c>
      <c r="D233" s="7">
        <v>0.429199999999999</v>
      </c>
      <c r="E233" s="7">
        <v>0.00544977063737549</v>
      </c>
      <c r="F233" s="7">
        <v>0.2544</v>
      </c>
      <c r="G233" s="7">
        <v>0.0113710157857598</v>
      </c>
      <c r="H233" s="7">
        <v>0.422999999999999</v>
      </c>
      <c r="I233" s="7">
        <v>0.00291547594742265</v>
      </c>
    </row>
    <row r="234">
      <c r="A234" s="7" t="s">
        <v>2276</v>
      </c>
      <c r="B234" s="7">
        <v>0.309</v>
      </c>
      <c r="C234" s="7">
        <v>0.0</v>
      </c>
      <c r="D234" s="7">
        <v>0.344</v>
      </c>
      <c r="E234" s="7">
        <v>0.0</v>
      </c>
      <c r="F234" s="7">
        <v>0.234</v>
      </c>
      <c r="G234" s="7">
        <v>0.0</v>
      </c>
      <c r="H234" s="7">
        <v>0.325</v>
      </c>
      <c r="I234" s="7">
        <v>0.0</v>
      </c>
    </row>
    <row r="235">
      <c r="A235" s="7" t="s">
        <v>2277</v>
      </c>
      <c r="B235" s="7">
        <v>0.277</v>
      </c>
      <c r="C235" s="7">
        <v>0.0</v>
      </c>
      <c r="D235" s="7">
        <v>0.442</v>
      </c>
      <c r="E235" s="7">
        <v>0.0</v>
      </c>
      <c r="F235" s="7">
        <v>0.269</v>
      </c>
      <c r="G235" s="7">
        <v>0.0</v>
      </c>
      <c r="H235" s="7">
        <v>0.442</v>
      </c>
      <c r="I235" s="7">
        <v>0.0</v>
      </c>
    </row>
    <row r="236">
      <c r="A236" s="7" t="s">
        <v>2278</v>
      </c>
      <c r="B236" s="7">
        <v>0.2652</v>
      </c>
      <c r="C236" s="7">
        <v>0.0127553910171346</v>
      </c>
      <c r="D236" s="7">
        <v>0.4256</v>
      </c>
      <c r="E236" s="7">
        <v>0.0044497190922574</v>
      </c>
      <c r="F236" s="7">
        <v>0.2544</v>
      </c>
      <c r="G236" s="7">
        <v>0.0179805450417944</v>
      </c>
      <c r="H236" s="7">
        <v>0.4206</v>
      </c>
      <c r="I236" s="7">
        <v>0.00971081870904815</v>
      </c>
    </row>
    <row r="237">
      <c r="A237" s="7" t="s">
        <v>2279</v>
      </c>
      <c r="B237" s="7">
        <v>0.318</v>
      </c>
      <c r="C237" s="7">
        <v>0.0</v>
      </c>
      <c r="D237" s="7">
        <v>0.357</v>
      </c>
      <c r="E237" s="7">
        <v>0.0</v>
      </c>
      <c r="F237" s="7">
        <v>0.272</v>
      </c>
      <c r="G237" s="7">
        <v>0.0</v>
      </c>
      <c r="H237" s="7">
        <v>0.339</v>
      </c>
      <c r="I237" s="7">
        <v>0.0</v>
      </c>
    </row>
    <row r="238">
      <c r="A238" s="7" t="s">
        <v>2280</v>
      </c>
      <c r="B238" s="7">
        <v>0.276</v>
      </c>
      <c r="C238" s="7">
        <v>0.0</v>
      </c>
      <c r="D238" s="7">
        <v>0.442</v>
      </c>
      <c r="E238" s="7">
        <v>0.0</v>
      </c>
      <c r="F238" s="7">
        <v>0.269</v>
      </c>
      <c r="G238" s="7">
        <v>0.0</v>
      </c>
      <c r="H238" s="7">
        <v>0.438</v>
      </c>
      <c r="I238" s="7">
        <v>0.0</v>
      </c>
    </row>
    <row r="239">
      <c r="A239" s="7" t="s">
        <v>2281</v>
      </c>
      <c r="B239" s="7">
        <v>0.285599999999999</v>
      </c>
      <c r="C239" s="7">
        <v>0.00497995983919547</v>
      </c>
      <c r="D239" s="7">
        <v>0.4512</v>
      </c>
      <c r="E239" s="7">
        <v>0.00178885438199983</v>
      </c>
      <c r="F239" s="7">
        <v>0.284199999999999</v>
      </c>
      <c r="G239" s="7">
        <v>0.00501996015920442</v>
      </c>
      <c r="H239" s="7">
        <v>0.4502</v>
      </c>
      <c r="I239" s="7">
        <v>0.00248997991959774</v>
      </c>
    </row>
    <row r="240">
      <c r="A240" s="7" t="s">
        <v>2282</v>
      </c>
      <c r="B240" s="7">
        <v>0.293</v>
      </c>
      <c r="C240" s="7">
        <v>0.0</v>
      </c>
      <c r="D240" s="7">
        <v>0.449</v>
      </c>
      <c r="E240" s="7">
        <v>0.0</v>
      </c>
      <c r="F240" s="7">
        <v>0.286</v>
      </c>
      <c r="G240" s="7">
        <v>0.0</v>
      </c>
      <c r="H240" s="7">
        <v>0.445</v>
      </c>
      <c r="I240" s="7">
        <v>0.0</v>
      </c>
    </row>
    <row r="241">
      <c r="A241" s="7" t="s">
        <v>2283</v>
      </c>
      <c r="B241" s="7">
        <v>0.287</v>
      </c>
      <c r="C241" s="7">
        <v>0.0</v>
      </c>
      <c r="D241" s="7">
        <v>0.452</v>
      </c>
      <c r="E241" s="7">
        <v>0.0</v>
      </c>
      <c r="F241" s="7">
        <v>0.287</v>
      </c>
      <c r="G241" s="7">
        <v>0.0</v>
      </c>
      <c r="H241" s="7">
        <v>0.452</v>
      </c>
      <c r="I241" s="7">
        <v>0.0</v>
      </c>
    </row>
    <row r="242">
      <c r="A242" s="7" t="s">
        <v>2284</v>
      </c>
      <c r="B242" s="7">
        <v>0.291599999999999</v>
      </c>
      <c r="C242" s="7">
        <v>0.0117175082675456</v>
      </c>
      <c r="D242" s="7">
        <v>0.4482</v>
      </c>
      <c r="E242" s="7">
        <v>0.00742967024840269</v>
      </c>
      <c r="F242" s="7">
        <v>0.2844</v>
      </c>
      <c r="G242" s="7">
        <v>0.0125419296760905</v>
      </c>
      <c r="H242" s="7">
        <v>0.4458</v>
      </c>
      <c r="I242" s="7">
        <v>0.00846758525200662</v>
      </c>
    </row>
    <row r="243">
      <c r="A243" s="7" t="s">
        <v>2285</v>
      </c>
      <c r="B243" s="7">
        <v>0.334</v>
      </c>
      <c r="C243" s="7">
        <v>0.0</v>
      </c>
      <c r="D243" s="7">
        <v>0.435</v>
      </c>
      <c r="E243" s="7">
        <v>0.0</v>
      </c>
      <c r="F243" s="7">
        <v>0.307</v>
      </c>
      <c r="G243" s="7">
        <v>0.0</v>
      </c>
      <c r="H243" s="7">
        <v>0.431</v>
      </c>
      <c r="I243" s="7">
        <v>0.0</v>
      </c>
    </row>
    <row r="244">
      <c r="A244" s="7" t="s">
        <v>2286</v>
      </c>
      <c r="B244" s="7">
        <v>0.277</v>
      </c>
      <c r="C244" s="7">
        <v>0.0</v>
      </c>
      <c r="D244" s="7">
        <v>0.448</v>
      </c>
      <c r="E244" s="7">
        <v>0.0</v>
      </c>
      <c r="F244" s="7">
        <v>0.277</v>
      </c>
      <c r="G244" s="7">
        <v>0.0</v>
      </c>
      <c r="H244" s="7">
        <v>0.448</v>
      </c>
      <c r="I244" s="7">
        <v>0.0</v>
      </c>
    </row>
    <row r="245">
      <c r="A245" s="7" t="s">
        <v>2287</v>
      </c>
      <c r="B245" s="7">
        <v>0.1936</v>
      </c>
      <c r="C245" s="7">
        <v>0.0345658791295693</v>
      </c>
      <c r="D245" s="7">
        <v>0.352799999999999</v>
      </c>
      <c r="E245" s="7">
        <v>0.0315230074707347</v>
      </c>
      <c r="F245" s="7">
        <v>0.1488</v>
      </c>
      <c r="G245" s="7">
        <v>0.0305973855092228</v>
      </c>
      <c r="H245" s="7">
        <v>0.3398</v>
      </c>
      <c r="I245" s="7">
        <v>0.0388162337173507</v>
      </c>
    </row>
    <row r="246">
      <c r="A246" s="7" t="s">
        <v>2288</v>
      </c>
      <c r="B246" s="7">
        <v>0.242</v>
      </c>
      <c r="C246" s="7">
        <v>0.0</v>
      </c>
      <c r="D246" s="7">
        <v>0.231</v>
      </c>
      <c r="E246" s="7">
        <v>0.0</v>
      </c>
      <c r="F246" s="7">
        <v>0.143</v>
      </c>
      <c r="G246" s="7">
        <v>0.0</v>
      </c>
      <c r="H246" s="7">
        <v>0.192</v>
      </c>
      <c r="I246" s="7">
        <v>0.0</v>
      </c>
    </row>
    <row r="247">
      <c r="A247" s="7" t="s">
        <v>2289</v>
      </c>
      <c r="B247" s="7">
        <v>0.272</v>
      </c>
      <c r="C247" s="7">
        <v>0.0</v>
      </c>
      <c r="D247" s="7">
        <v>0.437</v>
      </c>
      <c r="E247" s="7">
        <v>0.0</v>
      </c>
      <c r="F247" s="7">
        <v>0.257</v>
      </c>
      <c r="G247" s="7">
        <v>0.0</v>
      </c>
      <c r="H247" s="7">
        <v>0.437</v>
      </c>
      <c r="I247" s="7">
        <v>0.0</v>
      </c>
    </row>
    <row r="248">
      <c r="A248" s="7" t="s">
        <v>2290</v>
      </c>
      <c r="B248" s="7">
        <v>0.1888</v>
      </c>
      <c r="C248" s="7">
        <v>0.0298026844428484</v>
      </c>
      <c r="D248" s="7">
        <v>0.3556</v>
      </c>
      <c r="E248" s="7">
        <v>0.0205012194759238</v>
      </c>
      <c r="F248" s="7">
        <v>0.1394</v>
      </c>
      <c r="G248" s="7">
        <v>0.0200449494885868</v>
      </c>
      <c r="H248" s="7">
        <v>0.3352</v>
      </c>
      <c r="I248" s="7">
        <v>0.0202163300329213</v>
      </c>
    </row>
    <row r="249">
      <c r="A249" s="7" t="s">
        <v>2291</v>
      </c>
      <c r="B249" s="7">
        <v>0.217</v>
      </c>
      <c r="C249" s="7">
        <v>0.0</v>
      </c>
      <c r="D249" s="7">
        <v>0.221</v>
      </c>
      <c r="E249" s="7">
        <v>0.0</v>
      </c>
      <c r="F249" s="7">
        <v>0.125</v>
      </c>
      <c r="G249" s="7">
        <v>0.0</v>
      </c>
      <c r="H249" s="7">
        <v>0.189</v>
      </c>
      <c r="I249" s="7">
        <v>0.0</v>
      </c>
    </row>
    <row r="250">
      <c r="A250" s="7" t="s">
        <v>2292</v>
      </c>
      <c r="B250" s="7">
        <v>0.28</v>
      </c>
      <c r="C250" s="7">
        <v>0.0</v>
      </c>
      <c r="D250" s="7">
        <v>0.442</v>
      </c>
      <c r="E250" s="7">
        <v>0.0</v>
      </c>
      <c r="F250" s="7">
        <v>0.248</v>
      </c>
      <c r="G250" s="7">
        <v>0.0</v>
      </c>
      <c r="H250" s="7">
        <v>0.432</v>
      </c>
      <c r="I250" s="7">
        <v>0.0</v>
      </c>
    </row>
    <row r="251">
      <c r="A251" s="7" t="s">
        <v>2293</v>
      </c>
      <c r="B251" s="7">
        <v>0.2008</v>
      </c>
      <c r="C251" s="7">
        <v>0.0343467611282344</v>
      </c>
      <c r="D251" s="7">
        <v>0.3732</v>
      </c>
      <c r="E251" s="7">
        <v>0.0264234744119693</v>
      </c>
      <c r="F251" s="7">
        <v>0.1686</v>
      </c>
      <c r="G251" s="7">
        <v>0.0298964880880681</v>
      </c>
      <c r="H251" s="7">
        <v>0.366</v>
      </c>
      <c r="I251" s="7">
        <v>0.027258026340878</v>
      </c>
    </row>
    <row r="252">
      <c r="A252" s="7" t="s">
        <v>2295</v>
      </c>
      <c r="B252" s="7">
        <v>0.235</v>
      </c>
      <c r="C252" s="7">
        <v>0.0</v>
      </c>
      <c r="D252" s="7">
        <v>0.234</v>
      </c>
      <c r="E252" s="7">
        <v>0.0</v>
      </c>
      <c r="F252" s="7">
        <v>0.148</v>
      </c>
      <c r="G252" s="7">
        <v>0.0</v>
      </c>
      <c r="H252" s="7">
        <v>0.206</v>
      </c>
      <c r="I252" s="7">
        <v>0.0</v>
      </c>
    </row>
    <row r="253">
      <c r="A253" s="7" t="s">
        <v>2296</v>
      </c>
      <c r="B253" s="7">
        <v>0.292</v>
      </c>
      <c r="C253" s="7">
        <v>0.0</v>
      </c>
      <c r="D253" s="7">
        <v>0.452</v>
      </c>
      <c r="E253" s="7">
        <v>0.0</v>
      </c>
      <c r="F253" s="7">
        <v>0.287</v>
      </c>
      <c r="G253" s="7">
        <v>0.0</v>
      </c>
      <c r="H253" s="7">
        <v>0.452</v>
      </c>
      <c r="I253" s="7">
        <v>0.0</v>
      </c>
    </row>
    <row r="254">
      <c r="A254" s="7" t="s">
        <v>2297</v>
      </c>
      <c r="B254" s="7">
        <v>0.1968</v>
      </c>
      <c r="C254" s="7">
        <v>0.035569649984221</v>
      </c>
      <c r="D254" s="7">
        <v>0.3686</v>
      </c>
      <c r="E254" s="7">
        <v>0.0270610421085367</v>
      </c>
      <c r="F254" s="7">
        <v>0.161199999999999</v>
      </c>
      <c r="G254" s="7">
        <v>0.0338186339168216</v>
      </c>
      <c r="H254" s="7">
        <v>0.355</v>
      </c>
      <c r="I254" s="7">
        <v>0.0299081928574763</v>
      </c>
    </row>
    <row r="255">
      <c r="A255" s="7" t="s">
        <v>2298</v>
      </c>
      <c r="B255" s="7">
        <v>0.228</v>
      </c>
      <c r="C255" s="7">
        <v>0.0</v>
      </c>
      <c r="D255" s="7">
        <v>0.236</v>
      </c>
      <c r="E255" s="7">
        <v>0.0</v>
      </c>
      <c r="F255" s="7">
        <v>0.143</v>
      </c>
      <c r="G255" s="7">
        <v>0.0</v>
      </c>
      <c r="H255" s="7">
        <v>0.198</v>
      </c>
      <c r="I255" s="7">
        <v>0.0</v>
      </c>
    </row>
    <row r="256">
      <c r="A256" s="7" t="s">
        <v>2299</v>
      </c>
      <c r="B256" s="7">
        <v>0.297</v>
      </c>
      <c r="C256" s="7">
        <v>0.0</v>
      </c>
      <c r="D256" s="7">
        <v>0.457</v>
      </c>
      <c r="E256" s="7">
        <v>0.0</v>
      </c>
      <c r="F256" s="7">
        <v>0.287</v>
      </c>
      <c r="G256" s="7">
        <v>0.0</v>
      </c>
      <c r="H256" s="7">
        <v>0.452</v>
      </c>
      <c r="I256" s="7">
        <v>0.0</v>
      </c>
    </row>
    <row r="257">
      <c r="A257" s="7" t="s">
        <v>2300</v>
      </c>
      <c r="B257" s="7">
        <v>0.1724</v>
      </c>
      <c r="C257" s="7">
        <v>0.0321449840566144</v>
      </c>
      <c r="D257" s="7">
        <v>0.3466</v>
      </c>
      <c r="E257" s="7">
        <v>0.0252942681254073</v>
      </c>
      <c r="F257" s="7">
        <v>0.1396</v>
      </c>
      <c r="G257" s="7">
        <v>0.0314531397478852</v>
      </c>
      <c r="H257" s="7">
        <v>0.3316</v>
      </c>
      <c r="I257" s="7">
        <v>0.0297371821126346</v>
      </c>
    </row>
    <row r="258">
      <c r="A258" s="7" t="s">
        <v>2301</v>
      </c>
      <c r="B258" s="7">
        <v>0.216</v>
      </c>
      <c r="C258" s="7">
        <v>0.0</v>
      </c>
      <c r="D258" s="7">
        <v>0.237</v>
      </c>
      <c r="E258" s="7">
        <v>0.0</v>
      </c>
      <c r="F258" s="7">
        <v>0.126</v>
      </c>
      <c r="G258" s="7">
        <v>0.0</v>
      </c>
      <c r="H258" s="7">
        <v>0.2</v>
      </c>
      <c r="I258" s="7">
        <v>0.0</v>
      </c>
    </row>
    <row r="259">
      <c r="A259" s="7" t="s">
        <v>2302</v>
      </c>
      <c r="B259" s="7">
        <v>0.271</v>
      </c>
      <c r="C259" s="7">
        <v>0.0</v>
      </c>
      <c r="D259" s="7">
        <v>0.436</v>
      </c>
      <c r="E259" s="7">
        <v>0.0</v>
      </c>
      <c r="F259" s="7">
        <v>0.257</v>
      </c>
      <c r="G259" s="7">
        <v>0.0</v>
      </c>
      <c r="H259" s="7">
        <v>0.43</v>
      </c>
      <c r="I259" s="7">
        <v>0.0</v>
      </c>
    </row>
    <row r="260">
      <c r="A260" s="7" t="s">
        <v>2303</v>
      </c>
      <c r="B260" s="7">
        <v>0.1444</v>
      </c>
      <c r="C260" s="7">
        <v>0.024845522735495</v>
      </c>
      <c r="D260" s="7">
        <v>0.3166</v>
      </c>
      <c r="E260" s="7">
        <v>0.0236600929837564</v>
      </c>
      <c r="F260" s="7">
        <v>0.1102</v>
      </c>
      <c r="G260" s="7">
        <v>0.0265650145868584</v>
      </c>
      <c r="H260" s="7">
        <v>0.3004</v>
      </c>
      <c r="I260" s="7">
        <v>0.035990276464623</v>
      </c>
    </row>
    <row r="261">
      <c r="A261" s="7" t="s">
        <v>2304</v>
      </c>
      <c r="B261" s="7">
        <v>0.198</v>
      </c>
      <c r="C261" s="7">
        <v>0.0</v>
      </c>
      <c r="D261" s="7">
        <v>0.22</v>
      </c>
      <c r="E261" s="7">
        <v>0.0</v>
      </c>
      <c r="F261" s="7">
        <v>0.117</v>
      </c>
      <c r="G261" s="7">
        <v>0.0</v>
      </c>
      <c r="H261" s="7">
        <v>0.183</v>
      </c>
      <c r="I261" s="7">
        <v>0.0</v>
      </c>
    </row>
    <row r="262">
      <c r="A262" s="7" t="s">
        <v>2305</v>
      </c>
      <c r="B262" s="7">
        <v>0.211</v>
      </c>
      <c r="C262" s="7">
        <v>0.0</v>
      </c>
      <c r="D262" s="7">
        <v>0.405</v>
      </c>
      <c r="E262" s="7">
        <v>0.0</v>
      </c>
      <c r="F262" s="7">
        <v>0.208</v>
      </c>
      <c r="G262" s="7">
        <v>0.0</v>
      </c>
      <c r="H262" s="7">
        <v>0.406</v>
      </c>
      <c r="I262" s="7">
        <v>0.0</v>
      </c>
    </row>
    <row r="263">
      <c r="A263" s="7" t="s">
        <v>2306</v>
      </c>
      <c r="B263" s="7">
        <v>0.1712</v>
      </c>
      <c r="C263" s="7">
        <v>0.0409963413001697</v>
      </c>
      <c r="D263" s="7">
        <v>0.325</v>
      </c>
      <c r="E263" s="7">
        <v>0.0286966897045634</v>
      </c>
      <c r="F263" s="7">
        <v>0.1196</v>
      </c>
      <c r="G263" s="7">
        <v>0.0334260377550196</v>
      </c>
      <c r="H263" s="7">
        <v>0.297199999999999</v>
      </c>
      <c r="I263" s="7">
        <v>0.0359123934039489</v>
      </c>
    </row>
    <row r="264">
      <c r="A264" s="7" t="s">
        <v>2307</v>
      </c>
      <c r="B264" s="7">
        <v>0.232</v>
      </c>
      <c r="C264" s="7">
        <v>0.0</v>
      </c>
      <c r="D264" s="7">
        <v>0.202</v>
      </c>
      <c r="E264" s="7">
        <v>0.0</v>
      </c>
      <c r="F264" s="7">
        <v>0.137</v>
      </c>
      <c r="G264" s="7">
        <v>0.0</v>
      </c>
      <c r="H264" s="7">
        <v>0.154</v>
      </c>
      <c r="I264" s="7">
        <v>0.0</v>
      </c>
    </row>
    <row r="265">
      <c r="A265" s="7" t="s">
        <v>2308</v>
      </c>
      <c r="B265" s="7">
        <v>0.221</v>
      </c>
      <c r="C265" s="7">
        <v>0.0</v>
      </c>
      <c r="D265" s="7">
        <v>0.393</v>
      </c>
      <c r="E265" s="7">
        <v>0.0</v>
      </c>
      <c r="F265" s="7">
        <v>0.191</v>
      </c>
      <c r="G265" s="7">
        <v>0.0</v>
      </c>
      <c r="H265" s="7">
        <v>0.39</v>
      </c>
      <c r="I265" s="7">
        <v>0.0</v>
      </c>
    </row>
    <row r="266">
      <c r="A266" s="7" t="s">
        <v>2309</v>
      </c>
      <c r="B266" s="7">
        <v>0.1846</v>
      </c>
      <c r="C266" s="7">
        <v>0.0374606460168534</v>
      </c>
      <c r="D266" s="7">
        <v>0.3264</v>
      </c>
      <c r="E266" s="7">
        <v>0.0265763052360556</v>
      </c>
      <c r="F266" s="7">
        <v>0.1186</v>
      </c>
      <c r="G266" s="7">
        <v>0.0371658445350028</v>
      </c>
      <c r="H266" s="7">
        <v>0.2898</v>
      </c>
      <c r="I266" s="7">
        <v>0.0452570436506849</v>
      </c>
    </row>
    <row r="267">
      <c r="A267" s="7" t="s">
        <v>2310</v>
      </c>
      <c r="B267" s="7">
        <v>0.224</v>
      </c>
      <c r="C267" s="7">
        <v>0.0</v>
      </c>
      <c r="D267" s="7">
        <v>0.211</v>
      </c>
      <c r="E267" s="7">
        <v>0.0</v>
      </c>
      <c r="F267" s="7">
        <v>0.121</v>
      </c>
      <c r="G267" s="7">
        <v>0.0</v>
      </c>
      <c r="H267" s="7">
        <v>0.163</v>
      </c>
      <c r="I267" s="7">
        <v>0.0</v>
      </c>
    </row>
    <row r="268">
      <c r="A268" s="7" t="s">
        <v>2311</v>
      </c>
      <c r="B268" s="7">
        <v>0.277</v>
      </c>
      <c r="C268" s="7">
        <v>0.0</v>
      </c>
      <c r="D268" s="7">
        <v>0.427</v>
      </c>
      <c r="E268" s="7">
        <v>0.0</v>
      </c>
      <c r="F268" s="7">
        <v>0.228</v>
      </c>
      <c r="G268" s="7">
        <v>0.0</v>
      </c>
      <c r="H268" s="7">
        <v>0.413</v>
      </c>
      <c r="I268" s="7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5.5"/>
  </cols>
  <sheetData>
    <row r="1">
      <c r="A1" s="7" t="s">
        <v>96</v>
      </c>
      <c r="B1" s="7" t="s">
        <v>2031</v>
      </c>
      <c r="C1" s="7" t="s">
        <v>2033</v>
      </c>
      <c r="D1" s="7" t="s">
        <v>2034</v>
      </c>
      <c r="E1" s="7" t="s">
        <v>2035</v>
      </c>
      <c r="F1" s="7" t="s">
        <v>2036</v>
      </c>
      <c r="G1" s="7" t="s">
        <v>2037</v>
      </c>
      <c r="H1" s="7" t="s">
        <v>2038</v>
      </c>
    </row>
    <row r="2">
      <c r="A2" s="7" t="s">
        <v>2039</v>
      </c>
      <c r="B2" s="7">
        <v>0.4362</v>
      </c>
      <c r="C2" s="7">
        <v>0.371</v>
      </c>
      <c r="D2" s="7">
        <v>0.00803118920210451</v>
      </c>
      <c r="E2" s="7">
        <v>0.3042</v>
      </c>
      <c r="F2" s="7">
        <v>0.0224321198284959</v>
      </c>
      <c r="G2" s="7">
        <v>0.3292</v>
      </c>
      <c r="H2" s="7">
        <v>0.0134052228627501</v>
      </c>
    </row>
    <row r="3">
      <c r="A3" s="7" t="s">
        <v>2041</v>
      </c>
      <c r="B3" s="7">
        <v>0.499</v>
      </c>
      <c r="C3" s="7">
        <v>0.317</v>
      </c>
      <c r="D3" s="7">
        <v>0.0</v>
      </c>
      <c r="E3" s="7">
        <v>0.35</v>
      </c>
      <c r="F3" s="7">
        <v>0.0</v>
      </c>
      <c r="G3" s="7">
        <v>0.285</v>
      </c>
      <c r="H3" s="7">
        <v>0.0</v>
      </c>
    </row>
    <row r="4">
      <c r="A4" s="7" t="s">
        <v>2042</v>
      </c>
      <c r="B4" s="7">
        <v>0.449</v>
      </c>
      <c r="C4" s="7">
        <v>0.385</v>
      </c>
      <c r="D4" s="7">
        <v>0.0</v>
      </c>
      <c r="E4" s="7">
        <v>0.323</v>
      </c>
      <c r="F4" s="7">
        <v>0.0</v>
      </c>
      <c r="G4" s="7">
        <v>0.348</v>
      </c>
      <c r="H4" s="7">
        <v>0.0</v>
      </c>
    </row>
    <row r="5">
      <c r="A5" s="7" t="s">
        <v>2043</v>
      </c>
      <c r="B5" s="7">
        <v>0.4852</v>
      </c>
      <c r="C5" s="7">
        <v>0.3656</v>
      </c>
      <c r="D5" s="7">
        <v>0.00950263121456368</v>
      </c>
      <c r="E5" s="7">
        <v>0.3286</v>
      </c>
      <c r="F5" s="7">
        <v>0.0178549712965325</v>
      </c>
      <c r="G5" s="7">
        <v>0.3292</v>
      </c>
      <c r="H5" s="7">
        <v>0.00978263768111648</v>
      </c>
    </row>
    <row r="6">
      <c r="A6" s="7" t="s">
        <v>2044</v>
      </c>
      <c r="B6" s="7">
        <v>0.504</v>
      </c>
      <c r="C6" s="7">
        <v>0.321</v>
      </c>
      <c r="D6" s="7">
        <v>0.0</v>
      </c>
      <c r="E6" s="7">
        <v>0.352</v>
      </c>
      <c r="F6" s="7">
        <v>0.0</v>
      </c>
      <c r="G6" s="7">
        <v>0.293</v>
      </c>
      <c r="H6" s="7">
        <v>0.0</v>
      </c>
    </row>
    <row r="7">
      <c r="A7" s="7" t="s">
        <v>2045</v>
      </c>
      <c r="B7" s="7">
        <v>0.516</v>
      </c>
      <c r="C7" s="7">
        <v>0.358</v>
      </c>
      <c r="D7" s="7">
        <v>0.0</v>
      </c>
      <c r="E7" s="7">
        <v>0.356</v>
      </c>
      <c r="F7" s="7">
        <v>0.0</v>
      </c>
      <c r="G7" s="7">
        <v>0.338</v>
      </c>
      <c r="H7" s="7">
        <v>0.0</v>
      </c>
    </row>
    <row r="8">
      <c r="A8" s="7" t="s">
        <v>2046</v>
      </c>
      <c r="B8" s="7">
        <v>0.4522</v>
      </c>
      <c r="C8" s="7">
        <v>0.382599999999999</v>
      </c>
      <c r="D8" s="7">
        <v>0.0085615419172016</v>
      </c>
      <c r="E8" s="7">
        <v>0.3188</v>
      </c>
      <c r="F8" s="7">
        <v>0.0203519040878243</v>
      </c>
      <c r="G8" s="7">
        <v>0.3394</v>
      </c>
      <c r="H8" s="7">
        <v>0.0130115333454593</v>
      </c>
    </row>
    <row r="9">
      <c r="A9" s="7" t="s">
        <v>2047</v>
      </c>
      <c r="B9" s="7">
        <v>0.508</v>
      </c>
      <c r="C9" s="7">
        <v>0.345</v>
      </c>
      <c r="D9" s="7">
        <v>0.0</v>
      </c>
      <c r="E9" s="7">
        <v>0.347</v>
      </c>
      <c r="F9" s="7">
        <v>0.0</v>
      </c>
      <c r="G9" s="7">
        <v>0.293</v>
      </c>
      <c r="H9" s="7">
        <v>0.0</v>
      </c>
    </row>
    <row r="10">
      <c r="A10" s="7" t="s">
        <v>2048</v>
      </c>
      <c r="B10" s="7">
        <v>0.455</v>
      </c>
      <c r="C10" s="7">
        <v>0.384</v>
      </c>
      <c r="D10" s="7">
        <v>0.0</v>
      </c>
      <c r="E10" s="7">
        <v>0.324</v>
      </c>
      <c r="F10" s="7">
        <v>0.0</v>
      </c>
      <c r="G10" s="7">
        <v>0.352</v>
      </c>
      <c r="H10" s="7">
        <v>0.0</v>
      </c>
    </row>
    <row r="11">
      <c r="A11" s="7" t="s">
        <v>2049</v>
      </c>
      <c r="B11" s="7">
        <v>0.444199999999999</v>
      </c>
      <c r="C11" s="7">
        <v>0.366</v>
      </c>
      <c r="D11" s="7">
        <v>0.00447213595499958</v>
      </c>
      <c r="E11" s="7">
        <v>0.281</v>
      </c>
      <c r="F11" s="7">
        <v>0.0200249843945007</v>
      </c>
      <c r="G11" s="7">
        <v>0.3148</v>
      </c>
      <c r="H11" s="7">
        <v>0.00909395403551173</v>
      </c>
    </row>
    <row r="12">
      <c r="A12" s="7" t="s">
        <v>2050</v>
      </c>
      <c r="B12" s="7">
        <v>0.494</v>
      </c>
      <c r="C12" s="7">
        <v>0.322</v>
      </c>
      <c r="D12" s="7">
        <v>0.0</v>
      </c>
      <c r="E12" s="7">
        <v>0.333</v>
      </c>
      <c r="F12" s="7">
        <v>0.0</v>
      </c>
      <c r="G12" s="7">
        <v>0.283</v>
      </c>
      <c r="H12" s="7">
        <v>0.0</v>
      </c>
    </row>
    <row r="13">
      <c r="A13" s="7" t="s">
        <v>2051</v>
      </c>
      <c r="B13" s="7">
        <v>0.459</v>
      </c>
      <c r="C13" s="7">
        <v>0.371</v>
      </c>
      <c r="D13" s="7">
        <v>0.0</v>
      </c>
      <c r="E13" s="7">
        <v>0.281</v>
      </c>
      <c r="F13" s="7">
        <v>0.0</v>
      </c>
      <c r="G13" s="7">
        <v>0.323</v>
      </c>
      <c r="H13" s="7">
        <v>0.0</v>
      </c>
    </row>
    <row r="14">
      <c r="A14" s="7" t="s">
        <v>2052</v>
      </c>
      <c r="B14" s="7">
        <v>0.4684</v>
      </c>
      <c r="C14" s="7">
        <v>0.3738</v>
      </c>
      <c r="D14" s="7">
        <v>0.00535723809439155</v>
      </c>
      <c r="E14" s="7">
        <v>0.3222</v>
      </c>
      <c r="F14" s="7">
        <v>0.026920252599112</v>
      </c>
      <c r="G14" s="7">
        <v>0.3418</v>
      </c>
      <c r="H14" s="7">
        <v>0.0151558569536664</v>
      </c>
    </row>
    <row r="15">
      <c r="A15" s="7" t="s">
        <v>2053</v>
      </c>
      <c r="B15" s="7">
        <v>0.517</v>
      </c>
      <c r="C15" s="7">
        <v>0.326</v>
      </c>
      <c r="D15" s="7">
        <v>0.0</v>
      </c>
      <c r="E15" s="7">
        <v>0.363</v>
      </c>
      <c r="F15" s="7">
        <v>0.0</v>
      </c>
      <c r="G15" s="7">
        <v>0.297</v>
      </c>
      <c r="H15" s="7">
        <v>0.0</v>
      </c>
    </row>
    <row r="16">
      <c r="A16" s="7" t="s">
        <v>2054</v>
      </c>
      <c r="B16" s="7">
        <v>0.475</v>
      </c>
      <c r="C16" s="7">
        <v>0.378</v>
      </c>
      <c r="D16" s="7">
        <v>0.0</v>
      </c>
      <c r="E16" s="7">
        <v>0.325</v>
      </c>
      <c r="F16" s="7">
        <v>0.0</v>
      </c>
      <c r="G16" s="7">
        <v>0.35</v>
      </c>
      <c r="H16" s="7">
        <v>0.0</v>
      </c>
    </row>
    <row r="17">
      <c r="A17" s="7" t="s">
        <v>2055</v>
      </c>
      <c r="B17" s="7">
        <v>0.453</v>
      </c>
      <c r="C17" s="7">
        <v>0.3744</v>
      </c>
      <c r="D17" s="7">
        <v>0.00907193474403338</v>
      </c>
      <c r="E17" s="7">
        <v>0.3236</v>
      </c>
      <c r="F17" s="7">
        <v>0.0135203550249244</v>
      </c>
      <c r="G17" s="7">
        <v>0.3432</v>
      </c>
      <c r="H17" s="7">
        <v>0.00540370243444249</v>
      </c>
    </row>
    <row r="18">
      <c r="A18" s="7" t="s">
        <v>2056</v>
      </c>
      <c r="B18" s="7">
        <v>0.491</v>
      </c>
      <c r="C18" s="7">
        <v>0.332</v>
      </c>
      <c r="D18" s="7">
        <v>0.0</v>
      </c>
      <c r="E18" s="7">
        <v>0.348</v>
      </c>
      <c r="F18" s="7">
        <v>0.0</v>
      </c>
      <c r="G18" s="7">
        <v>0.311</v>
      </c>
      <c r="H18" s="7">
        <v>0.0</v>
      </c>
    </row>
    <row r="19">
      <c r="A19" s="7" t="s">
        <v>2057</v>
      </c>
      <c r="B19" s="7">
        <v>0.454</v>
      </c>
      <c r="C19" s="7">
        <v>0.37</v>
      </c>
      <c r="D19" s="7">
        <v>0.0</v>
      </c>
      <c r="E19" s="7">
        <v>0.33</v>
      </c>
      <c r="F19" s="7">
        <v>0.0</v>
      </c>
      <c r="G19" s="7">
        <v>0.345</v>
      </c>
      <c r="H19" s="7">
        <v>0.0</v>
      </c>
    </row>
    <row r="20">
      <c r="A20" s="7" t="s">
        <v>2058</v>
      </c>
      <c r="B20" s="7">
        <v>0.4296</v>
      </c>
      <c r="C20" s="7">
        <v>0.3694</v>
      </c>
      <c r="D20" s="7">
        <v>0.00594138031100518</v>
      </c>
      <c r="E20" s="7">
        <v>0.2824</v>
      </c>
      <c r="F20" s="7">
        <v>0.0194370779696949</v>
      </c>
      <c r="G20" s="7">
        <v>0.3248</v>
      </c>
      <c r="H20" s="7">
        <v>0.0144118007202431</v>
      </c>
    </row>
    <row r="21">
      <c r="A21" s="7" t="s">
        <v>2059</v>
      </c>
      <c r="B21" s="7">
        <v>0.456</v>
      </c>
      <c r="C21" s="7">
        <v>0.324</v>
      </c>
      <c r="D21" s="7">
        <v>0.0</v>
      </c>
      <c r="E21" s="7">
        <v>0.3</v>
      </c>
      <c r="F21" s="7">
        <v>0.0</v>
      </c>
      <c r="G21" s="7">
        <v>0.277</v>
      </c>
      <c r="H21" s="7">
        <v>0.0</v>
      </c>
    </row>
    <row r="22">
      <c r="A22" s="7" t="s">
        <v>2060</v>
      </c>
      <c r="B22" s="7">
        <v>0.442</v>
      </c>
      <c r="C22" s="7">
        <v>0.368</v>
      </c>
      <c r="D22" s="7">
        <v>0.0</v>
      </c>
      <c r="E22" s="7">
        <v>0.286</v>
      </c>
      <c r="F22" s="7">
        <v>0.0</v>
      </c>
      <c r="G22" s="7">
        <v>0.326</v>
      </c>
      <c r="H22" s="7">
        <v>0.0</v>
      </c>
    </row>
    <row r="23">
      <c r="A23" s="7" t="s">
        <v>2061</v>
      </c>
      <c r="B23" s="7">
        <v>0.4884</v>
      </c>
      <c r="C23" s="7">
        <v>0.363</v>
      </c>
      <c r="D23" s="7">
        <v>0.00509901951359279</v>
      </c>
      <c r="E23" s="7">
        <v>0.309799999999999</v>
      </c>
      <c r="F23" s="7">
        <v>0.0149063744753712</v>
      </c>
      <c r="G23" s="7">
        <v>0.328</v>
      </c>
      <c r="H23" s="7">
        <v>0.00833666600026654</v>
      </c>
    </row>
    <row r="24">
      <c r="A24" s="7" t="s">
        <v>2062</v>
      </c>
      <c r="B24" s="7">
        <v>0.508</v>
      </c>
      <c r="C24" s="7">
        <v>0.32</v>
      </c>
      <c r="D24" s="7">
        <v>0.0</v>
      </c>
      <c r="E24" s="7">
        <v>0.325</v>
      </c>
      <c r="F24" s="7">
        <v>0.0</v>
      </c>
      <c r="G24" s="7">
        <v>0.284</v>
      </c>
      <c r="H24" s="7">
        <v>0.0</v>
      </c>
    </row>
    <row r="25">
      <c r="A25" s="7" t="s">
        <v>2063</v>
      </c>
      <c r="B25" s="7">
        <v>0.498</v>
      </c>
      <c r="C25" s="7">
        <v>0.369</v>
      </c>
      <c r="D25" s="7">
        <v>0.0</v>
      </c>
      <c r="E25" s="7">
        <v>0.308</v>
      </c>
      <c r="F25" s="7">
        <v>0.0</v>
      </c>
      <c r="G25" s="7">
        <v>0.34</v>
      </c>
      <c r="H25" s="7">
        <v>0.0</v>
      </c>
    </row>
    <row r="26">
      <c r="A26" s="7" t="s">
        <v>2064</v>
      </c>
      <c r="B26" s="7">
        <v>0.3016</v>
      </c>
      <c r="C26" s="7">
        <v>0.337999999999999</v>
      </c>
      <c r="D26" s="7">
        <v>0.00587367006223535</v>
      </c>
      <c r="E26" s="7">
        <v>0.1792</v>
      </c>
      <c r="F26" s="7">
        <v>0.0134981480211175</v>
      </c>
      <c r="G26" s="7">
        <v>0.2692</v>
      </c>
      <c r="H26" s="7">
        <v>0.00746324326281812</v>
      </c>
    </row>
    <row r="27">
      <c r="A27" s="7" t="s">
        <v>2065</v>
      </c>
      <c r="B27" s="7">
        <v>0.357</v>
      </c>
      <c r="C27" s="7">
        <v>0.28</v>
      </c>
      <c r="D27" s="7">
        <v>0.0</v>
      </c>
      <c r="E27" s="7">
        <v>0.233</v>
      </c>
      <c r="F27" s="7">
        <v>0.0</v>
      </c>
      <c r="G27" s="7">
        <v>0.234</v>
      </c>
      <c r="H27" s="7">
        <v>0.0</v>
      </c>
    </row>
    <row r="28">
      <c r="A28" s="7" t="s">
        <v>2066</v>
      </c>
      <c r="B28" s="7">
        <v>0.295</v>
      </c>
      <c r="C28" s="7">
        <v>0.347</v>
      </c>
      <c r="D28" s="7">
        <v>0.0</v>
      </c>
      <c r="E28" s="7">
        <v>0.178</v>
      </c>
      <c r="F28" s="7">
        <v>0.0</v>
      </c>
      <c r="G28" s="7">
        <v>0.294</v>
      </c>
      <c r="H28" s="7">
        <v>0.0</v>
      </c>
    </row>
    <row r="29">
      <c r="A29" s="7" t="s">
        <v>2067</v>
      </c>
      <c r="B29" s="7">
        <v>0.3106</v>
      </c>
      <c r="C29" s="7">
        <v>0.327</v>
      </c>
      <c r="D29" s="7">
        <v>0.0159843673631457</v>
      </c>
      <c r="E29" s="7">
        <v>0.1764</v>
      </c>
      <c r="F29" s="7">
        <v>0.0188494031735755</v>
      </c>
      <c r="G29" s="7">
        <v>0.257</v>
      </c>
      <c r="H29" s="7">
        <v>0.022237355957937</v>
      </c>
    </row>
    <row r="30">
      <c r="A30" s="7" t="s">
        <v>2068</v>
      </c>
      <c r="B30" s="7">
        <v>0.399</v>
      </c>
      <c r="C30" s="7">
        <v>0.259</v>
      </c>
      <c r="D30" s="7">
        <v>0.0</v>
      </c>
      <c r="E30" s="7">
        <v>0.227</v>
      </c>
      <c r="F30" s="7">
        <v>0.0</v>
      </c>
      <c r="G30" s="7">
        <v>0.206</v>
      </c>
      <c r="H30" s="7">
        <v>0.0</v>
      </c>
    </row>
    <row r="31">
      <c r="A31" s="7" t="s">
        <v>2069</v>
      </c>
      <c r="B31" s="7">
        <v>0.277</v>
      </c>
      <c r="C31" s="7">
        <v>0.309</v>
      </c>
      <c r="D31" s="7">
        <v>0.0</v>
      </c>
      <c r="E31" s="7">
        <v>0.157</v>
      </c>
      <c r="F31" s="7">
        <v>0.0</v>
      </c>
      <c r="G31" s="7">
        <v>0.247</v>
      </c>
      <c r="H31" s="7">
        <v>0.0</v>
      </c>
    </row>
    <row r="32">
      <c r="A32" s="7" t="s">
        <v>2070</v>
      </c>
      <c r="B32" s="7">
        <v>0.2836</v>
      </c>
      <c r="C32" s="7">
        <v>0.3288</v>
      </c>
      <c r="D32" s="7">
        <v>0.0108489630840924</v>
      </c>
      <c r="E32" s="7">
        <v>0.189</v>
      </c>
      <c r="F32" s="7">
        <v>0.0132098448136229</v>
      </c>
      <c r="G32" s="7">
        <v>0.29</v>
      </c>
      <c r="H32" s="7">
        <v>0.0104163333279998</v>
      </c>
    </row>
    <row r="33">
      <c r="A33" s="7" t="s">
        <v>2071</v>
      </c>
      <c r="B33" s="7">
        <v>0.36</v>
      </c>
      <c r="C33" s="7">
        <v>0.228</v>
      </c>
      <c r="D33" s="7">
        <v>0.0</v>
      </c>
      <c r="E33" s="7">
        <v>0.234</v>
      </c>
      <c r="F33" s="7">
        <v>0.0</v>
      </c>
      <c r="G33" s="7">
        <v>0.214</v>
      </c>
      <c r="H33" s="7">
        <v>0.0</v>
      </c>
    </row>
    <row r="34">
      <c r="A34" s="7" t="s">
        <v>2072</v>
      </c>
      <c r="B34" s="7">
        <v>0.276</v>
      </c>
      <c r="C34" s="7">
        <v>0.351</v>
      </c>
      <c r="D34" s="7">
        <v>0.0</v>
      </c>
      <c r="E34" s="7">
        <v>0.199</v>
      </c>
      <c r="F34" s="7">
        <v>0.0</v>
      </c>
      <c r="G34" s="7">
        <v>0.319</v>
      </c>
      <c r="H34" s="7">
        <v>0.0</v>
      </c>
    </row>
    <row r="35">
      <c r="A35" s="7" t="s">
        <v>2073</v>
      </c>
      <c r="B35" s="7">
        <v>0.2892</v>
      </c>
      <c r="C35" s="7">
        <v>0.3316</v>
      </c>
      <c r="D35" s="7">
        <v>0.0161956784359285</v>
      </c>
      <c r="E35" s="7">
        <v>0.16</v>
      </c>
      <c r="F35" s="7">
        <v>0.0198871818013513</v>
      </c>
      <c r="G35" s="7">
        <v>0.2648</v>
      </c>
      <c r="H35" s="7">
        <v>0.0200922870773836</v>
      </c>
    </row>
    <row r="36">
      <c r="A36" s="7" t="s">
        <v>2074</v>
      </c>
      <c r="B36" s="7">
        <v>0.352</v>
      </c>
      <c r="C36" s="7">
        <v>0.274</v>
      </c>
      <c r="D36" s="7">
        <v>0.0</v>
      </c>
      <c r="E36" s="7">
        <v>0.212</v>
      </c>
      <c r="F36" s="7">
        <v>0.0</v>
      </c>
      <c r="G36" s="7">
        <v>0.228</v>
      </c>
      <c r="H36" s="7">
        <v>0.0</v>
      </c>
    </row>
    <row r="37">
      <c r="A37" s="7" t="s">
        <v>2075</v>
      </c>
      <c r="B37" s="7">
        <v>0.278</v>
      </c>
      <c r="C37" s="7">
        <v>0.331</v>
      </c>
      <c r="D37" s="7">
        <v>0.0</v>
      </c>
      <c r="E37" s="7">
        <v>0.15</v>
      </c>
      <c r="F37" s="7">
        <v>0.0</v>
      </c>
      <c r="G37" s="7">
        <v>0.272</v>
      </c>
      <c r="H37" s="7">
        <v>0.0</v>
      </c>
    </row>
    <row r="38">
      <c r="A38" s="7" t="s">
        <v>2076</v>
      </c>
      <c r="B38" s="7">
        <v>0.3124</v>
      </c>
      <c r="C38" s="7">
        <v>0.3248</v>
      </c>
      <c r="D38" s="7">
        <v>0.0110770032048384</v>
      </c>
      <c r="E38" s="7">
        <v>0.177</v>
      </c>
      <c r="F38" s="7">
        <v>0.0236431808350737</v>
      </c>
      <c r="G38" s="7">
        <v>0.253799999999999</v>
      </c>
      <c r="H38" s="7">
        <v>0.0211352785645233</v>
      </c>
    </row>
    <row r="39">
      <c r="A39" s="7" t="s">
        <v>2077</v>
      </c>
      <c r="B39" s="7">
        <v>0.355</v>
      </c>
      <c r="C39" s="7">
        <v>0.281</v>
      </c>
      <c r="D39" s="7">
        <v>0.0</v>
      </c>
      <c r="E39" s="7">
        <v>0.219</v>
      </c>
      <c r="F39" s="7">
        <v>0.0</v>
      </c>
      <c r="G39" s="7">
        <v>0.224</v>
      </c>
      <c r="H39" s="7">
        <v>0.0</v>
      </c>
    </row>
    <row r="40">
      <c r="A40" s="7" t="s">
        <v>2078</v>
      </c>
      <c r="B40" s="7">
        <v>0.328</v>
      </c>
      <c r="C40" s="7">
        <v>0.337</v>
      </c>
      <c r="D40" s="7">
        <v>0.0</v>
      </c>
      <c r="E40" s="7">
        <v>0.185</v>
      </c>
      <c r="F40" s="7">
        <v>0.0</v>
      </c>
      <c r="G40" s="7">
        <v>0.274</v>
      </c>
      <c r="H40" s="7">
        <v>0.0</v>
      </c>
    </row>
    <row r="41">
      <c r="A41" s="7" t="s">
        <v>2079</v>
      </c>
      <c r="B41" s="7">
        <v>0.2526</v>
      </c>
      <c r="C41" s="7">
        <v>0.3132</v>
      </c>
      <c r="D41" s="7">
        <v>0.0125379424149259</v>
      </c>
      <c r="E41" s="7">
        <v>0.163</v>
      </c>
      <c r="F41" s="7">
        <v>0.0123288280059379</v>
      </c>
      <c r="G41" s="7">
        <v>0.2636</v>
      </c>
      <c r="H41" s="7">
        <v>0.0178129166617934</v>
      </c>
    </row>
    <row r="42">
      <c r="A42" s="7" t="s">
        <v>2080</v>
      </c>
      <c r="B42" s="7">
        <v>0.318</v>
      </c>
      <c r="C42" s="7">
        <v>0.261</v>
      </c>
      <c r="D42" s="7">
        <v>0.0</v>
      </c>
      <c r="E42" s="7">
        <v>0.202</v>
      </c>
      <c r="F42" s="7">
        <v>0.0</v>
      </c>
      <c r="G42" s="7">
        <v>0.213</v>
      </c>
      <c r="H42" s="7">
        <v>0.0</v>
      </c>
    </row>
    <row r="43">
      <c r="A43" s="7" t="s">
        <v>2081</v>
      </c>
      <c r="B43" s="7">
        <v>0.27</v>
      </c>
      <c r="C43" s="7">
        <v>0.337</v>
      </c>
      <c r="D43" s="7">
        <v>0.0</v>
      </c>
      <c r="E43" s="7">
        <v>0.178</v>
      </c>
      <c r="F43" s="7">
        <v>0.0</v>
      </c>
      <c r="G43" s="7">
        <v>0.301</v>
      </c>
      <c r="H43" s="7">
        <v>0.0</v>
      </c>
    </row>
    <row r="44">
      <c r="A44" s="7" t="s">
        <v>2082</v>
      </c>
      <c r="B44" s="7">
        <v>0.3482</v>
      </c>
      <c r="C44" s="7">
        <v>0.3206</v>
      </c>
      <c r="D44" s="7">
        <v>0.00723187389270582</v>
      </c>
      <c r="E44" s="7">
        <v>0.2128</v>
      </c>
      <c r="F44" s="7">
        <v>0.0108949529599718</v>
      </c>
      <c r="G44" s="7">
        <v>0.2692</v>
      </c>
      <c r="H44" s="7">
        <v>0.0141138230115018</v>
      </c>
    </row>
    <row r="45">
      <c r="A45" s="7" t="s">
        <v>2083</v>
      </c>
      <c r="B45" s="7">
        <v>0.351</v>
      </c>
      <c r="C45" s="7">
        <v>0.3</v>
      </c>
      <c r="D45" s="7">
        <v>0.0</v>
      </c>
      <c r="E45" s="7">
        <v>0.217</v>
      </c>
      <c r="F45" s="7">
        <v>0.0</v>
      </c>
      <c r="G45" s="7">
        <v>0.24</v>
      </c>
      <c r="H45" s="7">
        <v>0.0</v>
      </c>
    </row>
    <row r="46">
      <c r="A46" s="7" t="s">
        <v>2084</v>
      </c>
      <c r="B46" s="7">
        <v>0.372</v>
      </c>
      <c r="C46" s="7">
        <v>0.33</v>
      </c>
      <c r="D46" s="7">
        <v>0.0</v>
      </c>
      <c r="E46" s="7">
        <v>0.229</v>
      </c>
      <c r="F46" s="7">
        <v>0.0</v>
      </c>
      <c r="G46" s="7">
        <v>0.274</v>
      </c>
      <c r="H46" s="7">
        <v>0.0</v>
      </c>
    </row>
    <row r="47">
      <c r="A47" s="7" t="s">
        <v>2085</v>
      </c>
      <c r="B47" s="7">
        <v>0.3434</v>
      </c>
      <c r="C47" s="7">
        <v>0.3208</v>
      </c>
      <c r="D47" s="7">
        <v>0.00712039324756716</v>
      </c>
      <c r="E47" s="7">
        <v>0.2124</v>
      </c>
      <c r="F47" s="7">
        <v>0.0133154046127032</v>
      </c>
      <c r="G47" s="7">
        <v>0.2636</v>
      </c>
      <c r="H47" s="7">
        <v>0.00978774744259373</v>
      </c>
    </row>
    <row r="48">
      <c r="A48" s="7" t="s">
        <v>2086</v>
      </c>
      <c r="B48" s="7">
        <v>0.374</v>
      </c>
      <c r="C48" s="7">
        <v>0.286</v>
      </c>
      <c r="D48" s="7">
        <v>0.0</v>
      </c>
      <c r="E48" s="7">
        <v>0.242</v>
      </c>
      <c r="F48" s="7">
        <v>0.0</v>
      </c>
      <c r="G48" s="7">
        <v>0.236</v>
      </c>
      <c r="H48" s="7">
        <v>0.0</v>
      </c>
    </row>
    <row r="49">
      <c r="A49" s="7" t="s">
        <v>2087</v>
      </c>
      <c r="B49" s="7">
        <v>0.36</v>
      </c>
      <c r="C49" s="7">
        <v>0.339</v>
      </c>
      <c r="D49" s="7">
        <v>0.0</v>
      </c>
      <c r="E49" s="7">
        <v>0.213</v>
      </c>
      <c r="F49" s="7">
        <v>0.0</v>
      </c>
      <c r="G49" s="7">
        <v>0.267</v>
      </c>
      <c r="H49" s="7">
        <v>0.0</v>
      </c>
    </row>
    <row r="50">
      <c r="A50" s="7" t="s">
        <v>2088</v>
      </c>
      <c r="B50" s="7">
        <v>0.3392</v>
      </c>
      <c r="C50" s="7">
        <v>0.3226</v>
      </c>
      <c r="D50" s="7">
        <v>0.00763544366752843</v>
      </c>
      <c r="E50" s="7">
        <v>0.2208</v>
      </c>
      <c r="F50" s="7">
        <v>0.00535723809439155</v>
      </c>
      <c r="G50" s="7">
        <v>0.237</v>
      </c>
      <c r="H50" s="7">
        <v>0.00809320702811932</v>
      </c>
    </row>
    <row r="51">
      <c r="A51" s="7" t="s">
        <v>2089</v>
      </c>
      <c r="B51" s="7">
        <v>0.344</v>
      </c>
      <c r="C51" s="7">
        <v>0.303</v>
      </c>
      <c r="D51" s="7">
        <v>0.0</v>
      </c>
      <c r="E51" s="7">
        <v>0.214</v>
      </c>
      <c r="F51" s="7">
        <v>0.0</v>
      </c>
      <c r="G51" s="7">
        <v>0.203</v>
      </c>
      <c r="H51" s="7">
        <v>0.0</v>
      </c>
    </row>
    <row r="52">
      <c r="A52" s="7" t="s">
        <v>2090</v>
      </c>
      <c r="B52" s="7">
        <v>0.346</v>
      </c>
      <c r="C52" s="7">
        <v>0.33</v>
      </c>
      <c r="D52" s="7">
        <v>0.0</v>
      </c>
      <c r="E52" s="7">
        <v>0.226</v>
      </c>
      <c r="F52" s="7">
        <v>0.0</v>
      </c>
      <c r="G52" s="7">
        <v>0.241</v>
      </c>
      <c r="H52" s="7">
        <v>0.0</v>
      </c>
    </row>
    <row r="53">
      <c r="A53" s="7" t="s">
        <v>2091</v>
      </c>
      <c r="B53" s="7">
        <v>0.3592</v>
      </c>
      <c r="C53" s="7">
        <v>0.299799999999999</v>
      </c>
      <c r="D53" s="7">
        <v>0.00752994023880668</v>
      </c>
      <c r="E53" s="7">
        <v>0.2508</v>
      </c>
      <c r="F53" s="7">
        <v>0.0132551876637036</v>
      </c>
      <c r="G53" s="7">
        <v>0.2432</v>
      </c>
      <c r="H53" s="7">
        <v>0.0106160256216721</v>
      </c>
    </row>
    <row r="54">
      <c r="A54" s="7" t="s">
        <v>2092</v>
      </c>
      <c r="B54" s="7">
        <v>0.374</v>
      </c>
      <c r="C54" s="7">
        <v>0.274</v>
      </c>
      <c r="D54" s="7">
        <v>0.0</v>
      </c>
      <c r="E54" s="7">
        <v>0.25</v>
      </c>
      <c r="F54" s="7">
        <v>0.0</v>
      </c>
      <c r="G54" s="7">
        <v>0.221</v>
      </c>
      <c r="H54" s="7">
        <v>0.0</v>
      </c>
    </row>
    <row r="55">
      <c r="A55" s="7" t="s">
        <v>2093</v>
      </c>
      <c r="B55" s="7">
        <v>0.356</v>
      </c>
      <c r="C55" s="7">
        <v>0.299</v>
      </c>
      <c r="D55" s="7">
        <v>0.0</v>
      </c>
      <c r="E55" s="7">
        <v>0.251</v>
      </c>
      <c r="F55" s="7">
        <v>0.0</v>
      </c>
      <c r="G55" s="7">
        <v>0.242</v>
      </c>
      <c r="H55" s="7">
        <v>0.0</v>
      </c>
    </row>
    <row r="56">
      <c r="A56" s="7" t="s">
        <v>2094</v>
      </c>
      <c r="B56" s="7">
        <v>0.281</v>
      </c>
      <c r="C56" s="7">
        <v>0.4496</v>
      </c>
      <c r="D56" s="7">
        <v>0.00219089023002066</v>
      </c>
      <c r="E56" s="7">
        <v>0.281</v>
      </c>
      <c r="F56" s="7">
        <v>0.00547722557505163</v>
      </c>
      <c r="G56" s="7">
        <v>0.4496</v>
      </c>
      <c r="H56" s="7">
        <v>0.00219089023002066</v>
      </c>
    </row>
    <row r="57">
      <c r="A57" s="7" t="s">
        <v>2095</v>
      </c>
      <c r="B57" s="7">
        <v>0.282</v>
      </c>
      <c r="C57" s="7">
        <v>0.447</v>
      </c>
      <c r="D57" s="7">
        <v>0.0</v>
      </c>
      <c r="E57" s="7">
        <v>0.281</v>
      </c>
      <c r="F57" s="7">
        <v>0.0</v>
      </c>
      <c r="G57" s="7">
        <v>0.447</v>
      </c>
      <c r="H57" s="7">
        <v>0.0</v>
      </c>
    </row>
    <row r="58">
      <c r="A58" s="7" t="s">
        <v>2097</v>
      </c>
      <c r="B58" s="7">
        <v>0.277</v>
      </c>
      <c r="C58" s="7">
        <v>0.448</v>
      </c>
      <c r="D58" s="7">
        <v>0.0</v>
      </c>
      <c r="E58" s="7">
        <v>0.277</v>
      </c>
      <c r="F58" s="7">
        <v>0.0</v>
      </c>
      <c r="G58" s="7">
        <v>0.448</v>
      </c>
      <c r="H58" s="7">
        <v>0.0</v>
      </c>
    </row>
    <row r="59">
      <c r="A59" s="7" t="s">
        <v>2098</v>
      </c>
      <c r="B59" s="7">
        <v>0.3556</v>
      </c>
      <c r="C59" s="7">
        <v>0.3168</v>
      </c>
      <c r="D59" s="7">
        <v>0.00676017751246223</v>
      </c>
      <c r="E59" s="7">
        <v>0.235</v>
      </c>
      <c r="F59" s="7">
        <v>0.00827647267862341</v>
      </c>
      <c r="G59" s="7">
        <v>0.249399999999999</v>
      </c>
      <c r="H59" s="7">
        <v>0.00760263112349929</v>
      </c>
    </row>
    <row r="60">
      <c r="A60" s="7" t="s">
        <v>2099</v>
      </c>
      <c r="B60" s="7">
        <v>0.354</v>
      </c>
      <c r="C60" s="7">
        <v>0.275</v>
      </c>
      <c r="D60" s="7">
        <v>0.0</v>
      </c>
      <c r="E60" s="7">
        <v>0.227</v>
      </c>
      <c r="F60" s="7">
        <v>0.0</v>
      </c>
      <c r="G60" s="7">
        <v>0.21</v>
      </c>
      <c r="H60" s="7">
        <v>0.0</v>
      </c>
    </row>
    <row r="61">
      <c r="A61" s="7" t="s">
        <v>2100</v>
      </c>
      <c r="B61" s="7">
        <v>0.363</v>
      </c>
      <c r="C61" s="7">
        <v>0.319</v>
      </c>
      <c r="D61" s="7">
        <v>0.0</v>
      </c>
      <c r="E61" s="7">
        <v>0.237</v>
      </c>
      <c r="F61" s="7">
        <v>0.0</v>
      </c>
      <c r="G61" s="7">
        <v>0.25</v>
      </c>
      <c r="H61" s="7">
        <v>0.0</v>
      </c>
    </row>
    <row r="62">
      <c r="A62" s="7" t="s">
        <v>2101</v>
      </c>
      <c r="B62" s="7">
        <v>0.383</v>
      </c>
      <c r="C62" s="7">
        <v>0.316399999999999</v>
      </c>
      <c r="D62" s="7">
        <v>0.0102615788258922</v>
      </c>
      <c r="E62" s="7">
        <v>0.267599999999999</v>
      </c>
      <c r="F62" s="7">
        <v>0.0185822495947073</v>
      </c>
      <c r="G62" s="7">
        <v>0.2622</v>
      </c>
      <c r="H62" s="7">
        <v>0.0159279628327039</v>
      </c>
    </row>
    <row r="63">
      <c r="A63" s="7" t="s">
        <v>2102</v>
      </c>
      <c r="B63" s="7">
        <v>0.383</v>
      </c>
      <c r="C63" s="7">
        <v>0.27</v>
      </c>
      <c r="D63" s="7">
        <v>0.0</v>
      </c>
      <c r="E63" s="7">
        <v>0.263</v>
      </c>
      <c r="F63" s="7">
        <v>0.0</v>
      </c>
      <c r="G63" s="7">
        <v>0.223</v>
      </c>
      <c r="H63" s="7">
        <v>0.0</v>
      </c>
    </row>
    <row r="64">
      <c r="A64" s="7" t="s">
        <v>2103</v>
      </c>
      <c r="B64" s="7">
        <v>0.376</v>
      </c>
      <c r="C64" s="7">
        <v>0.308</v>
      </c>
      <c r="D64" s="7">
        <v>0.0</v>
      </c>
      <c r="E64" s="7">
        <v>0.264</v>
      </c>
      <c r="F64" s="7">
        <v>0.0</v>
      </c>
      <c r="G64" s="7">
        <v>0.25</v>
      </c>
      <c r="H64" s="7">
        <v>0.0</v>
      </c>
    </row>
    <row r="65">
      <c r="A65" s="7" t="s">
        <v>2104</v>
      </c>
      <c r="B65" s="7">
        <v>0.2978</v>
      </c>
      <c r="C65" s="7">
        <v>0.359199999999999</v>
      </c>
      <c r="D65" s="7">
        <v>0.00867179335547152</v>
      </c>
      <c r="E65" s="7">
        <v>0.211399999999999</v>
      </c>
      <c r="F65" s="7">
        <v>0.0129923054151293</v>
      </c>
      <c r="G65" s="7">
        <v>0.3034</v>
      </c>
      <c r="H65" s="7">
        <v>0.00993981891183135</v>
      </c>
    </row>
    <row r="66">
      <c r="A66" s="7" t="s">
        <v>2105</v>
      </c>
      <c r="B66" s="7">
        <v>0.323</v>
      </c>
      <c r="C66" s="7">
        <v>0.334</v>
      </c>
      <c r="D66" s="7">
        <v>0.0</v>
      </c>
      <c r="E66" s="7">
        <v>0.224</v>
      </c>
      <c r="F66" s="7">
        <v>0.0</v>
      </c>
      <c r="G66" s="7">
        <v>0.28</v>
      </c>
      <c r="H66" s="7">
        <v>0.0</v>
      </c>
    </row>
    <row r="67">
      <c r="A67" s="7" t="s">
        <v>2106</v>
      </c>
      <c r="B67" s="7">
        <v>0.307</v>
      </c>
      <c r="C67" s="7">
        <v>0.356</v>
      </c>
      <c r="D67" s="7">
        <v>0.0</v>
      </c>
      <c r="E67" s="7">
        <v>0.22</v>
      </c>
      <c r="F67" s="7">
        <v>0.0</v>
      </c>
      <c r="G67" s="7">
        <v>0.307</v>
      </c>
      <c r="H67" s="7">
        <v>0.0</v>
      </c>
    </row>
    <row r="68">
      <c r="A68" s="7" t="s">
        <v>2107</v>
      </c>
      <c r="B68" s="7">
        <v>0.4004</v>
      </c>
      <c r="C68" s="7">
        <v>0.315</v>
      </c>
      <c r="D68" s="7">
        <v>0.00632455532033676</v>
      </c>
      <c r="E68" s="7">
        <v>0.264</v>
      </c>
      <c r="F68" s="7">
        <v>0.00452769256906871</v>
      </c>
      <c r="G68" s="7">
        <v>0.2408</v>
      </c>
      <c r="H68" s="7">
        <v>0.00544977063737549</v>
      </c>
    </row>
    <row r="69">
      <c r="A69" s="7" t="s">
        <v>2108</v>
      </c>
      <c r="B69" s="7">
        <v>0.396</v>
      </c>
      <c r="C69" s="7">
        <v>0.31</v>
      </c>
      <c r="D69" s="7">
        <v>0.0</v>
      </c>
      <c r="E69" s="7">
        <v>0.258</v>
      </c>
      <c r="F69" s="7">
        <v>0.0</v>
      </c>
      <c r="G69" s="7">
        <v>0.234</v>
      </c>
      <c r="H69" s="7">
        <v>0.0</v>
      </c>
    </row>
    <row r="70">
      <c r="A70" s="7" t="s">
        <v>2109</v>
      </c>
      <c r="B70" s="7">
        <v>0.401</v>
      </c>
      <c r="C70" s="7">
        <v>0.315</v>
      </c>
      <c r="D70" s="7">
        <v>0.0</v>
      </c>
      <c r="E70" s="7">
        <v>0.266</v>
      </c>
      <c r="F70" s="7">
        <v>0.0</v>
      </c>
      <c r="G70" s="7">
        <v>0.239</v>
      </c>
      <c r="H70" s="7">
        <v>0.0</v>
      </c>
    </row>
    <row r="71">
      <c r="A71" s="7" t="s">
        <v>2110</v>
      </c>
      <c r="B71" s="7">
        <v>0.4214</v>
      </c>
      <c r="C71" s="7">
        <v>0.3238</v>
      </c>
      <c r="D71" s="7">
        <v>0.0101341008481265</v>
      </c>
      <c r="E71" s="7">
        <v>0.2862</v>
      </c>
      <c r="F71" s="7">
        <v>0.00813633824272319</v>
      </c>
      <c r="G71" s="7">
        <v>0.2636</v>
      </c>
      <c r="H71" s="7">
        <v>0.00782943165242536</v>
      </c>
    </row>
    <row r="72">
      <c r="A72" s="7" t="s">
        <v>2111</v>
      </c>
      <c r="B72" s="7">
        <v>0.423</v>
      </c>
      <c r="C72" s="7">
        <v>0.29</v>
      </c>
      <c r="D72" s="7">
        <v>0.0</v>
      </c>
      <c r="E72" s="7">
        <v>0.282</v>
      </c>
      <c r="F72" s="7">
        <v>0.0</v>
      </c>
      <c r="G72" s="7">
        <v>0.237</v>
      </c>
      <c r="H72" s="7">
        <v>0.0</v>
      </c>
    </row>
    <row r="73">
      <c r="A73" s="7" t="s">
        <v>2112</v>
      </c>
      <c r="B73" s="7">
        <v>0.436</v>
      </c>
      <c r="C73" s="7">
        <v>0.329</v>
      </c>
      <c r="D73" s="7">
        <v>0.0</v>
      </c>
      <c r="E73" s="7">
        <v>0.3</v>
      </c>
      <c r="F73" s="7">
        <v>0.0</v>
      </c>
      <c r="G73" s="7">
        <v>0.272</v>
      </c>
      <c r="H73" s="7">
        <v>0.0</v>
      </c>
    </row>
    <row r="74">
      <c r="A74" s="7" t="s">
        <v>2113</v>
      </c>
      <c r="B74" s="7">
        <v>0.1274</v>
      </c>
      <c r="C74" s="7">
        <v>0.226799999999999</v>
      </c>
      <c r="D74" s="7">
        <v>0.0223203942617508</v>
      </c>
      <c r="E74" s="7">
        <v>0.0496</v>
      </c>
      <c r="F74" s="7">
        <v>0.00536656314599949</v>
      </c>
      <c r="G74" s="7">
        <v>0.1264</v>
      </c>
      <c r="H74" s="7">
        <v>0.017952715672009</v>
      </c>
    </row>
    <row r="75">
      <c r="A75" s="7" t="s">
        <v>2114</v>
      </c>
      <c r="B75" s="7">
        <v>0.179</v>
      </c>
      <c r="C75" s="7">
        <v>0.221</v>
      </c>
      <c r="D75" s="7">
        <v>0.0</v>
      </c>
      <c r="E75" s="7">
        <v>0.078</v>
      </c>
      <c r="F75" s="7">
        <v>0.0</v>
      </c>
      <c r="G75" s="7">
        <v>0.116</v>
      </c>
      <c r="H75" s="7">
        <v>0.0</v>
      </c>
    </row>
    <row r="76">
      <c r="A76" s="7" t="s">
        <v>2115</v>
      </c>
      <c r="B76" s="7">
        <v>0.154</v>
      </c>
      <c r="C76" s="7">
        <v>0.314</v>
      </c>
      <c r="D76" s="7">
        <v>0.0</v>
      </c>
      <c r="E76" s="7">
        <v>0.113</v>
      </c>
      <c r="F76" s="7">
        <v>0.0</v>
      </c>
      <c r="G76" s="7">
        <v>0.291</v>
      </c>
      <c r="H76" s="7">
        <v>0.0</v>
      </c>
    </row>
    <row r="77">
      <c r="A77" s="7" t="s">
        <v>2116</v>
      </c>
      <c r="B77" s="7">
        <v>0.117799999999999</v>
      </c>
      <c r="C77" s="7">
        <v>0.217999999999999</v>
      </c>
      <c r="D77" s="7">
        <v>0.020880613017821</v>
      </c>
      <c r="E77" s="7">
        <v>0.0406</v>
      </c>
      <c r="F77" s="7">
        <v>0.00898888202169769</v>
      </c>
      <c r="G77" s="7">
        <v>0.1326</v>
      </c>
      <c r="H77" s="7">
        <v>0.0301628911081149</v>
      </c>
    </row>
    <row r="78">
      <c r="A78" s="7" t="s">
        <v>2117</v>
      </c>
      <c r="B78" s="7">
        <v>0.165</v>
      </c>
      <c r="C78" s="7">
        <v>0.206</v>
      </c>
      <c r="D78" s="7">
        <v>0.0</v>
      </c>
      <c r="E78" s="7">
        <v>0.069</v>
      </c>
      <c r="F78" s="7">
        <v>0.0</v>
      </c>
      <c r="G78" s="7">
        <v>0.123</v>
      </c>
      <c r="H78" s="7">
        <v>0.0</v>
      </c>
    </row>
    <row r="79">
      <c r="A79" s="7" t="s">
        <v>2118</v>
      </c>
      <c r="B79" s="7">
        <v>0.186</v>
      </c>
      <c r="C79" s="7">
        <v>0.346</v>
      </c>
      <c r="D79" s="7">
        <v>0.0</v>
      </c>
      <c r="E79" s="7">
        <v>0.128</v>
      </c>
      <c r="F79" s="7">
        <v>0.0</v>
      </c>
      <c r="G79" s="7">
        <v>0.325</v>
      </c>
      <c r="H79" s="7">
        <v>0.0</v>
      </c>
    </row>
    <row r="80">
      <c r="A80" s="7" t="s">
        <v>2119</v>
      </c>
      <c r="B80" s="7">
        <v>0.1008</v>
      </c>
      <c r="C80" s="7">
        <v>0.199</v>
      </c>
      <c r="D80" s="7">
        <v>0.0116619037896906</v>
      </c>
      <c r="E80" s="7">
        <v>0.034</v>
      </c>
      <c r="F80" s="7">
        <v>0.00663324958071079</v>
      </c>
      <c r="G80" s="7">
        <v>0.1034</v>
      </c>
      <c r="H80" s="7">
        <v>0.0193726611491555</v>
      </c>
    </row>
    <row r="81">
      <c r="A81" s="7" t="s">
        <v>2120</v>
      </c>
      <c r="B81" s="7">
        <v>0.157</v>
      </c>
      <c r="C81" s="7">
        <v>0.208</v>
      </c>
      <c r="D81" s="7">
        <v>0.0</v>
      </c>
      <c r="E81" s="7">
        <v>0.059</v>
      </c>
      <c r="F81" s="7">
        <v>0.0</v>
      </c>
      <c r="G81" s="7">
        <v>0.111</v>
      </c>
      <c r="H81" s="7">
        <v>0.0</v>
      </c>
    </row>
    <row r="82">
      <c r="A82" s="7" t="s">
        <v>2121</v>
      </c>
      <c r="B82" s="7">
        <v>0.109</v>
      </c>
      <c r="C82" s="7">
        <v>0.284</v>
      </c>
      <c r="D82" s="7">
        <v>0.0</v>
      </c>
      <c r="E82" s="7">
        <v>0.092</v>
      </c>
      <c r="F82" s="7">
        <v>0.0</v>
      </c>
      <c r="G82" s="7">
        <v>0.274</v>
      </c>
      <c r="H82" s="7">
        <v>0.0</v>
      </c>
    </row>
    <row r="83">
      <c r="A83" s="7" t="s">
        <v>2122</v>
      </c>
      <c r="B83" s="7">
        <v>0.1424</v>
      </c>
      <c r="C83" s="7">
        <v>0.2558</v>
      </c>
      <c r="D83" s="7">
        <v>0.0149566038925954</v>
      </c>
      <c r="E83" s="7">
        <v>0.0802</v>
      </c>
      <c r="F83" s="7">
        <v>0.0145155089473294</v>
      </c>
      <c r="G83" s="7">
        <v>0.191</v>
      </c>
      <c r="H83" s="7">
        <v>0.0240208242989286</v>
      </c>
    </row>
    <row r="84">
      <c r="A84" s="7" t="s">
        <v>2123</v>
      </c>
      <c r="B84" s="7">
        <v>0.19</v>
      </c>
      <c r="C84" s="7">
        <v>0.204</v>
      </c>
      <c r="D84" s="7">
        <v>0.0</v>
      </c>
      <c r="E84" s="7">
        <v>0.108</v>
      </c>
      <c r="F84" s="7">
        <v>0.0</v>
      </c>
      <c r="G84" s="7">
        <v>0.13</v>
      </c>
      <c r="H84" s="7">
        <v>0.0</v>
      </c>
    </row>
    <row r="85">
      <c r="A85" s="7" t="s">
        <v>2124</v>
      </c>
      <c r="B85" s="7">
        <v>0.15</v>
      </c>
      <c r="C85" s="7">
        <v>0.316</v>
      </c>
      <c r="D85" s="7">
        <v>0.0</v>
      </c>
      <c r="E85" s="7">
        <v>0.109</v>
      </c>
      <c r="F85" s="7">
        <v>0.0</v>
      </c>
      <c r="G85" s="7">
        <v>0.283</v>
      </c>
      <c r="H85" s="7">
        <v>0.0</v>
      </c>
    </row>
    <row r="86">
      <c r="A86" s="7" t="s">
        <v>2125</v>
      </c>
      <c r="B86" s="7">
        <v>0.1246</v>
      </c>
      <c r="C86" s="7">
        <v>0.2382</v>
      </c>
      <c r="D86" s="7">
        <v>0.0277254395817271</v>
      </c>
      <c r="E86" s="7">
        <v>0.0576</v>
      </c>
      <c r="F86" s="7">
        <v>0.0218013761033564</v>
      </c>
      <c r="G86" s="7">
        <v>0.166999999999999</v>
      </c>
      <c r="H86" s="7">
        <v>0.0513078941294612</v>
      </c>
    </row>
    <row r="87">
      <c r="A87" s="7" t="s">
        <v>2126</v>
      </c>
      <c r="B87" s="7">
        <v>0.174</v>
      </c>
      <c r="C87" s="7">
        <v>0.219</v>
      </c>
      <c r="D87" s="7">
        <v>0.0</v>
      </c>
      <c r="E87" s="7">
        <v>0.077</v>
      </c>
      <c r="F87" s="7">
        <v>0.0</v>
      </c>
      <c r="G87" s="7">
        <v>0.144</v>
      </c>
      <c r="H87" s="7">
        <v>0.0</v>
      </c>
    </row>
    <row r="88">
      <c r="A88" s="7" t="s">
        <v>2127</v>
      </c>
      <c r="B88" s="7">
        <v>0.174</v>
      </c>
      <c r="C88" s="7">
        <v>0.337</v>
      </c>
      <c r="D88" s="7">
        <v>0.0</v>
      </c>
      <c r="E88" s="7">
        <v>0.135</v>
      </c>
      <c r="F88" s="7">
        <v>0.0</v>
      </c>
      <c r="G88" s="7">
        <v>0.316</v>
      </c>
      <c r="H88" s="7">
        <v>0.0</v>
      </c>
    </row>
    <row r="89">
      <c r="A89" s="7" t="s">
        <v>2128</v>
      </c>
      <c r="B89" s="7">
        <v>0.1028</v>
      </c>
      <c r="C89" s="7">
        <v>0.2018</v>
      </c>
      <c r="D89" s="7">
        <v>0.00697853852894715</v>
      </c>
      <c r="E89" s="7">
        <v>0.0496</v>
      </c>
      <c r="F89" s="7">
        <v>0.00606630035524124</v>
      </c>
      <c r="G89" s="7">
        <v>0.1274</v>
      </c>
      <c r="H89" s="7">
        <v>0.0171260036202261</v>
      </c>
    </row>
    <row r="90">
      <c r="A90" s="7" t="s">
        <v>2129</v>
      </c>
      <c r="B90" s="7">
        <v>0.161</v>
      </c>
      <c r="C90" s="7">
        <v>0.206</v>
      </c>
      <c r="D90" s="7">
        <v>0.0</v>
      </c>
      <c r="E90" s="7">
        <v>0.077</v>
      </c>
      <c r="F90" s="7">
        <v>0.0</v>
      </c>
      <c r="G90" s="7">
        <v>0.119</v>
      </c>
      <c r="H90" s="7">
        <v>0.0</v>
      </c>
    </row>
    <row r="91">
      <c r="A91" s="7" t="s">
        <v>2130</v>
      </c>
      <c r="B91" s="7">
        <v>0.178</v>
      </c>
      <c r="C91" s="7">
        <v>0.349</v>
      </c>
      <c r="D91" s="7">
        <v>0.0</v>
      </c>
      <c r="E91" s="7">
        <v>0.143</v>
      </c>
      <c r="F91" s="7">
        <v>0.0</v>
      </c>
      <c r="G91" s="7">
        <v>0.327</v>
      </c>
      <c r="H91" s="7">
        <v>0.0</v>
      </c>
    </row>
    <row r="92">
      <c r="A92" s="7" t="s">
        <v>2131</v>
      </c>
      <c r="B92" s="7">
        <v>0.179199999999999</v>
      </c>
      <c r="C92" s="7">
        <v>0.294799999999999</v>
      </c>
      <c r="D92" s="7">
        <v>0.0151062900806253</v>
      </c>
      <c r="E92" s="7">
        <v>0.1202</v>
      </c>
      <c r="F92" s="7">
        <v>0.00798122797569396</v>
      </c>
      <c r="G92" s="7">
        <v>0.258399999999999</v>
      </c>
      <c r="H92" s="7">
        <v>0.00947628619238571</v>
      </c>
    </row>
    <row r="93">
      <c r="A93" s="7" t="s">
        <v>2132</v>
      </c>
      <c r="B93" s="7">
        <v>0.212</v>
      </c>
      <c r="C93" s="7">
        <v>0.238</v>
      </c>
      <c r="D93" s="7">
        <v>0.0</v>
      </c>
      <c r="E93" s="7">
        <v>0.133</v>
      </c>
      <c r="F93" s="7">
        <v>0.0</v>
      </c>
      <c r="G93" s="7">
        <v>0.185</v>
      </c>
      <c r="H93" s="7">
        <v>0.0</v>
      </c>
    </row>
    <row r="94">
      <c r="A94" s="7" t="s">
        <v>2133</v>
      </c>
      <c r="B94" s="7">
        <v>0.197</v>
      </c>
      <c r="C94" s="7">
        <v>0.338</v>
      </c>
      <c r="D94" s="7">
        <v>0.0</v>
      </c>
      <c r="E94" s="7">
        <v>0.148</v>
      </c>
      <c r="F94" s="7">
        <v>0.0</v>
      </c>
      <c r="G94" s="7">
        <v>0.315</v>
      </c>
      <c r="H94" s="7">
        <v>0.0</v>
      </c>
    </row>
    <row r="95">
      <c r="A95" s="7" t="s">
        <v>2134</v>
      </c>
      <c r="B95" s="7">
        <v>0.1666</v>
      </c>
      <c r="C95" s="7">
        <v>0.2812</v>
      </c>
      <c r="D95" s="7">
        <v>0.0239207023308263</v>
      </c>
      <c r="E95" s="7">
        <v>0.1056</v>
      </c>
      <c r="F95" s="7">
        <v>0.0133902949930163</v>
      </c>
      <c r="G95" s="7">
        <v>0.2464</v>
      </c>
      <c r="H95" s="7">
        <v>0.024480604567698</v>
      </c>
    </row>
    <row r="96">
      <c r="A96" s="7" t="s">
        <v>2135</v>
      </c>
      <c r="B96" s="7">
        <v>0.203</v>
      </c>
      <c r="C96" s="7">
        <v>0.232</v>
      </c>
      <c r="D96" s="7">
        <v>0.0</v>
      </c>
      <c r="E96" s="7">
        <v>0.118</v>
      </c>
      <c r="F96" s="7">
        <v>0.0</v>
      </c>
      <c r="G96" s="7">
        <v>0.183</v>
      </c>
      <c r="H96" s="7">
        <v>0.0</v>
      </c>
    </row>
    <row r="97">
      <c r="A97" s="7" t="s">
        <v>2136</v>
      </c>
      <c r="B97" s="7">
        <v>0.196</v>
      </c>
      <c r="C97" s="7">
        <v>0.347</v>
      </c>
      <c r="D97" s="7">
        <v>0.0</v>
      </c>
      <c r="E97" s="7">
        <v>0.142</v>
      </c>
      <c r="F97" s="7">
        <v>0.0</v>
      </c>
      <c r="G97" s="7">
        <v>0.318</v>
      </c>
      <c r="H97" s="7">
        <v>0.0</v>
      </c>
    </row>
    <row r="98">
      <c r="A98" s="7" t="s">
        <v>2138</v>
      </c>
      <c r="B98" s="7">
        <v>0.4516</v>
      </c>
      <c r="C98" s="7">
        <v>0.3674</v>
      </c>
      <c r="D98" s="7">
        <v>0.0124619420637395</v>
      </c>
      <c r="E98" s="7">
        <v>0.2602</v>
      </c>
      <c r="F98" s="7">
        <v>0.0178661691473018</v>
      </c>
      <c r="G98" s="7">
        <v>0.2942</v>
      </c>
      <c r="H98" s="7">
        <v>0.0163003067455799</v>
      </c>
    </row>
    <row r="99">
      <c r="A99" s="7" t="s">
        <v>2139</v>
      </c>
      <c r="B99" s="7">
        <v>0.496</v>
      </c>
      <c r="C99" s="7">
        <v>0.337</v>
      </c>
      <c r="D99" s="7">
        <v>0.0</v>
      </c>
      <c r="E99" s="7">
        <v>0.295</v>
      </c>
      <c r="F99" s="7">
        <v>0.0</v>
      </c>
      <c r="G99" s="7">
        <v>0.263</v>
      </c>
      <c r="H99" s="7">
        <v>0.0</v>
      </c>
    </row>
    <row r="100">
      <c r="A100" s="7" t="s">
        <v>2140</v>
      </c>
      <c r="B100" s="7">
        <v>0.442</v>
      </c>
      <c r="C100" s="7">
        <v>0.376</v>
      </c>
      <c r="D100" s="7">
        <v>0.0</v>
      </c>
      <c r="E100" s="7">
        <v>0.269</v>
      </c>
      <c r="F100" s="7">
        <v>0.0</v>
      </c>
      <c r="G100" s="7">
        <v>0.311</v>
      </c>
      <c r="H100" s="7">
        <v>0.0</v>
      </c>
    </row>
    <row r="101">
      <c r="A101" s="7" t="s">
        <v>2141</v>
      </c>
      <c r="B101" s="7">
        <v>0.453599999999999</v>
      </c>
      <c r="C101" s="7">
        <v>0.359199999999999</v>
      </c>
      <c r="D101" s="7">
        <v>0.00887130204648675</v>
      </c>
      <c r="E101" s="7">
        <v>0.2698</v>
      </c>
      <c r="F101" s="7">
        <v>0.0159749804381726</v>
      </c>
      <c r="G101" s="7">
        <v>0.3004</v>
      </c>
      <c r="H101" s="7">
        <v>0.00955510334847301</v>
      </c>
    </row>
    <row r="102">
      <c r="A102" s="7" t="s">
        <v>2142</v>
      </c>
      <c r="B102" s="7">
        <v>0.485</v>
      </c>
      <c r="C102" s="7">
        <v>0.338</v>
      </c>
      <c r="D102" s="7">
        <v>0.0</v>
      </c>
      <c r="E102" s="7">
        <v>0.292</v>
      </c>
      <c r="F102" s="7">
        <v>0.0</v>
      </c>
      <c r="G102" s="7">
        <v>0.256</v>
      </c>
      <c r="H102" s="7">
        <v>0.0</v>
      </c>
    </row>
    <row r="103">
      <c r="A103" s="7" t="s">
        <v>2143</v>
      </c>
      <c r="B103" s="7">
        <v>0.467</v>
      </c>
      <c r="C103" s="7">
        <v>0.36</v>
      </c>
      <c r="D103" s="7">
        <v>0.0</v>
      </c>
      <c r="E103" s="7">
        <v>0.294</v>
      </c>
      <c r="F103" s="7">
        <v>0.0</v>
      </c>
      <c r="G103" s="7">
        <v>0.322</v>
      </c>
      <c r="H103" s="7">
        <v>0.0</v>
      </c>
    </row>
    <row r="104">
      <c r="A104" s="7" t="s">
        <v>2144</v>
      </c>
      <c r="B104" s="7">
        <v>0.4682</v>
      </c>
      <c r="C104" s="7">
        <v>0.3702</v>
      </c>
      <c r="D104" s="7">
        <v>0.00819756061276768</v>
      </c>
      <c r="E104" s="7">
        <v>0.285599999999999</v>
      </c>
      <c r="F104" s="7">
        <v>0.00770064932327136</v>
      </c>
      <c r="G104" s="7">
        <v>0.3056</v>
      </c>
      <c r="H104" s="7">
        <v>0.00568330889535313</v>
      </c>
    </row>
    <row r="105">
      <c r="A105" s="7" t="s">
        <v>2145</v>
      </c>
      <c r="B105" s="7">
        <v>0.502</v>
      </c>
      <c r="C105" s="7">
        <v>0.355</v>
      </c>
      <c r="D105" s="7">
        <v>0.0</v>
      </c>
      <c r="E105" s="7">
        <v>0.301</v>
      </c>
      <c r="F105" s="7">
        <v>0.0</v>
      </c>
      <c r="G105" s="7">
        <v>0.269</v>
      </c>
      <c r="H105" s="7">
        <v>0.0</v>
      </c>
    </row>
    <row r="106">
      <c r="A106" s="7" t="s">
        <v>2146</v>
      </c>
      <c r="B106" s="7">
        <v>0.479</v>
      </c>
      <c r="C106" s="7">
        <v>0.365</v>
      </c>
      <c r="D106" s="7">
        <v>0.0</v>
      </c>
      <c r="E106" s="7">
        <v>0.307</v>
      </c>
      <c r="F106" s="7">
        <v>0.0</v>
      </c>
      <c r="G106" s="7">
        <v>0.318</v>
      </c>
      <c r="H106" s="7">
        <v>0.0</v>
      </c>
    </row>
    <row r="107">
      <c r="A107" s="7" t="s">
        <v>2147</v>
      </c>
      <c r="B107" s="7">
        <v>0.469</v>
      </c>
      <c r="C107" s="7">
        <v>0.372799999999999</v>
      </c>
      <c r="D107" s="7">
        <v>0.00672309452558865</v>
      </c>
      <c r="E107" s="7">
        <v>0.265399999999999</v>
      </c>
      <c r="F107" s="7">
        <v>0.013831124321616</v>
      </c>
      <c r="G107" s="7">
        <v>0.288599999999999</v>
      </c>
      <c r="H107" s="7">
        <v>0.00931665175908168</v>
      </c>
    </row>
    <row r="108">
      <c r="A108" s="7" t="s">
        <v>2148</v>
      </c>
      <c r="B108" s="7">
        <v>0.502</v>
      </c>
      <c r="C108" s="7">
        <v>0.358</v>
      </c>
      <c r="D108" s="7">
        <v>0.0</v>
      </c>
      <c r="E108" s="7">
        <v>0.283</v>
      </c>
      <c r="F108" s="7">
        <v>0.0</v>
      </c>
      <c r="G108" s="7">
        <v>0.26</v>
      </c>
      <c r="H108" s="7">
        <v>0.0</v>
      </c>
    </row>
    <row r="109">
      <c r="A109" s="7" t="s">
        <v>2149</v>
      </c>
      <c r="B109" s="7">
        <v>0.469</v>
      </c>
      <c r="C109" s="7">
        <v>0.382</v>
      </c>
      <c r="D109" s="7">
        <v>0.0</v>
      </c>
      <c r="E109" s="7">
        <v>0.285</v>
      </c>
      <c r="F109" s="7">
        <v>0.0</v>
      </c>
      <c r="G109" s="7">
        <v>0.297</v>
      </c>
      <c r="H109" s="7">
        <v>0.0</v>
      </c>
    </row>
    <row r="110">
      <c r="A110" s="7" t="s">
        <v>2150</v>
      </c>
      <c r="B110" s="7">
        <v>0.45</v>
      </c>
      <c r="C110" s="7">
        <v>0.3626</v>
      </c>
      <c r="D110" s="7">
        <v>0.00403732584763727</v>
      </c>
      <c r="E110" s="7">
        <v>0.2692</v>
      </c>
      <c r="F110" s="7">
        <v>0.0152216950435882</v>
      </c>
      <c r="G110" s="7">
        <v>0.303</v>
      </c>
      <c r="H110" s="7">
        <v>0.0177059312096257</v>
      </c>
    </row>
    <row r="111">
      <c r="A111" s="7" t="s">
        <v>2151</v>
      </c>
      <c r="B111" s="7">
        <v>0.465</v>
      </c>
      <c r="C111" s="7">
        <v>0.349</v>
      </c>
      <c r="D111" s="7">
        <v>0.0</v>
      </c>
      <c r="E111" s="7">
        <v>0.285</v>
      </c>
      <c r="F111" s="7">
        <v>0.0</v>
      </c>
      <c r="G111" s="7">
        <v>0.263</v>
      </c>
      <c r="H111" s="7">
        <v>0.0</v>
      </c>
    </row>
    <row r="112">
      <c r="A112" s="7" t="s">
        <v>2152</v>
      </c>
      <c r="B112" s="7">
        <v>0.452</v>
      </c>
      <c r="C112" s="7">
        <v>0.36</v>
      </c>
      <c r="D112" s="7">
        <v>0.0</v>
      </c>
      <c r="E112" s="7">
        <v>0.281</v>
      </c>
      <c r="F112" s="7">
        <v>0.0</v>
      </c>
      <c r="G112" s="7">
        <v>0.314</v>
      </c>
      <c r="H112" s="7">
        <v>0.0</v>
      </c>
    </row>
    <row r="113">
      <c r="A113" s="7" t="s">
        <v>2153</v>
      </c>
      <c r="B113" s="7">
        <v>0.4574</v>
      </c>
      <c r="C113" s="7">
        <v>0.3656</v>
      </c>
      <c r="D113" s="7">
        <v>0.00896102672688795</v>
      </c>
      <c r="E113" s="7">
        <v>0.267</v>
      </c>
      <c r="F113" s="7">
        <v>0.0130958008537087</v>
      </c>
      <c r="G113" s="7">
        <v>0.288</v>
      </c>
      <c r="H113" s="7">
        <v>0.0147309198626562</v>
      </c>
    </row>
    <row r="114">
      <c r="A114" s="7" t="s">
        <v>2154</v>
      </c>
      <c r="B114" s="7">
        <v>0.491</v>
      </c>
      <c r="C114" s="7">
        <v>0.35</v>
      </c>
      <c r="D114" s="7">
        <v>0.0</v>
      </c>
      <c r="E114" s="7">
        <v>0.276</v>
      </c>
      <c r="F114" s="7">
        <v>0.0</v>
      </c>
      <c r="G114" s="7">
        <v>0.253</v>
      </c>
      <c r="H114" s="7">
        <v>0.0</v>
      </c>
    </row>
    <row r="115">
      <c r="A115" s="7" t="s">
        <v>2156</v>
      </c>
      <c r="B115" s="7">
        <v>0.474</v>
      </c>
      <c r="C115" s="7">
        <v>0.374</v>
      </c>
      <c r="D115" s="7">
        <v>0.0</v>
      </c>
      <c r="E115" s="7">
        <v>0.294</v>
      </c>
      <c r="F115" s="7">
        <v>0.0</v>
      </c>
      <c r="G115" s="7">
        <v>0.312</v>
      </c>
      <c r="H115" s="7">
        <v>0.0</v>
      </c>
    </row>
    <row r="116">
      <c r="A116" s="7" t="s">
        <v>2157</v>
      </c>
      <c r="B116" s="7">
        <v>0.5206</v>
      </c>
      <c r="C116" s="7">
        <v>0.3642</v>
      </c>
      <c r="D116" s="7">
        <v>0.00396232255123179</v>
      </c>
      <c r="E116" s="7">
        <v>0.3216</v>
      </c>
      <c r="F116" s="7">
        <v>0.0265386510584091</v>
      </c>
      <c r="G116" s="7">
        <v>0.2968</v>
      </c>
      <c r="H116" s="7">
        <v>0.0142723508925474</v>
      </c>
    </row>
    <row r="117">
      <c r="A117" s="7" t="s">
        <v>2158</v>
      </c>
      <c r="B117" s="7">
        <v>0.538</v>
      </c>
      <c r="C117" s="7">
        <v>0.317</v>
      </c>
      <c r="D117" s="7">
        <v>0.0</v>
      </c>
      <c r="E117" s="7">
        <v>0.338</v>
      </c>
      <c r="F117" s="7">
        <v>0.0</v>
      </c>
      <c r="G117" s="7">
        <v>0.246</v>
      </c>
      <c r="H117" s="7">
        <v>0.0</v>
      </c>
    </row>
    <row r="118">
      <c r="A118" s="7" t="s">
        <v>2159</v>
      </c>
      <c r="B118" s="7">
        <v>0.532</v>
      </c>
      <c r="C118" s="7">
        <v>0.37</v>
      </c>
      <c r="D118" s="7">
        <v>0.0</v>
      </c>
      <c r="E118" s="7">
        <v>0.34</v>
      </c>
      <c r="F118" s="7">
        <v>0.0</v>
      </c>
      <c r="G118" s="7">
        <v>0.316</v>
      </c>
      <c r="H118" s="7">
        <v>0.0</v>
      </c>
    </row>
    <row r="119">
      <c r="A119" s="7" t="s">
        <v>2160</v>
      </c>
      <c r="B119" s="7">
        <v>0.4858</v>
      </c>
      <c r="C119" s="7">
        <v>0.3696</v>
      </c>
      <c r="D119" s="7">
        <v>0.00598331012066064</v>
      </c>
      <c r="E119" s="7">
        <v>0.301799999999999</v>
      </c>
      <c r="F119" s="7">
        <v>0.0145155089473293</v>
      </c>
      <c r="G119" s="7">
        <v>0.3046</v>
      </c>
      <c r="H119" s="7">
        <v>0.00610737259384099</v>
      </c>
    </row>
    <row r="120">
      <c r="A120" s="7" t="s">
        <v>2161</v>
      </c>
      <c r="B120" s="7">
        <v>0.34</v>
      </c>
      <c r="C120" s="7">
        <v>0.252</v>
      </c>
      <c r="D120" s="7">
        <v>0.0</v>
      </c>
      <c r="E120" s="7">
        <v>0.195</v>
      </c>
      <c r="F120" s="7">
        <v>0.0</v>
      </c>
      <c r="G120" s="7">
        <v>0.193</v>
      </c>
      <c r="H120" s="7">
        <v>0.0</v>
      </c>
    </row>
    <row r="121">
      <c r="A121" s="7" t="s">
        <v>2162</v>
      </c>
      <c r="B121" s="7">
        <v>0.105</v>
      </c>
      <c r="C121" s="7">
        <v>0.241</v>
      </c>
      <c r="D121" s="7">
        <v>0.0</v>
      </c>
      <c r="E121" s="7">
        <v>0.036</v>
      </c>
      <c r="F121" s="7">
        <v>0.0</v>
      </c>
      <c r="G121" s="7">
        <v>0.115</v>
      </c>
      <c r="H121" s="7">
        <v>0.0</v>
      </c>
    </row>
    <row r="122">
      <c r="A122" s="7" t="s">
        <v>2163</v>
      </c>
      <c r="B122" s="7">
        <v>0.3014</v>
      </c>
      <c r="C122" s="7">
        <v>0.360199999999999</v>
      </c>
      <c r="D122" s="7">
        <v>0.00807465169527454</v>
      </c>
      <c r="E122" s="7">
        <v>0.1844</v>
      </c>
      <c r="F122" s="7">
        <v>0.0272451830604971</v>
      </c>
      <c r="G122" s="7">
        <v>0.325</v>
      </c>
      <c r="H122" s="7">
        <v>0.0147986485869487</v>
      </c>
    </row>
    <row r="123">
      <c r="A123" s="7" t="s">
        <v>2164</v>
      </c>
      <c r="B123" s="7">
        <v>0.377</v>
      </c>
      <c r="C123" s="7">
        <v>0.217</v>
      </c>
      <c r="D123" s="7">
        <v>0.0</v>
      </c>
      <c r="E123" s="7">
        <v>0.214</v>
      </c>
      <c r="F123" s="7">
        <v>0.0</v>
      </c>
      <c r="G123" s="7">
        <v>0.2</v>
      </c>
      <c r="H123" s="7">
        <v>0.0</v>
      </c>
    </row>
    <row r="124">
      <c r="A124" s="7" t="s">
        <v>2165</v>
      </c>
      <c r="B124" s="7">
        <v>0.323</v>
      </c>
      <c r="C124" s="7">
        <v>0.39</v>
      </c>
      <c r="D124" s="7">
        <v>0.0</v>
      </c>
      <c r="E124" s="7">
        <v>0.212</v>
      </c>
      <c r="F124" s="7">
        <v>0.0</v>
      </c>
      <c r="G124" s="7">
        <v>0.369</v>
      </c>
      <c r="H124" s="7">
        <v>0.0</v>
      </c>
    </row>
    <row r="125">
      <c r="A125" s="7" t="s">
        <v>2166</v>
      </c>
      <c r="B125" s="7">
        <v>0.2652</v>
      </c>
      <c r="C125" s="7">
        <v>0.3088</v>
      </c>
      <c r="D125" s="7">
        <v>0.0157384878562078</v>
      </c>
      <c r="E125" s="7">
        <v>0.0809999999999999</v>
      </c>
      <c r="F125" s="7">
        <v>0.0105356537528527</v>
      </c>
      <c r="G125" s="7">
        <v>0.187399999999999</v>
      </c>
      <c r="H125" s="7">
        <v>0.0181052478580106</v>
      </c>
    </row>
    <row r="126">
      <c r="A126" s="7" t="s">
        <v>2167</v>
      </c>
      <c r="B126" s="7">
        <v>0.314</v>
      </c>
      <c r="C126" s="7">
        <v>0.238</v>
      </c>
      <c r="D126" s="7">
        <v>0.0</v>
      </c>
      <c r="E126" s="7">
        <v>0.114</v>
      </c>
      <c r="F126" s="7">
        <v>0.0</v>
      </c>
      <c r="G126" s="7">
        <v>0.14</v>
      </c>
      <c r="H126" s="7">
        <v>0.0</v>
      </c>
    </row>
    <row r="127">
      <c r="A127" s="7" t="s">
        <v>2168</v>
      </c>
      <c r="B127" s="7">
        <v>0.316</v>
      </c>
      <c r="C127" s="7">
        <v>0.391</v>
      </c>
      <c r="D127" s="7">
        <v>0.0</v>
      </c>
      <c r="E127" s="7">
        <v>0.145</v>
      </c>
      <c r="F127" s="7">
        <v>0.0</v>
      </c>
      <c r="G127" s="7">
        <v>0.326</v>
      </c>
      <c r="H127" s="7">
        <v>0.0</v>
      </c>
    </row>
    <row r="128">
      <c r="A128" s="7" t="s">
        <v>2169</v>
      </c>
      <c r="B128" s="7">
        <v>0.2814</v>
      </c>
      <c r="C128" s="7">
        <v>0.3634</v>
      </c>
      <c r="D128" s="7">
        <v>0.0154693244842817</v>
      </c>
      <c r="E128" s="7">
        <v>0.1774</v>
      </c>
      <c r="F128" s="7">
        <v>0.0316749112074525</v>
      </c>
      <c r="G128" s="7">
        <v>0.3296</v>
      </c>
      <c r="H128" s="7">
        <v>0.0215476216785054</v>
      </c>
    </row>
    <row r="129">
      <c r="A129" s="7" t="s">
        <v>2170</v>
      </c>
      <c r="B129" s="7">
        <v>0.361</v>
      </c>
      <c r="C129" s="7">
        <v>0.196</v>
      </c>
      <c r="D129" s="7">
        <v>0.0</v>
      </c>
      <c r="E129" s="7">
        <v>0.189</v>
      </c>
      <c r="F129" s="7">
        <v>0.0</v>
      </c>
      <c r="G129" s="7">
        <v>0.176</v>
      </c>
      <c r="H129" s="7">
        <v>0.0</v>
      </c>
    </row>
    <row r="130">
      <c r="A130" s="7" t="s">
        <v>2171</v>
      </c>
      <c r="B130" s="7">
        <v>0.323</v>
      </c>
      <c r="C130" s="7">
        <v>0.416</v>
      </c>
      <c r="D130" s="7">
        <v>0.0</v>
      </c>
      <c r="E130" s="7">
        <v>0.237</v>
      </c>
      <c r="F130" s="7">
        <v>0.0</v>
      </c>
      <c r="G130" s="7">
        <v>0.399</v>
      </c>
      <c r="H130" s="7">
        <v>0.0</v>
      </c>
    </row>
    <row r="131">
      <c r="A131" s="7" t="s">
        <v>2172</v>
      </c>
      <c r="B131" s="7">
        <v>0.2952</v>
      </c>
      <c r="C131" s="7">
        <v>0.350399999999999</v>
      </c>
      <c r="D131" s="7">
        <v>0.0142232204510792</v>
      </c>
      <c r="E131" s="7">
        <v>0.1818</v>
      </c>
      <c r="F131" s="7">
        <v>0.026061465806819</v>
      </c>
      <c r="G131" s="7">
        <v>0.3156</v>
      </c>
      <c r="H131" s="7">
        <v>0.0212790977252326</v>
      </c>
    </row>
    <row r="132">
      <c r="A132" s="7" t="s">
        <v>2173</v>
      </c>
      <c r="B132" s="7">
        <v>0.387</v>
      </c>
      <c r="C132" s="7">
        <v>0.203</v>
      </c>
      <c r="D132" s="7">
        <v>0.0</v>
      </c>
      <c r="E132" s="7">
        <v>0.226</v>
      </c>
      <c r="F132" s="7">
        <v>0.0</v>
      </c>
      <c r="G132" s="7">
        <v>0.207</v>
      </c>
      <c r="H132" s="7">
        <v>0.0</v>
      </c>
    </row>
    <row r="133">
      <c r="A133" s="7" t="s">
        <v>2174</v>
      </c>
      <c r="B133" s="7">
        <v>0.302</v>
      </c>
      <c r="C133" s="7">
        <v>0.375</v>
      </c>
      <c r="D133" s="7">
        <v>0.0</v>
      </c>
      <c r="E133" s="7">
        <v>0.196</v>
      </c>
      <c r="F133" s="7">
        <v>0.0</v>
      </c>
      <c r="G133" s="7">
        <v>0.341</v>
      </c>
      <c r="H133" s="7">
        <v>0.0</v>
      </c>
    </row>
    <row r="134">
      <c r="A134" s="7" t="s">
        <v>2175</v>
      </c>
      <c r="B134" s="7">
        <v>0.2804</v>
      </c>
      <c r="C134" s="7">
        <v>0.3352</v>
      </c>
      <c r="D134" s="7">
        <v>0.0154175224987674</v>
      </c>
      <c r="E134" s="7">
        <v>0.136</v>
      </c>
      <c r="F134" s="7">
        <v>0.0230217288664426</v>
      </c>
      <c r="G134" s="7">
        <v>0.2764</v>
      </c>
      <c r="H134" s="7">
        <v>0.0271532686798477</v>
      </c>
    </row>
    <row r="135">
      <c r="A135" s="7" t="s">
        <v>2176</v>
      </c>
      <c r="B135" s="7">
        <v>0.361</v>
      </c>
      <c r="C135" s="7">
        <v>0.214</v>
      </c>
      <c r="D135" s="7">
        <v>0.0</v>
      </c>
      <c r="E135" s="7">
        <v>0.18</v>
      </c>
      <c r="F135" s="7">
        <v>0.0</v>
      </c>
      <c r="G135" s="7">
        <v>0.169</v>
      </c>
      <c r="H135" s="7">
        <v>0.0</v>
      </c>
    </row>
    <row r="136">
      <c r="A136" s="7" t="s">
        <v>2177</v>
      </c>
      <c r="B136" s="7">
        <v>0.268</v>
      </c>
      <c r="C136" s="7">
        <v>0.369</v>
      </c>
      <c r="D136" s="7">
        <v>0.0</v>
      </c>
      <c r="E136" s="7">
        <v>0.156</v>
      </c>
      <c r="F136" s="7">
        <v>0.0</v>
      </c>
      <c r="G136" s="7">
        <v>0.33</v>
      </c>
      <c r="H136" s="7">
        <v>0.0</v>
      </c>
    </row>
    <row r="137">
      <c r="A137" s="7" t="s">
        <v>2178</v>
      </c>
      <c r="B137" s="7">
        <v>0.2834</v>
      </c>
      <c r="C137" s="7">
        <v>0.3668</v>
      </c>
      <c r="D137" s="7">
        <v>0.0097313925005623</v>
      </c>
      <c r="E137" s="7">
        <v>0.1776</v>
      </c>
      <c r="F137" s="7">
        <v>0.029602364770403</v>
      </c>
      <c r="G137" s="7">
        <v>0.3322</v>
      </c>
      <c r="H137" s="7">
        <v>0.0249739864659208</v>
      </c>
    </row>
    <row r="138">
      <c r="A138" s="7" t="s">
        <v>2179</v>
      </c>
      <c r="B138" s="7">
        <v>0.365</v>
      </c>
      <c r="C138" s="7">
        <v>0.216</v>
      </c>
      <c r="D138" s="7">
        <v>0.0</v>
      </c>
      <c r="E138" s="7">
        <v>0.209</v>
      </c>
      <c r="F138" s="7">
        <v>0.0</v>
      </c>
      <c r="G138" s="7">
        <v>0.195</v>
      </c>
      <c r="H138" s="7">
        <v>0.0</v>
      </c>
    </row>
    <row r="139">
      <c r="A139" s="7" t="s">
        <v>2180</v>
      </c>
      <c r="B139" s="7">
        <v>0.333</v>
      </c>
      <c r="C139" s="7">
        <v>0.415</v>
      </c>
      <c r="D139" s="7">
        <v>0.0</v>
      </c>
      <c r="E139" s="7">
        <v>0.234</v>
      </c>
      <c r="F139" s="7">
        <v>0.0</v>
      </c>
      <c r="G139" s="7">
        <v>0.4</v>
      </c>
      <c r="H139" s="7">
        <v>0.0</v>
      </c>
    </row>
    <row r="140">
      <c r="A140" s="7" t="s">
        <v>2181</v>
      </c>
      <c r="B140" s="7">
        <v>0.363199999999999</v>
      </c>
      <c r="C140" s="7">
        <v>0.3178</v>
      </c>
      <c r="D140" s="7">
        <v>0.00593295878967653</v>
      </c>
      <c r="E140" s="7">
        <v>0.1464</v>
      </c>
      <c r="F140" s="7">
        <v>0.00461519230368572</v>
      </c>
      <c r="G140" s="7">
        <v>0.228799999999999</v>
      </c>
      <c r="H140" s="7">
        <v>0.0100099950049937</v>
      </c>
    </row>
    <row r="141">
      <c r="A141" s="7" t="s">
        <v>2182</v>
      </c>
      <c r="B141" s="7">
        <v>0.383</v>
      </c>
      <c r="C141" s="7">
        <v>0.285</v>
      </c>
      <c r="D141" s="7">
        <v>0.0</v>
      </c>
      <c r="E141" s="7">
        <v>0.177</v>
      </c>
      <c r="F141" s="7">
        <v>0.0</v>
      </c>
      <c r="G141" s="7">
        <v>0.185</v>
      </c>
      <c r="H141" s="7">
        <v>0.0</v>
      </c>
    </row>
    <row r="142">
      <c r="A142" s="7" t="s">
        <v>2183</v>
      </c>
      <c r="B142" s="7">
        <v>0.357</v>
      </c>
      <c r="C142" s="7">
        <v>0.328</v>
      </c>
      <c r="D142" s="7">
        <v>0.0</v>
      </c>
      <c r="E142" s="7">
        <v>0.147</v>
      </c>
      <c r="F142" s="7">
        <v>0.0</v>
      </c>
      <c r="G142" s="7">
        <v>0.25</v>
      </c>
      <c r="H142" s="7">
        <v>0.0</v>
      </c>
    </row>
    <row r="143">
      <c r="A143" s="7" t="s">
        <v>2184</v>
      </c>
      <c r="B143" s="7">
        <v>0.3398</v>
      </c>
      <c r="C143" s="7">
        <v>0.305</v>
      </c>
      <c r="D143" s="7">
        <v>0.0144048602908879</v>
      </c>
      <c r="E143" s="7">
        <v>0.1402</v>
      </c>
      <c r="F143" s="7">
        <v>0.00356370593624108</v>
      </c>
      <c r="G143" s="7">
        <v>0.214</v>
      </c>
      <c r="H143" s="7">
        <v>0.008</v>
      </c>
    </row>
    <row r="144">
      <c r="A144" s="7" t="s">
        <v>2185</v>
      </c>
      <c r="B144" s="7">
        <v>0.339</v>
      </c>
      <c r="C144" s="7">
        <v>0.256</v>
      </c>
      <c r="D144" s="7">
        <v>0.0</v>
      </c>
      <c r="E144" s="7">
        <v>0.151</v>
      </c>
      <c r="F144" s="7">
        <v>0.0</v>
      </c>
      <c r="G144" s="7">
        <v>0.164</v>
      </c>
      <c r="H144" s="7">
        <v>0.0</v>
      </c>
    </row>
    <row r="145">
      <c r="A145" s="7" t="s">
        <v>2186</v>
      </c>
      <c r="B145" s="7">
        <v>0.359</v>
      </c>
      <c r="C145" s="7">
        <v>0.309</v>
      </c>
      <c r="D145" s="7">
        <v>0.0</v>
      </c>
      <c r="E145" s="7">
        <v>0.155</v>
      </c>
      <c r="F145" s="7">
        <v>0.0</v>
      </c>
      <c r="G145" s="7">
        <v>0.246</v>
      </c>
      <c r="H145" s="7">
        <v>0.0</v>
      </c>
    </row>
    <row r="146">
      <c r="A146" s="7" t="s">
        <v>2187</v>
      </c>
      <c r="B146" s="7">
        <v>0.378599999999999</v>
      </c>
      <c r="C146" s="7">
        <v>0.314</v>
      </c>
      <c r="D146" s="7">
        <v>0.00845576726264389</v>
      </c>
      <c r="E146" s="7">
        <v>0.217399999999999</v>
      </c>
      <c r="F146" s="7">
        <v>0.0117388244726633</v>
      </c>
      <c r="G146" s="7">
        <v>0.2382</v>
      </c>
      <c r="H146" s="7">
        <v>0.0129884564132925</v>
      </c>
    </row>
    <row r="147">
      <c r="A147" s="7" t="s">
        <v>2188</v>
      </c>
      <c r="B147" s="7">
        <v>0.389</v>
      </c>
      <c r="C147" s="7">
        <v>0.275</v>
      </c>
      <c r="D147" s="7">
        <v>0.0</v>
      </c>
      <c r="E147" s="7">
        <v>0.238</v>
      </c>
      <c r="F147" s="7">
        <v>0.0</v>
      </c>
      <c r="G147" s="7">
        <v>0.205</v>
      </c>
      <c r="H147" s="7">
        <v>0.0</v>
      </c>
    </row>
    <row r="148">
      <c r="A148" s="7" t="s">
        <v>2189</v>
      </c>
      <c r="B148" s="7">
        <v>0.372</v>
      </c>
      <c r="C148" s="7">
        <v>0.311</v>
      </c>
      <c r="D148" s="7">
        <v>0.0</v>
      </c>
      <c r="E148" s="7">
        <v>0.218</v>
      </c>
      <c r="F148" s="7">
        <v>0.0</v>
      </c>
      <c r="G148" s="7">
        <v>0.236</v>
      </c>
      <c r="H148" s="7">
        <v>0.0</v>
      </c>
    </row>
    <row r="149">
      <c r="A149" s="7" t="s">
        <v>2190</v>
      </c>
      <c r="B149" s="7">
        <v>0.3854</v>
      </c>
      <c r="C149" s="7">
        <v>0.3344</v>
      </c>
      <c r="D149" s="7">
        <v>0.00541294744108974</v>
      </c>
      <c r="E149" s="7">
        <v>0.1814</v>
      </c>
      <c r="F149" s="7">
        <v>0.00909945053286185</v>
      </c>
      <c r="G149" s="7">
        <v>0.2274</v>
      </c>
      <c r="H149" s="7">
        <v>0.009044335243676</v>
      </c>
    </row>
    <row r="150">
      <c r="A150" s="7" t="s">
        <v>2191</v>
      </c>
      <c r="B150" s="7">
        <v>0.406</v>
      </c>
      <c r="C150" s="7">
        <v>0.31</v>
      </c>
      <c r="D150" s="7">
        <v>0.0</v>
      </c>
      <c r="E150" s="7">
        <v>0.207</v>
      </c>
      <c r="F150" s="7">
        <v>0.0</v>
      </c>
      <c r="G150" s="7">
        <v>0.204</v>
      </c>
      <c r="H150" s="7">
        <v>0.0</v>
      </c>
    </row>
    <row r="151">
      <c r="A151" s="7" t="s">
        <v>2192</v>
      </c>
      <c r="B151" s="7">
        <v>0.399</v>
      </c>
      <c r="C151" s="7">
        <v>0.343</v>
      </c>
      <c r="D151" s="7">
        <v>0.0</v>
      </c>
      <c r="E151" s="7">
        <v>0.186</v>
      </c>
      <c r="F151" s="7">
        <v>0.0</v>
      </c>
      <c r="G151" s="7">
        <v>0.242</v>
      </c>
      <c r="H151" s="7">
        <v>0.0</v>
      </c>
    </row>
    <row r="152">
      <c r="A152" s="7" t="s">
        <v>2193</v>
      </c>
      <c r="B152" s="7">
        <v>0.3714</v>
      </c>
      <c r="C152" s="7">
        <v>0.3266</v>
      </c>
      <c r="D152" s="7">
        <v>0.0106911178087232</v>
      </c>
      <c r="E152" s="7">
        <v>0.204599999999999</v>
      </c>
      <c r="F152" s="7">
        <v>0.00907193474403337</v>
      </c>
      <c r="G152" s="7">
        <v>0.233399999999999</v>
      </c>
      <c r="H152" s="7">
        <v>0.0155659885648165</v>
      </c>
    </row>
    <row r="153">
      <c r="A153" s="7" t="s">
        <v>2194</v>
      </c>
      <c r="B153" s="7">
        <v>0.381</v>
      </c>
      <c r="C153" s="7">
        <v>0.292</v>
      </c>
      <c r="D153" s="7">
        <v>0.0</v>
      </c>
      <c r="E153" s="7">
        <v>0.225</v>
      </c>
      <c r="F153" s="7">
        <v>0.0</v>
      </c>
      <c r="G153" s="7">
        <v>0.201</v>
      </c>
      <c r="H153" s="7">
        <v>0.0</v>
      </c>
    </row>
    <row r="154">
      <c r="A154" s="7" t="s">
        <v>2195</v>
      </c>
      <c r="B154" s="7">
        <v>0.383</v>
      </c>
      <c r="C154" s="7">
        <v>0.33</v>
      </c>
      <c r="D154" s="7">
        <v>0.0</v>
      </c>
      <c r="E154" s="7">
        <v>0.205</v>
      </c>
      <c r="F154" s="7">
        <v>0.0</v>
      </c>
      <c r="G154" s="7">
        <v>0.228</v>
      </c>
      <c r="H154" s="7">
        <v>0.0</v>
      </c>
    </row>
    <row r="155">
      <c r="A155" s="7" t="s">
        <v>2196</v>
      </c>
      <c r="B155" s="7">
        <v>0.342199999999999</v>
      </c>
      <c r="C155" s="7">
        <v>0.311</v>
      </c>
      <c r="D155" s="7">
        <v>0.00836660026534076</v>
      </c>
      <c r="E155" s="7">
        <v>0.180399999999999</v>
      </c>
      <c r="F155" s="7">
        <v>0.00890505474435727</v>
      </c>
      <c r="G155" s="7">
        <v>0.2274</v>
      </c>
      <c r="H155" s="7">
        <v>0.0163645959314613</v>
      </c>
    </row>
    <row r="156">
      <c r="A156" s="7" t="s">
        <v>2197</v>
      </c>
      <c r="B156" s="7">
        <v>0.359</v>
      </c>
      <c r="C156" s="7">
        <v>0.271</v>
      </c>
      <c r="D156" s="7">
        <v>0.0</v>
      </c>
      <c r="E156" s="7">
        <v>0.196</v>
      </c>
      <c r="F156" s="7">
        <v>0.0</v>
      </c>
      <c r="G156" s="7">
        <v>0.187</v>
      </c>
      <c r="H156" s="7">
        <v>0.0</v>
      </c>
    </row>
    <row r="157">
      <c r="A157" s="7" t="s">
        <v>2198</v>
      </c>
      <c r="B157" s="7">
        <v>0.325</v>
      </c>
      <c r="C157" s="7">
        <v>0.296</v>
      </c>
      <c r="D157" s="7">
        <v>0.0</v>
      </c>
      <c r="E157" s="7">
        <v>0.16</v>
      </c>
      <c r="F157" s="7">
        <v>0.0</v>
      </c>
      <c r="G157" s="7">
        <v>0.199</v>
      </c>
      <c r="H157" s="7">
        <v>0.0</v>
      </c>
    </row>
    <row r="158">
      <c r="A158" s="7" t="s">
        <v>2199</v>
      </c>
      <c r="B158" s="7">
        <v>0.3804</v>
      </c>
      <c r="C158" s="7">
        <v>0.319</v>
      </c>
      <c r="D158" s="7">
        <v>0.00604152298679729</v>
      </c>
      <c r="E158" s="7">
        <v>0.1926</v>
      </c>
      <c r="F158" s="7">
        <v>0.00801872807869177</v>
      </c>
      <c r="G158" s="7">
        <v>0.2354</v>
      </c>
      <c r="H158" s="7">
        <v>0.0158996855314814</v>
      </c>
    </row>
    <row r="159">
      <c r="A159" s="7" t="s">
        <v>2200</v>
      </c>
      <c r="B159" s="7">
        <v>0.383</v>
      </c>
      <c r="C159" s="7">
        <v>0.283</v>
      </c>
      <c r="D159" s="7">
        <v>0.0</v>
      </c>
      <c r="E159" s="7">
        <v>0.214</v>
      </c>
      <c r="F159" s="7">
        <v>0.0</v>
      </c>
      <c r="G159" s="7">
        <v>0.207</v>
      </c>
      <c r="H159" s="7">
        <v>0.0</v>
      </c>
    </row>
    <row r="160">
      <c r="A160" s="7" t="s">
        <v>2201</v>
      </c>
      <c r="B160" s="7">
        <v>0.384</v>
      </c>
      <c r="C160" s="7">
        <v>0.317</v>
      </c>
      <c r="D160" s="7">
        <v>0.0</v>
      </c>
      <c r="E160" s="7">
        <v>0.182</v>
      </c>
      <c r="F160" s="7">
        <v>0.0</v>
      </c>
      <c r="G160" s="7">
        <v>0.216</v>
      </c>
      <c r="H160" s="7">
        <v>0.0</v>
      </c>
    </row>
    <row r="161">
      <c r="A161" s="7" t="s">
        <v>2202</v>
      </c>
      <c r="B161" s="7">
        <v>0.3716</v>
      </c>
      <c r="C161" s="7">
        <v>0.33</v>
      </c>
      <c r="D161" s="7">
        <v>0.00648074069840786</v>
      </c>
      <c r="E161" s="7">
        <v>0.2182</v>
      </c>
      <c r="F161" s="7">
        <v>0.0144464528518249</v>
      </c>
      <c r="G161" s="7">
        <v>0.2626</v>
      </c>
      <c r="H161" s="7">
        <v>0.00853229160308062</v>
      </c>
    </row>
    <row r="162">
      <c r="A162" s="7" t="s">
        <v>2203</v>
      </c>
      <c r="B162" s="7">
        <v>0.387</v>
      </c>
      <c r="C162" s="7">
        <v>0.268</v>
      </c>
      <c r="D162" s="7">
        <v>0.0</v>
      </c>
      <c r="E162" s="7">
        <v>0.225</v>
      </c>
      <c r="F162" s="7">
        <v>0.0</v>
      </c>
      <c r="G162" s="7">
        <v>0.198</v>
      </c>
      <c r="H162" s="7">
        <v>0.0</v>
      </c>
    </row>
    <row r="163">
      <c r="A163" s="7" t="s">
        <v>2204</v>
      </c>
      <c r="B163" s="7">
        <v>0.394</v>
      </c>
      <c r="C163" s="7">
        <v>0.323</v>
      </c>
      <c r="D163" s="7">
        <v>0.0</v>
      </c>
      <c r="E163" s="7">
        <v>0.227</v>
      </c>
      <c r="F163" s="7">
        <v>0.0</v>
      </c>
      <c r="G163" s="7">
        <v>0.262</v>
      </c>
      <c r="H163" s="7">
        <v>0.0</v>
      </c>
    </row>
    <row r="164">
      <c r="A164" s="7" t="s">
        <v>2205</v>
      </c>
      <c r="B164" s="7">
        <v>0.289799999999999</v>
      </c>
      <c r="C164" s="7">
        <v>0.4486</v>
      </c>
      <c r="D164" s="7">
        <v>8.94427190999916E-4</v>
      </c>
      <c r="E164" s="7">
        <v>0.287799999999999</v>
      </c>
      <c r="F164" s="7">
        <v>0.00476445169982864</v>
      </c>
      <c r="G164" s="7">
        <v>0.4488</v>
      </c>
      <c r="H164" s="7">
        <v>0.00130384048104053</v>
      </c>
    </row>
    <row r="165">
      <c r="A165" s="7" t="s">
        <v>2206</v>
      </c>
      <c r="B165" s="7">
        <v>0.307</v>
      </c>
      <c r="C165" s="7">
        <v>0.446</v>
      </c>
      <c r="D165" s="7">
        <v>0.0</v>
      </c>
      <c r="E165" s="7">
        <v>0.297</v>
      </c>
      <c r="F165" s="7">
        <v>0.0</v>
      </c>
      <c r="G165" s="7">
        <v>0.447</v>
      </c>
      <c r="H165" s="7">
        <v>0.0</v>
      </c>
    </row>
    <row r="166">
      <c r="A166" s="7" t="s">
        <v>2207</v>
      </c>
      <c r="B166" s="7">
        <v>0.295</v>
      </c>
      <c r="C166" s="7">
        <v>0.454</v>
      </c>
      <c r="D166" s="7">
        <v>0.0</v>
      </c>
      <c r="E166" s="7">
        <v>0.294</v>
      </c>
      <c r="F166" s="7">
        <v>0.0</v>
      </c>
      <c r="G166" s="7">
        <v>0.452</v>
      </c>
      <c r="H166" s="7">
        <v>0.0</v>
      </c>
    </row>
    <row r="167">
      <c r="A167" s="7" t="s">
        <v>2209</v>
      </c>
      <c r="B167" s="7">
        <v>0.4278</v>
      </c>
      <c r="C167" s="7">
        <v>0.3954</v>
      </c>
      <c r="D167" s="7">
        <v>0.0142933550994859</v>
      </c>
      <c r="E167" s="7">
        <v>0.324199999999999</v>
      </c>
      <c r="F167" s="7">
        <v>0.0209690247746527</v>
      </c>
      <c r="G167" s="7">
        <v>0.3664</v>
      </c>
      <c r="H167" s="7">
        <v>0.0108765803449429</v>
      </c>
    </row>
    <row r="168">
      <c r="A168" s="7" t="s">
        <v>2210</v>
      </c>
      <c r="B168" s="7">
        <v>0.473</v>
      </c>
      <c r="C168" s="7">
        <v>0.272</v>
      </c>
      <c r="D168" s="7">
        <v>0.0</v>
      </c>
      <c r="E168" s="7">
        <v>0.339</v>
      </c>
      <c r="F168" s="7">
        <v>0.0</v>
      </c>
      <c r="G168" s="7">
        <v>0.264</v>
      </c>
      <c r="H168" s="7">
        <v>0.0</v>
      </c>
    </row>
    <row r="169">
      <c r="A169" s="7" t="s">
        <v>2211</v>
      </c>
      <c r="B169" s="7">
        <v>0.422</v>
      </c>
      <c r="C169" s="7">
        <v>0.396</v>
      </c>
      <c r="D169" s="7">
        <v>0.0</v>
      </c>
      <c r="E169" s="7">
        <v>0.323</v>
      </c>
      <c r="F169" s="7">
        <v>0.0</v>
      </c>
      <c r="G169" s="7">
        <v>0.357</v>
      </c>
      <c r="H169" s="7">
        <v>0.0</v>
      </c>
    </row>
    <row r="170">
      <c r="A170" s="7" t="s">
        <v>2212</v>
      </c>
      <c r="B170" s="7">
        <v>0.1582</v>
      </c>
      <c r="C170" s="7">
        <v>0.2608</v>
      </c>
      <c r="D170" s="7">
        <v>0.0148222805262888</v>
      </c>
      <c r="E170" s="7">
        <v>0.0654</v>
      </c>
      <c r="F170" s="7">
        <v>0.0120954536913668</v>
      </c>
      <c r="G170" s="7">
        <v>0.169599999999999</v>
      </c>
      <c r="H170" s="7">
        <v>0.0123207142650091</v>
      </c>
    </row>
    <row r="171">
      <c r="A171" s="7" t="s">
        <v>2213</v>
      </c>
      <c r="B171" s="7">
        <v>0.231</v>
      </c>
      <c r="C171" s="7">
        <v>0.247</v>
      </c>
      <c r="D171" s="7">
        <v>0.0</v>
      </c>
      <c r="E171" s="7">
        <v>0.106</v>
      </c>
      <c r="F171" s="7">
        <v>0.0</v>
      </c>
      <c r="G171" s="7">
        <v>0.15</v>
      </c>
      <c r="H171" s="7">
        <v>0.0</v>
      </c>
    </row>
    <row r="172">
      <c r="A172" s="7" t="s">
        <v>2214</v>
      </c>
      <c r="B172" s="7">
        <v>0.207</v>
      </c>
      <c r="C172" s="7">
        <v>0.372</v>
      </c>
      <c r="D172" s="7">
        <v>0.0</v>
      </c>
      <c r="E172" s="7">
        <v>0.162</v>
      </c>
      <c r="F172" s="7">
        <v>0.0</v>
      </c>
      <c r="G172" s="7">
        <v>0.342</v>
      </c>
      <c r="H172" s="7">
        <v>0.0</v>
      </c>
    </row>
    <row r="173">
      <c r="A173" s="7" t="s">
        <v>2215</v>
      </c>
      <c r="B173" s="7">
        <v>0.1236</v>
      </c>
      <c r="C173" s="7">
        <v>0.2374</v>
      </c>
      <c r="D173" s="7">
        <v>0.0202682016962531</v>
      </c>
      <c r="E173" s="7">
        <v>0.044</v>
      </c>
      <c r="F173" s="7">
        <v>0.0104880884817015</v>
      </c>
      <c r="G173" s="7">
        <v>0.1266</v>
      </c>
      <c r="H173" s="7">
        <v>0.0207074865688716</v>
      </c>
    </row>
    <row r="174">
      <c r="A174" s="7" t="s">
        <v>2216</v>
      </c>
      <c r="B174" s="7">
        <v>0.185</v>
      </c>
      <c r="C174" s="7">
        <v>0.227</v>
      </c>
      <c r="D174" s="7">
        <v>0.0</v>
      </c>
      <c r="E174" s="7">
        <v>0.078</v>
      </c>
      <c r="F174" s="7">
        <v>0.0</v>
      </c>
      <c r="G174" s="7">
        <v>0.125</v>
      </c>
      <c r="H174" s="7">
        <v>0.0</v>
      </c>
    </row>
    <row r="175">
      <c r="A175" s="7" t="s">
        <v>2217</v>
      </c>
      <c r="B175" s="7">
        <v>0.255</v>
      </c>
      <c r="C175" s="7">
        <v>0.403</v>
      </c>
      <c r="D175" s="7">
        <v>0.0</v>
      </c>
      <c r="E175" s="7">
        <v>0.216</v>
      </c>
      <c r="F175" s="7">
        <v>0.0</v>
      </c>
      <c r="G175" s="7">
        <v>0.391</v>
      </c>
      <c r="H175" s="7">
        <v>0.0</v>
      </c>
    </row>
    <row r="176">
      <c r="A176" s="7" t="s">
        <v>2218</v>
      </c>
      <c r="B176" s="7">
        <v>0.175799999999999</v>
      </c>
      <c r="C176" s="7">
        <v>0.292</v>
      </c>
      <c r="D176" s="7">
        <v>0.0128257553383806</v>
      </c>
      <c r="E176" s="7">
        <v>0.0826</v>
      </c>
      <c r="F176" s="7">
        <v>0.0114586212085049</v>
      </c>
      <c r="G176" s="7">
        <v>0.211399999999999</v>
      </c>
      <c r="H176" s="7">
        <v>0.0237549994737949</v>
      </c>
    </row>
    <row r="177">
      <c r="A177" s="7" t="s">
        <v>2219</v>
      </c>
      <c r="B177" s="7">
        <v>0.239</v>
      </c>
      <c r="C177" s="7">
        <v>0.235</v>
      </c>
      <c r="D177" s="7">
        <v>0.0</v>
      </c>
      <c r="E177" s="7">
        <v>0.119</v>
      </c>
      <c r="F177" s="7">
        <v>0.0</v>
      </c>
      <c r="G177" s="7">
        <v>0.164</v>
      </c>
      <c r="H177" s="7">
        <v>0.0</v>
      </c>
    </row>
    <row r="178">
      <c r="A178" s="7" t="s">
        <v>2220</v>
      </c>
      <c r="B178" s="7">
        <v>0.195</v>
      </c>
      <c r="C178" s="7">
        <v>0.372</v>
      </c>
      <c r="D178" s="7">
        <v>0.0</v>
      </c>
      <c r="E178" s="7">
        <v>0.159</v>
      </c>
      <c r="F178" s="7">
        <v>0.0</v>
      </c>
      <c r="G178" s="7">
        <v>0.349</v>
      </c>
      <c r="H178" s="7">
        <v>0.0</v>
      </c>
    </row>
    <row r="179">
      <c r="A179" s="7" t="s">
        <v>2221</v>
      </c>
      <c r="B179" s="7">
        <v>0.1542</v>
      </c>
      <c r="C179" s="7">
        <v>0.275</v>
      </c>
      <c r="D179" s="7">
        <v>0.0095131487952202</v>
      </c>
      <c r="E179" s="7">
        <v>0.0616</v>
      </c>
      <c r="F179" s="7">
        <v>0.0129923054151293</v>
      </c>
      <c r="G179" s="7">
        <v>0.1722</v>
      </c>
      <c r="H179" s="7">
        <v>0.0205109726731815</v>
      </c>
    </row>
    <row r="180">
      <c r="A180" s="7" t="s">
        <v>2222</v>
      </c>
      <c r="B180" s="7">
        <v>0.217</v>
      </c>
      <c r="C180" s="7">
        <v>0.259</v>
      </c>
      <c r="D180" s="7">
        <v>0.0</v>
      </c>
      <c r="E180" s="7">
        <v>0.095</v>
      </c>
      <c r="F180" s="7">
        <v>0.0</v>
      </c>
      <c r="G180" s="7">
        <v>0.156</v>
      </c>
      <c r="H180" s="7">
        <v>0.0</v>
      </c>
    </row>
    <row r="181">
      <c r="A181" s="7" t="s">
        <v>2223</v>
      </c>
      <c r="B181" s="7">
        <v>0.26</v>
      </c>
      <c r="C181" s="7">
        <v>0.411</v>
      </c>
      <c r="D181" s="7">
        <v>0.0</v>
      </c>
      <c r="E181" s="7">
        <v>0.209</v>
      </c>
      <c r="F181" s="7">
        <v>0.0</v>
      </c>
      <c r="G181" s="7">
        <v>0.391</v>
      </c>
      <c r="H181" s="7">
        <v>0.0</v>
      </c>
    </row>
    <row r="182">
      <c r="A182" s="7" t="s">
        <v>2224</v>
      </c>
      <c r="B182" s="7">
        <v>0.089</v>
      </c>
      <c r="C182" s="7">
        <v>0.2012</v>
      </c>
      <c r="D182" s="7">
        <v>0.0216610249064997</v>
      </c>
      <c r="E182" s="7">
        <v>0.0288</v>
      </c>
      <c r="F182" s="7">
        <v>0.0120706255016051</v>
      </c>
      <c r="G182" s="7">
        <v>0.110199999999999</v>
      </c>
      <c r="H182" s="7">
        <v>0.0374726566979177</v>
      </c>
    </row>
    <row r="183">
      <c r="A183" s="7" t="s">
        <v>2225</v>
      </c>
      <c r="B183" s="7">
        <v>0.182</v>
      </c>
      <c r="C183" s="7">
        <v>0.268</v>
      </c>
      <c r="D183" s="7">
        <v>0.0</v>
      </c>
      <c r="E183" s="7">
        <v>0.065</v>
      </c>
      <c r="F183" s="7">
        <v>0.0</v>
      </c>
      <c r="G183" s="7">
        <v>0.148</v>
      </c>
      <c r="H183" s="7">
        <v>0.0</v>
      </c>
    </row>
    <row r="184">
      <c r="A184" s="7" t="s">
        <v>2226</v>
      </c>
      <c r="B184" s="7">
        <v>0.171</v>
      </c>
      <c r="C184" s="7">
        <v>0.359</v>
      </c>
      <c r="D184" s="7">
        <v>0.0</v>
      </c>
      <c r="E184" s="7">
        <v>0.155</v>
      </c>
      <c r="F184" s="7">
        <v>0.0</v>
      </c>
      <c r="G184" s="7">
        <v>0.355</v>
      </c>
      <c r="H184" s="7">
        <v>0.0</v>
      </c>
    </row>
    <row r="185">
      <c r="A185" s="7" t="s">
        <v>2227</v>
      </c>
      <c r="B185" s="7">
        <v>0.1878</v>
      </c>
      <c r="C185" s="7">
        <v>0.300199999999999</v>
      </c>
      <c r="D185" s="7">
        <v>0.0272525228189978</v>
      </c>
      <c r="E185" s="7">
        <v>0.0782</v>
      </c>
      <c r="F185" s="7">
        <v>0.00752994023880668</v>
      </c>
      <c r="G185" s="7">
        <v>0.216</v>
      </c>
      <c r="H185" s="7">
        <v>0.0130192165662915</v>
      </c>
    </row>
    <row r="186">
      <c r="A186" s="7" t="s">
        <v>2228</v>
      </c>
      <c r="B186" s="7">
        <v>0.243</v>
      </c>
      <c r="C186" s="7">
        <v>0.265</v>
      </c>
      <c r="D186" s="7">
        <v>0.0</v>
      </c>
      <c r="E186" s="7">
        <v>0.112</v>
      </c>
      <c r="F186" s="7">
        <v>0.0</v>
      </c>
      <c r="G186" s="7">
        <v>0.186</v>
      </c>
      <c r="H186" s="7">
        <v>0.0</v>
      </c>
    </row>
    <row r="187">
      <c r="A187" s="7" t="s">
        <v>2229</v>
      </c>
      <c r="B187" s="7">
        <v>0.247</v>
      </c>
      <c r="C187" s="7">
        <v>0.397</v>
      </c>
      <c r="D187" s="7">
        <v>0.0</v>
      </c>
      <c r="E187" s="7">
        <v>0.172</v>
      </c>
      <c r="F187" s="7">
        <v>0.0</v>
      </c>
      <c r="G187" s="7">
        <v>0.36</v>
      </c>
      <c r="H187" s="7">
        <v>0.0</v>
      </c>
    </row>
    <row r="188">
      <c r="A188" s="7" t="s">
        <v>2230</v>
      </c>
      <c r="B188" s="7">
        <v>0.195</v>
      </c>
      <c r="C188" s="7">
        <v>0.323999999999999</v>
      </c>
      <c r="D188" s="7">
        <v>0.01113552872566</v>
      </c>
      <c r="E188" s="7">
        <v>0.1172</v>
      </c>
      <c r="F188" s="7">
        <v>0.0175698605572155</v>
      </c>
      <c r="G188" s="7">
        <v>0.2576</v>
      </c>
      <c r="H188" s="7">
        <v>0.0201816748561659</v>
      </c>
    </row>
    <row r="189">
      <c r="A189" s="7" t="s">
        <v>2231</v>
      </c>
      <c r="B189" s="7">
        <v>0.249</v>
      </c>
      <c r="C189" s="7">
        <v>0.246</v>
      </c>
      <c r="D189" s="7">
        <v>0.0</v>
      </c>
      <c r="E189" s="7">
        <v>0.13</v>
      </c>
      <c r="F189" s="7">
        <v>0.0</v>
      </c>
      <c r="G189" s="7">
        <v>0.165</v>
      </c>
      <c r="H189" s="7">
        <v>0.0</v>
      </c>
    </row>
    <row r="190">
      <c r="A190" s="7" t="s">
        <v>2232</v>
      </c>
      <c r="B190" s="7">
        <v>0.269</v>
      </c>
      <c r="C190" s="7">
        <v>0.404</v>
      </c>
      <c r="D190" s="7">
        <v>0.0</v>
      </c>
      <c r="E190" s="7">
        <v>0.208</v>
      </c>
      <c r="F190" s="7">
        <v>0.0</v>
      </c>
      <c r="G190" s="7">
        <v>0.368</v>
      </c>
      <c r="H190" s="7">
        <v>0.0</v>
      </c>
    </row>
    <row r="191">
      <c r="A191" s="7" t="s">
        <v>2233</v>
      </c>
      <c r="B191" s="7">
        <v>0.177</v>
      </c>
      <c r="C191" s="7">
        <v>0.2988</v>
      </c>
      <c r="D191" s="7">
        <v>0.0153850576859496</v>
      </c>
      <c r="E191" s="7">
        <v>0.08</v>
      </c>
      <c r="F191" s="7">
        <v>0.0138202749610852</v>
      </c>
      <c r="G191" s="7">
        <v>0.2058</v>
      </c>
      <c r="H191" s="7">
        <v>0.0265084892062901</v>
      </c>
    </row>
    <row r="192">
      <c r="A192" s="7" t="s">
        <v>2234</v>
      </c>
      <c r="B192" s="7">
        <v>0.23</v>
      </c>
      <c r="C192" s="7">
        <v>0.261</v>
      </c>
      <c r="D192" s="7">
        <v>0.0</v>
      </c>
      <c r="E192" s="7">
        <v>0.112</v>
      </c>
      <c r="F192" s="7">
        <v>0.0</v>
      </c>
      <c r="G192" s="7">
        <v>0.151</v>
      </c>
      <c r="H192" s="7">
        <v>0.0</v>
      </c>
    </row>
    <row r="193">
      <c r="A193" s="7" t="s">
        <v>2235</v>
      </c>
      <c r="B193" s="7">
        <v>0.207</v>
      </c>
      <c r="C193" s="7">
        <v>0.37</v>
      </c>
      <c r="D193" s="7">
        <v>0.0</v>
      </c>
      <c r="E193" s="7">
        <v>0.142</v>
      </c>
      <c r="F193" s="7">
        <v>0.0</v>
      </c>
      <c r="G193" s="7">
        <v>0.329</v>
      </c>
      <c r="H193" s="7">
        <v>0.0</v>
      </c>
    </row>
    <row r="194">
      <c r="A194" s="7" t="s">
        <v>2236</v>
      </c>
      <c r="B194" s="7">
        <v>0.3578</v>
      </c>
      <c r="C194" s="7">
        <v>0.3692</v>
      </c>
      <c r="D194" s="7">
        <v>0.0103295692068933</v>
      </c>
      <c r="E194" s="7">
        <v>0.188</v>
      </c>
      <c r="F194" s="7">
        <v>0.00777817459305203</v>
      </c>
      <c r="G194" s="7">
        <v>0.265599999999999</v>
      </c>
      <c r="H194" s="7">
        <v>0.0093166517590817</v>
      </c>
    </row>
    <row r="195">
      <c r="A195" s="7" t="s">
        <v>2237</v>
      </c>
      <c r="B195" s="7">
        <v>0.408</v>
      </c>
      <c r="C195" s="7">
        <v>0.322</v>
      </c>
      <c r="D195" s="7">
        <v>0.0</v>
      </c>
      <c r="E195" s="7">
        <v>0.235</v>
      </c>
      <c r="F195" s="7">
        <v>0.0</v>
      </c>
      <c r="G195" s="7">
        <v>0.24</v>
      </c>
      <c r="H195" s="7">
        <v>0.0</v>
      </c>
    </row>
    <row r="196">
      <c r="A196" s="7" t="s">
        <v>2238</v>
      </c>
      <c r="B196" s="7">
        <v>0.339</v>
      </c>
      <c r="C196" s="7">
        <v>0.362</v>
      </c>
      <c r="D196" s="7">
        <v>0.0</v>
      </c>
      <c r="E196" s="7">
        <v>0.18</v>
      </c>
      <c r="F196" s="7">
        <v>0.0</v>
      </c>
      <c r="G196" s="7">
        <v>0.261</v>
      </c>
      <c r="H196" s="7">
        <v>0.0</v>
      </c>
    </row>
    <row r="197">
      <c r="A197" s="7" t="s">
        <v>2239</v>
      </c>
      <c r="B197" s="7">
        <v>0.3814</v>
      </c>
      <c r="C197" s="7">
        <v>0.365</v>
      </c>
      <c r="D197" s="7">
        <v>0.00897217922246318</v>
      </c>
      <c r="E197" s="7">
        <v>0.2058</v>
      </c>
      <c r="F197" s="7">
        <v>0.0269851811185324</v>
      </c>
      <c r="G197" s="7">
        <v>0.2798</v>
      </c>
      <c r="H197" s="7">
        <v>0.0222306095283057</v>
      </c>
    </row>
    <row r="198">
      <c r="A198" s="7" t="s">
        <v>2240</v>
      </c>
      <c r="B198" s="7">
        <v>0.429</v>
      </c>
      <c r="C198" s="7">
        <v>0.303</v>
      </c>
      <c r="D198" s="7">
        <v>0.0</v>
      </c>
      <c r="E198" s="7">
        <v>0.244</v>
      </c>
      <c r="F198" s="7">
        <v>0.0</v>
      </c>
      <c r="G198" s="7">
        <v>0.23</v>
      </c>
      <c r="H198" s="7">
        <v>0.0</v>
      </c>
    </row>
    <row r="199">
      <c r="A199" s="7" t="s">
        <v>2241</v>
      </c>
      <c r="B199" s="7">
        <v>0.368</v>
      </c>
      <c r="C199" s="7">
        <v>0.376</v>
      </c>
      <c r="D199" s="7">
        <v>0.0</v>
      </c>
      <c r="E199" s="7">
        <v>0.219</v>
      </c>
      <c r="F199" s="7">
        <v>0.0</v>
      </c>
      <c r="G199" s="7">
        <v>0.311</v>
      </c>
      <c r="H199" s="7">
        <v>0.0</v>
      </c>
    </row>
    <row r="200">
      <c r="A200" s="7" t="s">
        <v>2242</v>
      </c>
      <c r="B200" s="7">
        <v>0.372</v>
      </c>
      <c r="C200" s="7">
        <v>0.3754</v>
      </c>
      <c r="D200" s="7">
        <v>0.00723187389270582</v>
      </c>
      <c r="E200" s="7">
        <v>0.2172</v>
      </c>
      <c r="F200" s="7">
        <v>0.0136271787248865</v>
      </c>
      <c r="G200" s="7">
        <v>0.2976</v>
      </c>
      <c r="H200" s="7">
        <v>0.0144326019830105</v>
      </c>
    </row>
    <row r="201">
      <c r="A201" s="7" t="s">
        <v>2243</v>
      </c>
      <c r="B201" s="7">
        <v>0.427</v>
      </c>
      <c r="C201" s="7">
        <v>0.322</v>
      </c>
      <c r="D201" s="7">
        <v>0.0</v>
      </c>
      <c r="E201" s="7">
        <v>0.246</v>
      </c>
      <c r="F201" s="7">
        <v>0.0</v>
      </c>
      <c r="G201" s="7">
        <v>0.247</v>
      </c>
      <c r="H201" s="7">
        <v>0.0</v>
      </c>
    </row>
    <row r="202">
      <c r="A202" s="7" t="s">
        <v>2244</v>
      </c>
      <c r="B202" s="7">
        <v>0.404</v>
      </c>
      <c r="C202" s="7">
        <v>0.385</v>
      </c>
      <c r="D202" s="7">
        <v>0.0</v>
      </c>
      <c r="E202" s="7">
        <v>0.245</v>
      </c>
      <c r="F202" s="7">
        <v>0.0</v>
      </c>
      <c r="G202" s="7">
        <v>0.325</v>
      </c>
      <c r="H202" s="7">
        <v>0.0</v>
      </c>
    </row>
    <row r="203">
      <c r="A203" s="7" t="s">
        <v>2245</v>
      </c>
      <c r="B203" s="7">
        <v>0.4038</v>
      </c>
      <c r="C203" s="7">
        <v>0.365999999999999</v>
      </c>
      <c r="D203" s="7">
        <v>0.00651920240520265</v>
      </c>
      <c r="E203" s="7">
        <v>0.2144</v>
      </c>
      <c r="F203" s="7">
        <v>0.0115021737076084</v>
      </c>
      <c r="G203" s="7">
        <v>0.2744</v>
      </c>
      <c r="H203" s="7">
        <v>0.00773304597167246</v>
      </c>
    </row>
    <row r="204">
      <c r="A204" s="7" t="s">
        <v>2246</v>
      </c>
      <c r="B204" s="7">
        <v>0.464</v>
      </c>
      <c r="C204" s="7">
        <v>0.322</v>
      </c>
      <c r="D204" s="7">
        <v>0.0</v>
      </c>
      <c r="E204" s="7">
        <v>0.262</v>
      </c>
      <c r="F204" s="7">
        <v>0.0</v>
      </c>
      <c r="G204" s="7">
        <v>0.236</v>
      </c>
      <c r="H204" s="7">
        <v>0.0</v>
      </c>
    </row>
    <row r="205">
      <c r="A205" s="7" t="s">
        <v>2247</v>
      </c>
      <c r="B205" s="7">
        <v>0.431</v>
      </c>
      <c r="C205" s="7">
        <v>0.37</v>
      </c>
      <c r="D205" s="7">
        <v>0.0</v>
      </c>
      <c r="E205" s="7">
        <v>0.23</v>
      </c>
      <c r="F205" s="7">
        <v>0.0</v>
      </c>
      <c r="G205" s="7">
        <v>0.297</v>
      </c>
      <c r="H205" s="7">
        <v>0.0</v>
      </c>
    </row>
    <row r="206">
      <c r="A206" s="7" t="s">
        <v>2248</v>
      </c>
      <c r="B206" s="7">
        <v>0.3806</v>
      </c>
      <c r="C206" s="7">
        <v>0.3692</v>
      </c>
      <c r="D206" s="7">
        <v>0.0061400325732035</v>
      </c>
      <c r="E206" s="7">
        <v>0.2112</v>
      </c>
      <c r="F206" s="7">
        <v>0.0173695135222607</v>
      </c>
      <c r="G206" s="7">
        <v>0.2734</v>
      </c>
      <c r="H206" s="7">
        <v>0.00952890339965726</v>
      </c>
    </row>
    <row r="207">
      <c r="A207" s="7" t="s">
        <v>2249</v>
      </c>
      <c r="B207" s="7">
        <v>0.442</v>
      </c>
      <c r="C207" s="7">
        <v>0.332</v>
      </c>
      <c r="D207" s="7">
        <v>0.0</v>
      </c>
      <c r="E207" s="7">
        <v>0.248</v>
      </c>
      <c r="F207" s="7">
        <v>0.0</v>
      </c>
      <c r="G207" s="7">
        <v>0.243</v>
      </c>
      <c r="H207" s="7">
        <v>0.0</v>
      </c>
    </row>
    <row r="208">
      <c r="A208" s="7" t="s">
        <v>2250</v>
      </c>
      <c r="B208" s="7">
        <v>0.382</v>
      </c>
      <c r="C208" s="7">
        <v>0.375</v>
      </c>
      <c r="D208" s="7">
        <v>0.0</v>
      </c>
      <c r="E208" s="7">
        <v>0.225</v>
      </c>
      <c r="F208" s="7">
        <v>0.0</v>
      </c>
      <c r="G208" s="7">
        <v>0.292</v>
      </c>
      <c r="H208" s="7">
        <v>0.0</v>
      </c>
    </row>
    <row r="209">
      <c r="A209" s="7" t="s">
        <v>2251</v>
      </c>
      <c r="B209" s="7">
        <v>0.1898</v>
      </c>
      <c r="C209" s="7">
        <v>0.330399999999999</v>
      </c>
      <c r="D209" s="7">
        <v>0.0189156020258409</v>
      </c>
      <c r="E209" s="7">
        <v>0.1254</v>
      </c>
      <c r="F209" s="7">
        <v>0.0172133668990119</v>
      </c>
      <c r="G209" s="7">
        <v>0.3086</v>
      </c>
      <c r="H209" s="7">
        <v>0.0208158593384947</v>
      </c>
    </row>
    <row r="210">
      <c r="A210" s="7" t="s">
        <v>2252</v>
      </c>
      <c r="B210" s="7">
        <v>0.24</v>
      </c>
      <c r="C210" s="7">
        <v>0.198</v>
      </c>
      <c r="D210" s="7">
        <v>0.0</v>
      </c>
      <c r="E210" s="7">
        <v>0.134</v>
      </c>
      <c r="F210" s="7">
        <v>0.0</v>
      </c>
      <c r="G210" s="7">
        <v>0.165</v>
      </c>
      <c r="H210" s="7">
        <v>0.0</v>
      </c>
    </row>
    <row r="211">
      <c r="A211" s="7" t="s">
        <v>2253</v>
      </c>
      <c r="B211" s="7">
        <v>0.157</v>
      </c>
      <c r="C211" s="7">
        <v>0.328</v>
      </c>
      <c r="D211" s="7">
        <v>0.0</v>
      </c>
      <c r="E211" s="7">
        <v>0.121</v>
      </c>
      <c r="F211" s="7">
        <v>0.0</v>
      </c>
      <c r="G211" s="7">
        <v>0.309</v>
      </c>
      <c r="H211" s="7">
        <v>0.0</v>
      </c>
    </row>
    <row r="212">
      <c r="A212" s="7" t="s">
        <v>2254</v>
      </c>
      <c r="B212" s="7">
        <v>0.1898</v>
      </c>
      <c r="C212" s="7">
        <v>0.3254</v>
      </c>
      <c r="D212" s="7">
        <v>0.0186627972179949</v>
      </c>
      <c r="E212" s="7">
        <v>0.118799999999999</v>
      </c>
      <c r="F212" s="7">
        <v>0.0225211012164147</v>
      </c>
      <c r="G212" s="7">
        <v>0.2986</v>
      </c>
      <c r="H212" s="7">
        <v>0.0244294903753639</v>
      </c>
    </row>
    <row r="213">
      <c r="A213" s="7" t="s">
        <v>2255</v>
      </c>
      <c r="B213" s="7">
        <v>0.241</v>
      </c>
      <c r="C213" s="7">
        <v>0.196</v>
      </c>
      <c r="D213" s="7">
        <v>0.0</v>
      </c>
      <c r="E213" s="7">
        <v>0.118</v>
      </c>
      <c r="F213" s="7">
        <v>0.0</v>
      </c>
      <c r="G213" s="7">
        <v>0.155</v>
      </c>
      <c r="H213" s="7">
        <v>0.0</v>
      </c>
    </row>
    <row r="214">
      <c r="A214" s="7" t="s">
        <v>2256</v>
      </c>
      <c r="B214" s="7">
        <v>0.233</v>
      </c>
      <c r="C214" s="7">
        <v>0.4</v>
      </c>
      <c r="D214" s="7">
        <v>0.0</v>
      </c>
      <c r="E214" s="7">
        <v>0.205</v>
      </c>
      <c r="F214" s="7">
        <v>0.0</v>
      </c>
      <c r="G214" s="7">
        <v>0.401</v>
      </c>
      <c r="H214" s="7">
        <v>0.0</v>
      </c>
    </row>
    <row r="215">
      <c r="A215" s="7" t="s">
        <v>2257</v>
      </c>
      <c r="B215" s="7">
        <v>0.1596</v>
      </c>
      <c r="C215" s="7">
        <v>0.3014</v>
      </c>
      <c r="D215" s="7">
        <v>0.0208638443245725</v>
      </c>
      <c r="E215" s="7">
        <v>0.0998</v>
      </c>
      <c r="F215" s="7">
        <v>0.0202657346276911</v>
      </c>
      <c r="G215" s="7">
        <v>0.2706</v>
      </c>
      <c r="H215" s="7">
        <v>0.0295601082541996</v>
      </c>
    </row>
    <row r="216">
      <c r="A216" s="7" t="s">
        <v>2258</v>
      </c>
      <c r="B216" s="7">
        <v>0.212</v>
      </c>
      <c r="C216" s="7">
        <v>0.198</v>
      </c>
      <c r="D216" s="7">
        <v>0.0</v>
      </c>
      <c r="E216" s="7">
        <v>0.112</v>
      </c>
      <c r="F216" s="7">
        <v>0.0</v>
      </c>
      <c r="G216" s="7">
        <v>0.144</v>
      </c>
      <c r="H216" s="7">
        <v>0.0</v>
      </c>
    </row>
    <row r="217">
      <c r="A217" s="7" t="s">
        <v>2259</v>
      </c>
      <c r="B217" s="7">
        <v>0.145</v>
      </c>
      <c r="C217" s="7">
        <v>0.322</v>
      </c>
      <c r="D217" s="7">
        <v>0.0</v>
      </c>
      <c r="E217" s="7">
        <v>0.11</v>
      </c>
      <c r="F217" s="7">
        <v>0.0</v>
      </c>
      <c r="G217" s="7">
        <v>0.304</v>
      </c>
      <c r="H217" s="7">
        <v>0.0</v>
      </c>
    </row>
    <row r="218">
      <c r="A218" s="7" t="s">
        <v>2260</v>
      </c>
      <c r="B218" s="7">
        <v>0.1788</v>
      </c>
      <c r="C218" s="7">
        <v>0.3128</v>
      </c>
      <c r="D218" s="7">
        <v>0.026771253239249</v>
      </c>
      <c r="E218" s="7">
        <v>0.0958</v>
      </c>
      <c r="F218" s="7">
        <v>0.024863628053846</v>
      </c>
      <c r="G218" s="7">
        <v>0.2722</v>
      </c>
      <c r="H218" s="7">
        <v>0.0399899987496874</v>
      </c>
    </row>
    <row r="219">
      <c r="A219" s="7" t="s">
        <v>2261</v>
      </c>
      <c r="B219" s="7">
        <v>0.227</v>
      </c>
      <c r="C219" s="7">
        <v>0.182</v>
      </c>
      <c r="D219" s="7">
        <v>0.0</v>
      </c>
      <c r="E219" s="7">
        <v>0.093</v>
      </c>
      <c r="F219" s="7">
        <v>0.0</v>
      </c>
      <c r="G219" s="7">
        <v>0.138</v>
      </c>
      <c r="H219" s="7">
        <v>0.0</v>
      </c>
    </row>
    <row r="220">
      <c r="A220" s="7" t="s">
        <v>2262</v>
      </c>
      <c r="B220" s="7">
        <v>0.165</v>
      </c>
      <c r="C220" s="7">
        <v>0.349</v>
      </c>
      <c r="D220" s="7">
        <v>0.0</v>
      </c>
      <c r="E220" s="7">
        <v>0.134</v>
      </c>
      <c r="F220" s="7">
        <v>0.0</v>
      </c>
      <c r="G220" s="7">
        <v>0.329</v>
      </c>
      <c r="H220" s="7">
        <v>0.0</v>
      </c>
    </row>
    <row r="221">
      <c r="A221" s="7" t="s">
        <v>2263</v>
      </c>
      <c r="B221" s="7">
        <v>0.2604</v>
      </c>
      <c r="C221" s="7">
        <v>0.3488</v>
      </c>
      <c r="D221" s="7">
        <v>0.0121119775429117</v>
      </c>
      <c r="E221" s="7">
        <v>0.1682</v>
      </c>
      <c r="F221" s="7">
        <v>0.0151558569536664</v>
      </c>
      <c r="G221" s="7">
        <v>0.3202</v>
      </c>
      <c r="H221" s="7">
        <v>0.0232314442082277</v>
      </c>
    </row>
    <row r="222">
      <c r="A222" s="7" t="s">
        <v>2264</v>
      </c>
      <c r="B222" s="7">
        <v>0.343</v>
      </c>
      <c r="C222" s="7">
        <v>0.198</v>
      </c>
      <c r="D222" s="7">
        <v>0.0</v>
      </c>
      <c r="E222" s="7">
        <v>0.188</v>
      </c>
      <c r="F222" s="7">
        <v>0.0</v>
      </c>
      <c r="G222" s="7">
        <v>0.169</v>
      </c>
      <c r="H222" s="7">
        <v>0.0</v>
      </c>
    </row>
    <row r="223">
      <c r="A223" s="7" t="s">
        <v>2265</v>
      </c>
      <c r="B223" s="7">
        <v>0.234</v>
      </c>
      <c r="C223" s="7">
        <v>0.376</v>
      </c>
      <c r="D223" s="7">
        <v>0.0</v>
      </c>
      <c r="E223" s="7">
        <v>0.186</v>
      </c>
      <c r="F223" s="7">
        <v>0.0</v>
      </c>
      <c r="G223" s="7">
        <v>0.363</v>
      </c>
      <c r="H223" s="7">
        <v>0.0</v>
      </c>
    </row>
    <row r="224">
      <c r="A224" s="7" t="s">
        <v>2266</v>
      </c>
      <c r="B224" s="7">
        <v>0.2748</v>
      </c>
      <c r="C224" s="7">
        <v>0.3604</v>
      </c>
      <c r="D224" s="7">
        <v>0.0125019998400255</v>
      </c>
      <c r="E224" s="7">
        <v>0.187199999999999</v>
      </c>
      <c r="F224" s="7">
        <v>0.0172539850469391</v>
      </c>
      <c r="G224" s="7">
        <v>0.336599999999999</v>
      </c>
      <c r="H224" s="7">
        <v>0.0213845738793177</v>
      </c>
    </row>
    <row r="225">
      <c r="A225" s="7" t="s">
        <v>2267</v>
      </c>
      <c r="B225" s="7">
        <v>0.329</v>
      </c>
      <c r="C225" s="7">
        <v>0.183</v>
      </c>
      <c r="D225" s="7">
        <v>0.0</v>
      </c>
      <c r="E225" s="7">
        <v>0.185</v>
      </c>
      <c r="F225" s="7">
        <v>0.0</v>
      </c>
      <c r="G225" s="7">
        <v>0.144</v>
      </c>
      <c r="H225" s="7">
        <v>0.0</v>
      </c>
    </row>
    <row r="226">
      <c r="A226" s="7" t="s">
        <v>2268</v>
      </c>
      <c r="B226" s="7">
        <v>0.344</v>
      </c>
      <c r="C226" s="7">
        <v>0.443</v>
      </c>
      <c r="D226" s="7">
        <v>0.0</v>
      </c>
      <c r="E226" s="7">
        <v>0.301</v>
      </c>
      <c r="F226" s="7">
        <v>0.0</v>
      </c>
      <c r="G226" s="7">
        <v>0.442</v>
      </c>
      <c r="H226" s="7">
        <v>0.0</v>
      </c>
    </row>
    <row r="227">
      <c r="A227" s="7" t="s">
        <v>2269</v>
      </c>
      <c r="B227" s="7">
        <v>0.2704</v>
      </c>
      <c r="C227" s="7">
        <v>0.4176</v>
      </c>
      <c r="D227" s="7">
        <v>0.0171551741465949</v>
      </c>
      <c r="E227" s="7">
        <v>0.2434</v>
      </c>
      <c r="F227" s="7">
        <v>0.0314054135460751</v>
      </c>
      <c r="G227" s="7">
        <v>0.4068</v>
      </c>
      <c r="H227" s="7">
        <v>0.0199298770693649</v>
      </c>
    </row>
    <row r="228">
      <c r="A228" s="7" t="s">
        <v>2270</v>
      </c>
      <c r="B228" s="7">
        <v>0.336</v>
      </c>
      <c r="C228" s="7">
        <v>0.319</v>
      </c>
      <c r="D228" s="7">
        <v>0.0</v>
      </c>
      <c r="E228" s="7">
        <v>0.261</v>
      </c>
      <c r="F228" s="7">
        <v>0.0</v>
      </c>
      <c r="G228" s="7">
        <v>0.308</v>
      </c>
      <c r="H228" s="7">
        <v>0.0</v>
      </c>
    </row>
    <row r="229">
      <c r="A229" s="7" t="s">
        <v>2271</v>
      </c>
      <c r="B229" s="7">
        <v>0.275</v>
      </c>
      <c r="C229" s="7">
        <v>0.439</v>
      </c>
      <c r="D229" s="7">
        <v>0.0</v>
      </c>
      <c r="E229" s="7">
        <v>0.262</v>
      </c>
      <c r="F229" s="7">
        <v>0.0</v>
      </c>
      <c r="G229" s="7">
        <v>0.431</v>
      </c>
      <c r="H229" s="7">
        <v>0.0</v>
      </c>
    </row>
    <row r="230">
      <c r="A230" s="7" t="s">
        <v>2272</v>
      </c>
      <c r="B230" s="7">
        <v>0.2542</v>
      </c>
      <c r="C230" s="7">
        <v>0.421</v>
      </c>
      <c r="D230" s="7">
        <v>0.00871779788708135</v>
      </c>
      <c r="E230" s="7">
        <v>0.242</v>
      </c>
      <c r="F230" s="7">
        <v>0.0185337529928506</v>
      </c>
      <c r="G230" s="7">
        <v>0.416599999999999</v>
      </c>
      <c r="H230" s="7">
        <v>0.0125419296760905</v>
      </c>
    </row>
    <row r="231">
      <c r="A231" s="7" t="s">
        <v>2273</v>
      </c>
      <c r="B231" s="7">
        <v>0.29</v>
      </c>
      <c r="C231" s="7">
        <v>0.343</v>
      </c>
      <c r="D231" s="7">
        <v>0.0</v>
      </c>
      <c r="E231" s="7">
        <v>0.234</v>
      </c>
      <c r="F231" s="7">
        <v>0.0</v>
      </c>
      <c r="G231" s="7">
        <v>0.322</v>
      </c>
      <c r="H231" s="7">
        <v>0.0</v>
      </c>
    </row>
    <row r="232">
      <c r="A232" s="7" t="s">
        <v>2274</v>
      </c>
      <c r="B232" s="7">
        <v>0.257</v>
      </c>
      <c r="C232" s="7">
        <v>0.437</v>
      </c>
      <c r="D232" s="7">
        <v>0.0</v>
      </c>
      <c r="E232" s="7">
        <v>0.257</v>
      </c>
      <c r="F232" s="7">
        <v>0.0</v>
      </c>
      <c r="G232" s="7">
        <v>0.437</v>
      </c>
      <c r="H232" s="7">
        <v>0.0</v>
      </c>
    </row>
    <row r="233">
      <c r="A233" s="7" t="s">
        <v>2275</v>
      </c>
      <c r="B233" s="7">
        <v>0.2782</v>
      </c>
      <c r="C233" s="7">
        <v>0.429199999999999</v>
      </c>
      <c r="D233" s="7">
        <v>0.00544977063737549</v>
      </c>
      <c r="E233" s="7">
        <v>0.2544</v>
      </c>
      <c r="F233" s="7">
        <v>0.0113710157857598</v>
      </c>
      <c r="G233" s="7">
        <v>0.422999999999999</v>
      </c>
      <c r="H233" s="7">
        <v>0.00291547594742265</v>
      </c>
    </row>
    <row r="234">
      <c r="A234" s="7" t="s">
        <v>2276</v>
      </c>
      <c r="B234" s="7">
        <v>0.309</v>
      </c>
      <c r="C234" s="7">
        <v>0.344</v>
      </c>
      <c r="D234" s="7">
        <v>0.0</v>
      </c>
      <c r="E234" s="7">
        <v>0.234</v>
      </c>
      <c r="F234" s="7">
        <v>0.0</v>
      </c>
      <c r="G234" s="7">
        <v>0.325</v>
      </c>
      <c r="H234" s="7">
        <v>0.0</v>
      </c>
    </row>
    <row r="235">
      <c r="A235" s="7" t="s">
        <v>2277</v>
      </c>
      <c r="B235" s="7">
        <v>0.277</v>
      </c>
      <c r="C235" s="7">
        <v>0.442</v>
      </c>
      <c r="D235" s="7">
        <v>0.0</v>
      </c>
      <c r="E235" s="7">
        <v>0.269</v>
      </c>
      <c r="F235" s="7">
        <v>0.0</v>
      </c>
      <c r="G235" s="7">
        <v>0.442</v>
      </c>
      <c r="H235" s="7">
        <v>0.0</v>
      </c>
    </row>
    <row r="236">
      <c r="A236" s="7" t="s">
        <v>2278</v>
      </c>
      <c r="B236" s="7">
        <v>0.2652</v>
      </c>
      <c r="C236" s="7">
        <v>0.4256</v>
      </c>
      <c r="D236" s="7">
        <v>0.0044497190922574</v>
      </c>
      <c r="E236" s="7">
        <v>0.2544</v>
      </c>
      <c r="F236" s="7">
        <v>0.0179805450417944</v>
      </c>
      <c r="G236" s="7">
        <v>0.4206</v>
      </c>
      <c r="H236" s="7">
        <v>0.00971081870904815</v>
      </c>
    </row>
    <row r="237">
      <c r="A237" s="7" t="s">
        <v>2279</v>
      </c>
      <c r="B237" s="7">
        <v>0.318</v>
      </c>
      <c r="C237" s="7">
        <v>0.357</v>
      </c>
      <c r="D237" s="7">
        <v>0.0</v>
      </c>
      <c r="E237" s="7">
        <v>0.272</v>
      </c>
      <c r="F237" s="7">
        <v>0.0</v>
      </c>
      <c r="G237" s="7">
        <v>0.339</v>
      </c>
      <c r="H237" s="7">
        <v>0.0</v>
      </c>
    </row>
    <row r="238">
      <c r="A238" s="7" t="s">
        <v>2280</v>
      </c>
      <c r="B238" s="7">
        <v>0.276</v>
      </c>
      <c r="C238" s="7">
        <v>0.442</v>
      </c>
      <c r="D238" s="7">
        <v>0.0</v>
      </c>
      <c r="E238" s="7">
        <v>0.269</v>
      </c>
      <c r="F238" s="7">
        <v>0.0</v>
      </c>
      <c r="G238" s="7">
        <v>0.438</v>
      </c>
      <c r="H238" s="7">
        <v>0.0</v>
      </c>
    </row>
    <row r="239">
      <c r="A239" s="7" t="s">
        <v>2281</v>
      </c>
      <c r="B239" s="7">
        <v>0.285599999999999</v>
      </c>
      <c r="C239" s="7">
        <v>0.4512</v>
      </c>
      <c r="D239" s="7">
        <v>0.00178885438199983</v>
      </c>
      <c r="E239" s="7">
        <v>0.284199999999999</v>
      </c>
      <c r="F239" s="7">
        <v>0.00501996015920442</v>
      </c>
      <c r="G239" s="7">
        <v>0.4502</v>
      </c>
      <c r="H239" s="7">
        <v>0.00248997991959774</v>
      </c>
    </row>
    <row r="240">
      <c r="A240" s="7" t="s">
        <v>2282</v>
      </c>
      <c r="B240" s="7">
        <v>0.293</v>
      </c>
      <c r="C240" s="7">
        <v>0.449</v>
      </c>
      <c r="D240" s="7">
        <v>0.0</v>
      </c>
      <c r="E240" s="7">
        <v>0.286</v>
      </c>
      <c r="F240" s="7">
        <v>0.0</v>
      </c>
      <c r="G240" s="7">
        <v>0.445</v>
      </c>
      <c r="H240" s="7">
        <v>0.0</v>
      </c>
    </row>
    <row r="241">
      <c r="A241" s="7" t="s">
        <v>2283</v>
      </c>
      <c r="B241" s="7">
        <v>0.287</v>
      </c>
      <c r="C241" s="7">
        <v>0.452</v>
      </c>
      <c r="D241" s="7">
        <v>0.0</v>
      </c>
      <c r="E241" s="7">
        <v>0.287</v>
      </c>
      <c r="F241" s="7">
        <v>0.0</v>
      </c>
      <c r="G241" s="7">
        <v>0.452</v>
      </c>
      <c r="H241" s="7">
        <v>0.0</v>
      </c>
    </row>
    <row r="242">
      <c r="A242" s="7" t="s">
        <v>2284</v>
      </c>
      <c r="B242" s="7">
        <v>0.291599999999999</v>
      </c>
      <c r="C242" s="7">
        <v>0.4482</v>
      </c>
      <c r="D242" s="7">
        <v>0.00742967024840269</v>
      </c>
      <c r="E242" s="7">
        <v>0.2844</v>
      </c>
      <c r="F242" s="7">
        <v>0.0125419296760905</v>
      </c>
      <c r="G242" s="7">
        <v>0.4458</v>
      </c>
      <c r="H242" s="7">
        <v>0.00846758525200662</v>
      </c>
    </row>
    <row r="243">
      <c r="A243" s="7" t="s">
        <v>2285</v>
      </c>
      <c r="B243" s="7">
        <v>0.334</v>
      </c>
      <c r="C243" s="7">
        <v>0.435</v>
      </c>
      <c r="D243" s="7">
        <v>0.0</v>
      </c>
      <c r="E243" s="7">
        <v>0.307</v>
      </c>
      <c r="F243" s="7">
        <v>0.0</v>
      </c>
      <c r="G243" s="7">
        <v>0.431</v>
      </c>
      <c r="H243" s="7">
        <v>0.0</v>
      </c>
    </row>
    <row r="244">
      <c r="A244" s="7" t="s">
        <v>2286</v>
      </c>
      <c r="B244" s="7">
        <v>0.277</v>
      </c>
      <c r="C244" s="7">
        <v>0.448</v>
      </c>
      <c r="D244" s="7">
        <v>0.0</v>
      </c>
      <c r="E244" s="7">
        <v>0.277</v>
      </c>
      <c r="F244" s="7">
        <v>0.0</v>
      </c>
      <c r="G244" s="7">
        <v>0.448</v>
      </c>
      <c r="H244" s="7">
        <v>0.0</v>
      </c>
    </row>
    <row r="245">
      <c r="A245" s="7" t="s">
        <v>2287</v>
      </c>
      <c r="B245" s="7">
        <v>0.1936</v>
      </c>
      <c r="C245" s="7">
        <v>0.352799999999999</v>
      </c>
      <c r="D245" s="7">
        <v>0.0315230074707347</v>
      </c>
      <c r="E245" s="7">
        <v>0.1488</v>
      </c>
      <c r="F245" s="7">
        <v>0.0305973855092228</v>
      </c>
      <c r="G245" s="7">
        <v>0.3398</v>
      </c>
      <c r="H245" s="7">
        <v>0.0388162337173507</v>
      </c>
    </row>
    <row r="246">
      <c r="A246" s="7" t="s">
        <v>2288</v>
      </c>
      <c r="B246" s="7">
        <v>0.242</v>
      </c>
      <c r="C246" s="7">
        <v>0.231</v>
      </c>
      <c r="D246" s="7">
        <v>0.0</v>
      </c>
      <c r="E246" s="7">
        <v>0.143</v>
      </c>
      <c r="F246" s="7">
        <v>0.0</v>
      </c>
      <c r="G246" s="7">
        <v>0.192</v>
      </c>
      <c r="H246" s="7">
        <v>0.0</v>
      </c>
    </row>
    <row r="247">
      <c r="A247" s="7" t="s">
        <v>2289</v>
      </c>
      <c r="B247" s="7">
        <v>0.272</v>
      </c>
      <c r="C247" s="7">
        <v>0.437</v>
      </c>
      <c r="D247" s="7">
        <v>0.0</v>
      </c>
      <c r="E247" s="7">
        <v>0.257</v>
      </c>
      <c r="F247" s="7">
        <v>0.0</v>
      </c>
      <c r="G247" s="7">
        <v>0.437</v>
      </c>
      <c r="H247" s="7">
        <v>0.0</v>
      </c>
    </row>
    <row r="248">
      <c r="A248" s="7" t="s">
        <v>2290</v>
      </c>
      <c r="B248" s="7">
        <v>0.1888</v>
      </c>
      <c r="C248" s="7">
        <v>0.3556</v>
      </c>
      <c r="D248" s="7">
        <v>0.0205012194759238</v>
      </c>
      <c r="E248" s="7">
        <v>0.1394</v>
      </c>
      <c r="F248" s="7">
        <v>0.0200449494885868</v>
      </c>
      <c r="G248" s="7">
        <v>0.3352</v>
      </c>
      <c r="H248" s="7">
        <v>0.0202163300329213</v>
      </c>
    </row>
    <row r="249">
      <c r="A249" s="7" t="s">
        <v>2291</v>
      </c>
      <c r="B249" s="7">
        <v>0.217</v>
      </c>
      <c r="C249" s="7">
        <v>0.221</v>
      </c>
      <c r="D249" s="7">
        <v>0.0</v>
      </c>
      <c r="E249" s="7">
        <v>0.125</v>
      </c>
      <c r="F249" s="7">
        <v>0.0</v>
      </c>
      <c r="G249" s="7">
        <v>0.189</v>
      </c>
      <c r="H249" s="7">
        <v>0.0</v>
      </c>
    </row>
    <row r="250">
      <c r="A250" s="7" t="s">
        <v>2292</v>
      </c>
      <c r="B250" s="7">
        <v>0.28</v>
      </c>
      <c r="C250" s="7">
        <v>0.442</v>
      </c>
      <c r="D250" s="7">
        <v>0.0</v>
      </c>
      <c r="E250" s="7">
        <v>0.248</v>
      </c>
      <c r="F250" s="7">
        <v>0.0</v>
      </c>
      <c r="G250" s="7">
        <v>0.432</v>
      </c>
      <c r="H250" s="7">
        <v>0.0</v>
      </c>
    </row>
    <row r="251">
      <c r="A251" s="7" t="s">
        <v>2293</v>
      </c>
      <c r="B251" s="7">
        <v>0.2008</v>
      </c>
      <c r="C251" s="7">
        <v>0.3732</v>
      </c>
      <c r="D251" s="7">
        <v>0.0264234744119693</v>
      </c>
      <c r="E251" s="7">
        <v>0.1686</v>
      </c>
      <c r="F251" s="7">
        <v>0.0298964880880681</v>
      </c>
      <c r="G251" s="7">
        <v>0.366</v>
      </c>
      <c r="H251" s="7">
        <v>0.027258026340878</v>
      </c>
    </row>
    <row r="252">
      <c r="A252" s="7" t="s">
        <v>2295</v>
      </c>
      <c r="B252" s="7">
        <v>0.235</v>
      </c>
      <c r="C252" s="7">
        <v>0.234</v>
      </c>
      <c r="D252" s="7">
        <v>0.0</v>
      </c>
      <c r="E252" s="7">
        <v>0.148</v>
      </c>
      <c r="F252" s="7">
        <v>0.0</v>
      </c>
      <c r="G252" s="7">
        <v>0.206</v>
      </c>
      <c r="H252" s="7">
        <v>0.0</v>
      </c>
    </row>
    <row r="253">
      <c r="A253" s="7" t="s">
        <v>2296</v>
      </c>
      <c r="B253" s="7">
        <v>0.292</v>
      </c>
      <c r="C253" s="7">
        <v>0.452</v>
      </c>
      <c r="D253" s="7">
        <v>0.0</v>
      </c>
      <c r="E253" s="7">
        <v>0.287</v>
      </c>
      <c r="F253" s="7">
        <v>0.0</v>
      </c>
      <c r="G253" s="7">
        <v>0.452</v>
      </c>
      <c r="H253" s="7">
        <v>0.0</v>
      </c>
    </row>
    <row r="254">
      <c r="A254" s="7" t="s">
        <v>2297</v>
      </c>
      <c r="B254" s="7">
        <v>0.1968</v>
      </c>
      <c r="C254" s="7">
        <v>0.3686</v>
      </c>
      <c r="D254" s="7">
        <v>0.0270610421085367</v>
      </c>
      <c r="E254" s="7">
        <v>0.161199999999999</v>
      </c>
      <c r="F254" s="7">
        <v>0.0338186339168216</v>
      </c>
      <c r="G254" s="7">
        <v>0.355</v>
      </c>
      <c r="H254" s="7">
        <v>0.0299081928574763</v>
      </c>
    </row>
    <row r="255">
      <c r="A255" s="7" t="s">
        <v>2298</v>
      </c>
      <c r="B255" s="7">
        <v>0.228</v>
      </c>
      <c r="C255" s="7">
        <v>0.236</v>
      </c>
      <c r="D255" s="7">
        <v>0.0</v>
      </c>
      <c r="E255" s="7">
        <v>0.143</v>
      </c>
      <c r="F255" s="7">
        <v>0.0</v>
      </c>
      <c r="G255" s="7">
        <v>0.198</v>
      </c>
      <c r="H255" s="7">
        <v>0.0</v>
      </c>
    </row>
    <row r="256">
      <c r="A256" s="7" t="s">
        <v>2299</v>
      </c>
      <c r="B256" s="7">
        <v>0.297</v>
      </c>
      <c r="C256" s="7">
        <v>0.457</v>
      </c>
      <c r="D256" s="7">
        <v>0.0</v>
      </c>
      <c r="E256" s="7">
        <v>0.287</v>
      </c>
      <c r="F256" s="7">
        <v>0.0</v>
      </c>
      <c r="G256" s="7">
        <v>0.452</v>
      </c>
      <c r="H256" s="7">
        <v>0.0</v>
      </c>
    </row>
    <row r="257">
      <c r="A257" s="7" t="s">
        <v>2300</v>
      </c>
      <c r="B257" s="7">
        <v>0.1724</v>
      </c>
      <c r="C257" s="7">
        <v>0.3466</v>
      </c>
      <c r="D257" s="7">
        <v>0.0252942681254073</v>
      </c>
      <c r="E257" s="7">
        <v>0.1396</v>
      </c>
      <c r="F257" s="7">
        <v>0.0314531397478852</v>
      </c>
      <c r="G257" s="7">
        <v>0.3316</v>
      </c>
      <c r="H257" s="7">
        <v>0.0297371821126346</v>
      </c>
    </row>
    <row r="258">
      <c r="A258" s="7" t="s">
        <v>2301</v>
      </c>
      <c r="B258" s="7">
        <v>0.216</v>
      </c>
      <c r="C258" s="7">
        <v>0.237</v>
      </c>
      <c r="D258" s="7">
        <v>0.0</v>
      </c>
      <c r="E258" s="7">
        <v>0.126</v>
      </c>
      <c r="F258" s="7">
        <v>0.0</v>
      </c>
      <c r="G258" s="7">
        <v>0.2</v>
      </c>
      <c r="H258" s="7">
        <v>0.0</v>
      </c>
    </row>
    <row r="259">
      <c r="A259" s="7" t="s">
        <v>2302</v>
      </c>
      <c r="B259" s="7">
        <v>0.271</v>
      </c>
      <c r="C259" s="7">
        <v>0.436</v>
      </c>
      <c r="D259" s="7">
        <v>0.0</v>
      </c>
      <c r="E259" s="7">
        <v>0.257</v>
      </c>
      <c r="F259" s="7">
        <v>0.0</v>
      </c>
      <c r="G259" s="7">
        <v>0.43</v>
      </c>
      <c r="H259" s="7">
        <v>0.0</v>
      </c>
    </row>
    <row r="260">
      <c r="A260" s="7" t="s">
        <v>2303</v>
      </c>
      <c r="B260" s="7">
        <v>0.1444</v>
      </c>
      <c r="C260" s="7">
        <v>0.3166</v>
      </c>
      <c r="D260" s="7">
        <v>0.0236600929837564</v>
      </c>
      <c r="E260" s="7">
        <v>0.1102</v>
      </c>
      <c r="F260" s="7">
        <v>0.0265650145868584</v>
      </c>
      <c r="G260" s="7">
        <v>0.3004</v>
      </c>
      <c r="H260" s="7">
        <v>0.035990276464623</v>
      </c>
    </row>
    <row r="261">
      <c r="A261" s="7" t="s">
        <v>2304</v>
      </c>
      <c r="B261" s="7">
        <v>0.198</v>
      </c>
      <c r="C261" s="7">
        <v>0.22</v>
      </c>
      <c r="D261" s="7">
        <v>0.0</v>
      </c>
      <c r="E261" s="7">
        <v>0.117</v>
      </c>
      <c r="F261" s="7">
        <v>0.0</v>
      </c>
      <c r="G261" s="7">
        <v>0.183</v>
      </c>
      <c r="H261" s="7">
        <v>0.0</v>
      </c>
    </row>
    <row r="262">
      <c r="A262" s="7" t="s">
        <v>2305</v>
      </c>
      <c r="B262" s="7">
        <v>0.211</v>
      </c>
      <c r="C262" s="7">
        <v>0.405</v>
      </c>
      <c r="D262" s="7">
        <v>0.0</v>
      </c>
      <c r="E262" s="7">
        <v>0.208</v>
      </c>
      <c r="F262" s="7">
        <v>0.0</v>
      </c>
      <c r="G262" s="7">
        <v>0.406</v>
      </c>
      <c r="H262" s="7">
        <v>0.0</v>
      </c>
    </row>
    <row r="263">
      <c r="A263" s="7" t="s">
        <v>2306</v>
      </c>
      <c r="B263" s="7">
        <v>0.1712</v>
      </c>
      <c r="C263" s="7">
        <v>0.325</v>
      </c>
      <c r="D263" s="7">
        <v>0.0286966897045634</v>
      </c>
      <c r="E263" s="7">
        <v>0.1196</v>
      </c>
      <c r="F263" s="7">
        <v>0.0334260377550196</v>
      </c>
      <c r="G263" s="7">
        <v>0.297199999999999</v>
      </c>
      <c r="H263" s="7">
        <v>0.0359123934039489</v>
      </c>
    </row>
    <row r="264">
      <c r="A264" s="7" t="s">
        <v>2307</v>
      </c>
      <c r="B264" s="7">
        <v>0.232</v>
      </c>
      <c r="C264" s="7">
        <v>0.202</v>
      </c>
      <c r="D264" s="7">
        <v>0.0</v>
      </c>
      <c r="E264" s="7">
        <v>0.137</v>
      </c>
      <c r="F264" s="7">
        <v>0.0</v>
      </c>
      <c r="G264" s="7">
        <v>0.154</v>
      </c>
      <c r="H264" s="7">
        <v>0.0</v>
      </c>
    </row>
    <row r="265">
      <c r="A265" s="7" t="s">
        <v>2308</v>
      </c>
      <c r="B265" s="7">
        <v>0.221</v>
      </c>
      <c r="C265" s="7">
        <v>0.393</v>
      </c>
      <c r="D265" s="7">
        <v>0.0</v>
      </c>
      <c r="E265" s="7">
        <v>0.191</v>
      </c>
      <c r="F265" s="7">
        <v>0.0</v>
      </c>
      <c r="G265" s="7">
        <v>0.39</v>
      </c>
      <c r="H265" s="7">
        <v>0.0</v>
      </c>
    </row>
    <row r="266">
      <c r="A266" s="7" t="s">
        <v>2309</v>
      </c>
      <c r="B266" s="7">
        <v>0.1846</v>
      </c>
      <c r="C266" s="7">
        <v>0.3264</v>
      </c>
      <c r="D266" s="7">
        <v>0.0265763052360556</v>
      </c>
      <c r="E266" s="7">
        <v>0.1186</v>
      </c>
      <c r="F266" s="7">
        <v>0.0371658445350028</v>
      </c>
      <c r="G266" s="7">
        <v>0.2898</v>
      </c>
      <c r="H266" s="7">
        <v>0.0452570436506849</v>
      </c>
    </row>
    <row r="267">
      <c r="A267" s="7" t="s">
        <v>2310</v>
      </c>
      <c r="B267" s="7">
        <v>0.224</v>
      </c>
      <c r="C267" s="7">
        <v>0.211</v>
      </c>
      <c r="D267" s="7">
        <v>0.0</v>
      </c>
      <c r="E267" s="7">
        <v>0.121</v>
      </c>
      <c r="F267" s="7">
        <v>0.0</v>
      </c>
      <c r="G267" s="7">
        <v>0.163</v>
      </c>
      <c r="H267" s="7">
        <v>0.0</v>
      </c>
    </row>
    <row r="268">
      <c r="A268" s="7" t="s">
        <v>2311</v>
      </c>
      <c r="B268" s="7">
        <v>0.277</v>
      </c>
      <c r="C268" s="7">
        <v>0.427</v>
      </c>
      <c r="D268" s="7">
        <v>0.0</v>
      </c>
      <c r="E268" s="7">
        <v>0.228</v>
      </c>
      <c r="F268" s="7">
        <v>0.0</v>
      </c>
      <c r="G268" s="7">
        <v>0.413</v>
      </c>
      <c r="H268" s="7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13"/>
  </cols>
  <sheetData>
    <row r="1">
      <c r="A1" s="7" t="s">
        <v>274</v>
      </c>
      <c r="B1" s="7" t="s">
        <v>68</v>
      </c>
      <c r="C1" s="7">
        <v>0.400107417157464</v>
      </c>
    </row>
    <row r="2">
      <c r="A2" s="7" t="s">
        <v>276</v>
      </c>
      <c r="B2" s="7" t="s">
        <v>68</v>
      </c>
      <c r="C2" s="7">
        <v>0.642831750679554</v>
      </c>
    </row>
    <row r="3">
      <c r="A3" s="7" t="s">
        <v>277</v>
      </c>
      <c r="B3" s="7" t="s">
        <v>68</v>
      </c>
      <c r="C3" s="7">
        <v>0.517640159750091</v>
      </c>
    </row>
    <row r="4">
      <c r="A4" s="7" t="s">
        <v>278</v>
      </c>
      <c r="B4" s="7" t="s">
        <v>68</v>
      </c>
      <c r="C4" s="7">
        <v>0.641372813923377</v>
      </c>
    </row>
    <row r="5">
      <c r="A5" s="7" t="s">
        <v>274</v>
      </c>
      <c r="B5" s="7" t="s">
        <v>69</v>
      </c>
      <c r="C5" s="7">
        <v>0.393652929014778</v>
      </c>
    </row>
    <row r="6">
      <c r="A6" s="7" t="s">
        <v>276</v>
      </c>
      <c r="B6" s="7" t="s">
        <v>69</v>
      </c>
      <c r="C6" s="7">
        <v>0.597702377854602</v>
      </c>
    </row>
    <row r="7">
      <c r="A7" s="7" t="s">
        <v>277</v>
      </c>
      <c r="B7" s="7" t="s">
        <v>69</v>
      </c>
      <c r="C7" s="7">
        <v>0.466203934203608</v>
      </c>
    </row>
    <row r="8">
      <c r="A8" s="7" t="s">
        <v>278</v>
      </c>
      <c r="B8" s="7" t="s">
        <v>69</v>
      </c>
      <c r="C8" s="7">
        <v>0.586918258059075</v>
      </c>
    </row>
    <row r="9">
      <c r="A9" s="7" t="s">
        <v>281</v>
      </c>
      <c r="B9" s="7" t="s">
        <v>68</v>
      </c>
      <c r="C9" s="7">
        <v>0.404810754696845</v>
      </c>
    </row>
    <row r="10">
      <c r="A10" s="7" t="s">
        <v>283</v>
      </c>
      <c r="B10" s="7" t="s">
        <v>68</v>
      </c>
      <c r="C10" s="7">
        <v>0.634072891433604</v>
      </c>
    </row>
    <row r="11">
      <c r="A11" s="7" t="s">
        <v>284</v>
      </c>
      <c r="B11" s="7" t="s">
        <v>68</v>
      </c>
      <c r="C11" s="7">
        <v>0.537523492086359</v>
      </c>
    </row>
    <row r="12">
      <c r="A12" s="7" t="s">
        <v>286</v>
      </c>
      <c r="B12" s="7" t="s">
        <v>68</v>
      </c>
      <c r="C12" s="7">
        <v>0.641745007342877</v>
      </c>
    </row>
    <row r="13">
      <c r="A13" s="7" t="s">
        <v>281</v>
      </c>
      <c r="B13" s="7" t="s">
        <v>69</v>
      </c>
      <c r="C13" s="7">
        <v>0.397469270497135</v>
      </c>
    </row>
    <row r="14">
      <c r="A14" s="7" t="s">
        <v>283</v>
      </c>
      <c r="B14" s="7" t="s">
        <v>69</v>
      </c>
      <c r="C14" s="7">
        <v>0.604647253792606</v>
      </c>
    </row>
    <row r="15">
      <c r="A15" s="7" t="s">
        <v>284</v>
      </c>
      <c r="B15" s="7" t="s">
        <v>69</v>
      </c>
      <c r="C15" s="7">
        <v>0.496005447230576</v>
      </c>
    </row>
    <row r="16">
      <c r="A16" s="7" t="s">
        <v>286</v>
      </c>
      <c r="B16" s="7" t="s">
        <v>69</v>
      </c>
      <c r="C16" s="7">
        <v>0.621603952821018</v>
      </c>
    </row>
    <row r="17">
      <c r="A17" s="7" t="s">
        <v>2321</v>
      </c>
      <c r="C17" s="7">
        <v>0.391</v>
      </c>
      <c r="D17" s="7">
        <v>0.241</v>
      </c>
    </row>
    <row r="18">
      <c r="A18" s="7" t="s">
        <v>2322</v>
      </c>
      <c r="C18" s="7">
        <v>0.328</v>
      </c>
      <c r="D18" s="7">
        <v>0.193</v>
      </c>
    </row>
    <row r="19">
      <c r="A19" s="7" t="s">
        <v>2323</v>
      </c>
      <c r="C19" s="7">
        <v>0.372</v>
      </c>
      <c r="D19" s="7">
        <v>0.232</v>
      </c>
    </row>
    <row r="20">
      <c r="A20" s="7" t="s">
        <v>2324</v>
      </c>
      <c r="C20" s="7">
        <v>0.32</v>
      </c>
      <c r="D20" s="7">
        <v>0.184</v>
      </c>
    </row>
    <row r="21">
      <c r="A21" s="7" t="s">
        <v>2325</v>
      </c>
      <c r="C21" s="7">
        <v>0.3</v>
      </c>
      <c r="D21" s="7">
        <v>0.3</v>
      </c>
    </row>
    <row r="22">
      <c r="A22" s="7" t="s">
        <v>2326</v>
      </c>
      <c r="C22" s="7">
        <v>0.287</v>
      </c>
      <c r="D22" s="7">
        <v>0.287</v>
      </c>
    </row>
    <row r="23">
      <c r="A23" s="7" t="s">
        <v>2327</v>
      </c>
      <c r="C23" s="7">
        <v>0.328</v>
      </c>
      <c r="D23" s="7">
        <v>0.326</v>
      </c>
    </row>
    <row r="24">
      <c r="A24" s="7" t="s">
        <v>2328</v>
      </c>
      <c r="C24" s="7">
        <v>0.299</v>
      </c>
      <c r="D24" s="7">
        <v>0.296</v>
      </c>
    </row>
    <row r="25">
      <c r="A25" s="7" t="s">
        <v>2329</v>
      </c>
      <c r="C25" s="7">
        <v>0.396</v>
      </c>
      <c r="D25" s="7">
        <v>0.261</v>
      </c>
    </row>
    <row r="26">
      <c r="A26" s="7" t="s">
        <v>2330</v>
      </c>
      <c r="C26" s="7">
        <v>0.31</v>
      </c>
      <c r="D26" s="7">
        <v>0.199</v>
      </c>
    </row>
    <row r="27">
      <c r="A27" s="7" t="s">
        <v>2331</v>
      </c>
      <c r="C27" s="7">
        <v>0.417</v>
      </c>
      <c r="D27" s="7">
        <v>0.28</v>
      </c>
    </row>
    <row r="28">
      <c r="A28" s="7" t="s">
        <v>2332</v>
      </c>
      <c r="C28" s="7">
        <v>0.303</v>
      </c>
      <c r="D28" s="7">
        <v>0.196</v>
      </c>
    </row>
    <row r="29">
      <c r="A29" s="7" t="s">
        <v>2333</v>
      </c>
      <c r="C29" s="7">
        <v>0.447</v>
      </c>
      <c r="D29" s="7">
        <v>0.293</v>
      </c>
    </row>
    <row r="30">
      <c r="A30" s="7" t="s">
        <v>2334</v>
      </c>
      <c r="C30" s="7">
        <v>0.489</v>
      </c>
      <c r="D30" s="7">
        <v>0.378</v>
      </c>
    </row>
    <row r="31">
      <c r="A31" s="7" t="s">
        <v>2335</v>
      </c>
      <c r="C31" s="7">
        <v>0.556</v>
      </c>
      <c r="D31" s="7">
        <v>0.39</v>
      </c>
    </row>
    <row r="32">
      <c r="A32" s="7" t="s">
        <v>2336</v>
      </c>
      <c r="C32" s="7">
        <v>0.509</v>
      </c>
      <c r="D32" s="7">
        <v>0.4</v>
      </c>
    </row>
    <row r="33">
      <c r="A33" s="7" t="s">
        <v>2337</v>
      </c>
      <c r="C33" s="7">
        <v>0.38</v>
      </c>
      <c r="D33" s="7">
        <v>0.231</v>
      </c>
    </row>
    <row r="34">
      <c r="A34" s="7" t="s">
        <v>2338</v>
      </c>
      <c r="C34" s="7">
        <v>0.327</v>
      </c>
      <c r="D34" s="7">
        <v>0.177</v>
      </c>
    </row>
    <row r="35">
      <c r="A35" s="7" t="s">
        <v>2339</v>
      </c>
      <c r="C35" s="7">
        <v>0.281</v>
      </c>
      <c r="D35" s="7">
        <v>0.161</v>
      </c>
    </row>
    <row r="36">
      <c r="A36" s="7" t="s">
        <v>2340</v>
      </c>
      <c r="C36" s="7">
        <v>0.264</v>
      </c>
      <c r="D36" s="7">
        <v>0.138</v>
      </c>
    </row>
    <row r="37">
      <c r="A37" s="7" t="s">
        <v>2341</v>
      </c>
      <c r="C37" s="7">
        <v>0.312</v>
      </c>
      <c r="D37" s="7">
        <v>0.297</v>
      </c>
    </row>
    <row r="38">
      <c r="A38" s="7" t="s">
        <v>2342</v>
      </c>
      <c r="C38" s="7">
        <v>0.29</v>
      </c>
      <c r="D38" s="7">
        <v>0.289</v>
      </c>
    </row>
    <row r="39">
      <c r="A39" s="7" t="s">
        <v>2343</v>
      </c>
      <c r="C39" s="7">
        <v>0.149</v>
      </c>
      <c r="D39" s="7">
        <v>0.149</v>
      </c>
    </row>
    <row r="40">
      <c r="A40" s="7" t="s">
        <v>2344</v>
      </c>
      <c r="C40" s="7">
        <v>0.228</v>
      </c>
      <c r="D40" s="7">
        <v>0.228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7" t="s">
        <v>80</v>
      </c>
      <c r="B1" s="7"/>
      <c r="C1" s="7" t="s">
        <v>2346</v>
      </c>
      <c r="D1" s="7" t="s">
        <v>2346</v>
      </c>
      <c r="E1" s="7" t="s">
        <v>2347</v>
      </c>
      <c r="F1" s="7" t="s">
        <v>2347</v>
      </c>
      <c r="G1" s="7" t="s">
        <v>2348</v>
      </c>
      <c r="H1" s="7" t="s">
        <v>2348</v>
      </c>
      <c r="I1" s="7" t="s">
        <v>2349</v>
      </c>
      <c r="J1" s="7" t="s">
        <v>2349</v>
      </c>
    </row>
    <row r="2">
      <c r="A2" s="7" t="s">
        <v>21</v>
      </c>
      <c r="B2" s="7" t="s">
        <v>7</v>
      </c>
      <c r="C2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LOWER($B2) &amp; ""_""),
    REGEX"&amp;"MATCH(LOWER(RawData_SemEval_test!$A:$A), LOWER(IF(C$1&lt;&gt;"""", C$1, B$1))),
    REGEXMATCH(LOWER(RawData_SemEval_test!$A:$A), LOWER($A2)),
    NOT(REGEXMATCH(LOWER(RawData_SemEval_test!$A:$A), ""ensemble|submission|complete"")),
    IF(REGEXMATCH(LOWER($A2)"&amp;", ""gpt""), 
       REGEXMATCH(LOWER(RawData_SemEval_test!$A:$A), ""_gpt_""), 
       NOT(REGEXMATCH(LOWER(RawData_SemEval_test!$A:$A), ""_gpt_"")))
  ),
  1
)"),0.5206)</f>
        <v>0.5206</v>
      </c>
      <c r="D2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LOWER($B2) &amp; ""_""),
    REGEX"&amp;"MATCH(LOWER(RawData_SemEval_test!$A:$A), LOWER(IF(D$1&lt;&gt;"""", D$1, C$1))),
    REGEXMATCH(LOWER(RawData_SemEval_test!$A:$A), LOWER($A2)),
    NOT(REGEXMATCH(LOWER(RawData_SemEval_test!$A:$A), ""ensemble|submission|complete"")),
    IF(REGEXMATCH(LOWER($A2)"&amp;", ""gpt""), 
       REGEXMATCH(LOWER(RawData_SemEval_test!$A:$A), ""_gpt_""), 
       NOT(REGEXMATCH(LOWER(RawData_SemEval_test!$A:$A), ""_gpt_"")))
  ),
  1
)"),0.3216)</f>
        <v>0.3216</v>
      </c>
      <c r="E2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LOWER($B2) &amp; ""_""),
    REGEX"&amp;"MATCH(LOWER(RawData_SemEval_test!$A:$A), LOWER(IF(E$1&lt;&gt;"""", E$1, D$1))),
    REGEXMATCH(LOWER(RawData_SemEval_test!$A:$A), LOWER($A2)),
    NOT(REGEXMATCH(LOWER(RawData_SemEval_test!$A:$A), ""ensemble|submission|complete"")),
    IF(REGEXMATCH(LOWER($A2)"&amp;", ""gpt""), 
       REGEXMATCH(LOWER(RawData_SemEval_test!$A:$A), ""_gpt_""), 
       NOT(REGEXMATCH(LOWER(RawData_SemEval_test!$A:$A), ""_gpt_"")))
  ),
  1
)"),0.289799999999999)</f>
        <v>0.2898</v>
      </c>
      <c r="F2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LOWER($B2) &amp; ""_""),
    REGEX"&amp;"MATCH(LOWER(RawData_SemEval_test!$A:$A), LOWER(IF(F$1&lt;&gt;"""", F$1, E$1))),
    REGEXMATCH(LOWER(RawData_SemEval_test!$A:$A), LOWER($A2)),
    NOT(REGEXMATCH(LOWER(RawData_SemEval_test!$A:$A), ""ensemble|submission|complete"")),
    IF(REGEXMATCH(LOWER($A2)"&amp;", ""gpt""), 
       REGEXMATCH(LOWER(RawData_SemEval_test!$A:$A), ""_gpt_""), 
       NOT(REGEXMATCH(LOWER(RawData_SemEval_test!$A:$A), ""_gpt_"")))
  ),
  1
)"),0.287799999999999)</f>
        <v>0.2878</v>
      </c>
      <c r="G2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LOWER($B2) &amp; ""_""),
    REGEX"&amp;"MATCH(LOWER(RawData_SemEval_test!$A:$A), LOWER(IF(G$1&lt;&gt;"""", G$1, F$1))),
    REGEXMATCH(LOWER(RawData_SemEval_test!$A:$A), LOWER($A2)),
    NOT(REGEXMATCH(LOWER(RawData_SemEval_test!$A:$A), ""ensemble|submission|complete"")),
    IF(REGEXMATCH(LOWER($A2)"&amp;", ""gpt""), 
       REGEXMATCH(LOWER(RawData_SemEval_test!$A:$A), ""_gpt_""), 
       NOT(REGEXMATCH(LOWER(RawData_SemEval_test!$A:$A), ""_gpt_"")))
  ),
  1
)"),0.363199999999999)</f>
        <v>0.3632</v>
      </c>
      <c r="H2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LOWER($B2) &amp; ""_""),
    REGEX"&amp;"MATCH(LOWER(RawData_SemEval_test!$A:$A), LOWER(IF(H$1&lt;&gt;"""", H$1, G$1))),
    REGEXMATCH(LOWER(RawData_SemEval_test!$A:$A), LOWER($A2)),
    NOT(REGEXMATCH(LOWER(RawData_SemEval_test!$A:$A), ""ensemble|submission|complete"")),
    IF(REGEXMATCH(LOWER($A2)"&amp;", ""gpt""), 
       REGEXMATCH(LOWER(RawData_SemEval_test!$A:$A), ""_gpt_""), 
       NOT(REGEXMATCH(LOWER(RawData_SemEval_test!$A:$A), ""_gpt_"")))
  ),
  1
)"),0.1464)</f>
        <v>0.1464</v>
      </c>
      <c r="I2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LOWER($B2) &amp; ""_""),
    REGEX"&amp;"MATCH(LOWER(RawData_SemEval_test!$A:$A), LOWER(IF(I$1&lt;&gt;"""", I$1, H$1))),
    REGEXMATCH(LOWER(RawData_SemEval_test!$A:$A), LOWER($A2)),
    NOT(REGEXMATCH(LOWER(RawData_SemEval_test!$A:$A), ""ensemble|submission|complete"")),
    IF(REGEXMATCH(LOWER($A2)"&amp;", ""gpt""), 
       REGEXMATCH(LOWER(RawData_SemEval_test!$A:$A), ""_gpt_""), 
       NOT(REGEXMATCH(LOWER(RawData_SemEval_test!$A:$A), ""_gpt_"")))
  ),
  1
)"),0.195)</f>
        <v>0.195</v>
      </c>
      <c r="J2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LOWER($B2) &amp; ""_""),
    REGEX"&amp;"MATCH(LOWER(RawData_SemEval_test!$A:$A), LOWER(IF(J$1&lt;&gt;"""", J$1, I$1))),
    REGEXMATCH(LOWER(RawData_SemEval_test!$A:$A), LOWER($A2)),
    NOT(REGEXMATCH(LOWER(RawData_SemEval_test!$A:$A), ""ensemble|submission|complete"")),
    IF(REGEXMATCH(LOWER($A2)"&amp;", ""gpt""), 
       REGEXMATCH(LOWER(RawData_SemEval_test!$A:$A), ""_gpt_""), 
       NOT(REGEXMATCH(LOWER(RawData_SemEval_test!$A:$A), ""_gpt_"")))
  ),
  1
)"),0.1172)</f>
        <v>0.1172</v>
      </c>
    </row>
    <row r="3">
      <c r="A3" s="7" t="s">
        <v>2351</v>
      </c>
      <c r="B3" s="7" t="s">
        <v>7</v>
      </c>
      <c r="C3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LOWER($B3) &amp; ""_""),
    REGEX"&amp;"MATCH(LOWER(RawData_SemEval_test!$A:$A), LOWER(IF(C$1&lt;&gt;"""", C$1, B$1))),
    REGEXMATCH(LOWER(RawData_SemEval_test!$A:$A), LOWER($A3)),
    NOT(REGEXMATCH(LOWER(RawData_SemEval_test!$A:$A), ""ensemble|submission|complete"")),
    IF(REGEXMATCH(LOWER($A3)"&amp;", ""gpt""), 
       REGEXMATCH(LOWER(RawData_SemEval_test!$A:$A), ""_gpt_""), 
       NOT(REGEXMATCH(LOWER(RawData_SemEval_test!$A:$A), ""_gpt_"")))
  ),
  1
)"),0.4858)</f>
        <v>0.4858</v>
      </c>
      <c r="D3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LOWER($B3) &amp; ""_""),
    REGEX"&amp;"MATCH(LOWER(RawData_SemEval_test!$A:$A), LOWER(IF(D$1&lt;&gt;"""", D$1, C$1))),
    REGEXMATCH(LOWER(RawData_SemEval_test!$A:$A), LOWER($A3)),
    NOT(REGEXMATCH(LOWER(RawData_SemEval_test!$A:$A), ""ensemble|submission|complete"")),
    IF(REGEXMATCH(LOWER($A3)"&amp;", ""gpt""), 
       REGEXMATCH(LOWER(RawData_SemEval_test!$A:$A), ""_gpt_""), 
       NOT(REGEXMATCH(LOWER(RawData_SemEval_test!$A:$A), ""_gpt_"")))
  ),
  1
)"),0.301799999999999)</f>
        <v>0.3018</v>
      </c>
      <c r="E3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LOWER($B3) &amp; ""_""),
    REGEX"&amp;"MATCH(LOWER(RawData_SemEval_test!$A:$A), LOWER(IF(E$1&lt;&gt;"""", E$1, D$1))),
    REGEXMATCH(LOWER(RawData_SemEval_test!$A:$A), LOWER($A3)),
    NOT(REGEXMATCH(LOWER(RawData_SemEval_test!$A:$A), ""ensemble|submission|complete"")),
    IF(REGEXMATCH(LOWER($A3)"&amp;", ""gpt""), 
       REGEXMATCH(LOWER(RawData_SemEval_test!$A:$A), ""_gpt_""), 
       NOT(REGEXMATCH(LOWER(RawData_SemEval_test!$A:$A), ""_gpt_"")))
  ),
  1
)"),0.4278)</f>
        <v>0.4278</v>
      </c>
      <c r="F3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LOWER($B3) &amp; ""_""),
    REGEX"&amp;"MATCH(LOWER(RawData_SemEval_test!$A:$A), LOWER(IF(F$1&lt;&gt;"""", F$1, E$1))),
    REGEXMATCH(LOWER(RawData_SemEval_test!$A:$A), LOWER($A3)),
    NOT(REGEXMATCH(LOWER(RawData_SemEval_test!$A:$A), ""ensemble|submission|complete"")),
    IF(REGEXMATCH(LOWER($A3)"&amp;", ""gpt""), 
       REGEXMATCH(LOWER(RawData_SemEval_test!$A:$A), ""_gpt_""), 
       NOT(REGEXMATCH(LOWER(RawData_SemEval_test!$A:$A), ""_gpt_"")))
  ),
  1
)"),0.324199999999999)</f>
        <v>0.3242</v>
      </c>
      <c r="G3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LOWER($B3) &amp; ""_""),
    REGEX"&amp;"MATCH(LOWER(RawData_SemEval_test!$A:$A), LOWER(IF(G$1&lt;&gt;"""", G$1, F$1))),
    REGEXMATCH(LOWER(RawData_SemEval_test!$A:$A), LOWER($A3)),
    NOT(REGEXMATCH(LOWER(RawData_SemEval_test!$A:$A), ""ensemble|submission|complete"")),
    IF(REGEXMATCH(LOWER($A3)"&amp;", ""gpt""), 
       REGEXMATCH(LOWER(RawData_SemEval_test!$A:$A), ""_gpt_""), 
       NOT(REGEXMATCH(LOWER(RawData_SemEval_test!$A:$A), ""_gpt_"")))
  ),
  1
)"),0.3398)</f>
        <v>0.3398</v>
      </c>
      <c r="H3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LOWER($B3) &amp; ""_""),
    REGEX"&amp;"MATCH(LOWER(RawData_SemEval_test!$A:$A), LOWER(IF(H$1&lt;&gt;"""", H$1, G$1))),
    REGEXMATCH(LOWER(RawData_SemEval_test!$A:$A), LOWER($A3)),
    NOT(REGEXMATCH(LOWER(RawData_SemEval_test!$A:$A), ""ensemble|submission|complete"")),
    IF(REGEXMATCH(LOWER($A3)"&amp;", ""gpt""), 
       REGEXMATCH(LOWER(RawData_SemEval_test!$A:$A), ""_gpt_""), 
       NOT(REGEXMATCH(LOWER(RawData_SemEval_test!$A:$A), ""_gpt_"")))
  ),
  1
)"),0.1402)</f>
        <v>0.1402</v>
      </c>
      <c r="I3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LOWER($B3) &amp; ""_""),
    REGEX"&amp;"MATCH(LOWER(RawData_SemEval_test!$A:$A), LOWER(IF(I$1&lt;&gt;"""", I$1, H$1))),
    REGEXMATCH(LOWER(RawData_SemEval_test!$A:$A), LOWER($A3)),
    NOT(REGEXMATCH(LOWER(RawData_SemEval_test!$A:$A), ""ensemble|submission|complete"")),
    IF(REGEXMATCH(LOWER($A3)"&amp;", ""gpt""), 
       REGEXMATCH(LOWER(RawData_SemEval_test!$A:$A), ""_gpt_""), 
       NOT(REGEXMATCH(LOWER(RawData_SemEval_test!$A:$A), ""_gpt_"")))
  ),
  1
)"),0.177)</f>
        <v>0.177</v>
      </c>
      <c r="J3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LOWER($B3) &amp; ""_""),
    REGEX"&amp;"MATCH(LOWER(RawData_SemEval_test!$A:$A), LOWER(IF(J$1&lt;&gt;"""", J$1, I$1))),
    REGEXMATCH(LOWER(RawData_SemEval_test!$A:$A), LOWER($A3)),
    NOT(REGEXMATCH(LOWER(RawData_SemEval_test!$A:$A), ""ensemble|submission|complete"")),
    IF(REGEXMATCH(LOWER($A3)"&amp;", ""gpt""), 
       REGEXMATCH(LOWER(RawData_SemEval_test!$A:$A), ""_gpt_""), 
       NOT(REGEXMATCH(LOWER(RawData_SemEval_test!$A:$A), ""_gpt_"")))
  ),
  1
)"),0.08)</f>
        <v>0.08</v>
      </c>
    </row>
    <row r="4">
      <c r="A4" s="7" t="s">
        <v>2353</v>
      </c>
      <c r="B4" s="7" t="s">
        <v>7</v>
      </c>
      <c r="C4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LOWER($B4) &amp; ""_""),
    REGEX"&amp;"MATCH(LOWER(RawData_SemEval_test!$A:$A), LOWER(IF(C$1&lt;&gt;"""", C$1, B$1))),
    REGEXMATCH(LOWER(RawData_SemEval_test!$A:$A), LOWER($A4)),
    NOT(REGEXMATCH(LOWER(RawData_SemEval_test!$A:$A), ""ensemble|submission|complete"")),
    IF(REGEXMATCH(LOWER($A4)"&amp;", ""gpt""), 
       REGEXMATCH(LOWER(RawData_SemEval_test!$A:$A), ""_gpt_""), 
       NOT(REGEXMATCH(LOWER(RawData_SemEval_test!$A:$A), ""_gpt_"")))
  ),
  1
)"),0.4682)</f>
        <v>0.4682</v>
      </c>
      <c r="D4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LOWER($B4) &amp; ""_""),
    REGEX"&amp;"MATCH(LOWER(RawData_SemEval_test!$A:$A), LOWER(IF(D$1&lt;&gt;"""", D$1, C$1))),
    REGEXMATCH(LOWER(RawData_SemEval_test!$A:$A), LOWER($A4)),
    NOT(REGEXMATCH(LOWER(RawData_SemEval_test!$A:$A), ""ensemble|submission|complete"")),
    IF(REGEXMATCH(LOWER($A4)"&amp;", ""gpt""), 
       REGEXMATCH(LOWER(RawData_SemEval_test!$A:$A), ""_gpt_""), 
       NOT(REGEXMATCH(LOWER(RawData_SemEval_test!$A:$A), ""_gpt_"")))
  ),
  1
)"),0.285599999999999)</f>
        <v>0.2856</v>
      </c>
      <c r="E4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LOWER($B4) &amp; ""_""),
    REGEX"&amp;"MATCH(LOWER(RawData_SemEval_test!$A:$A), LOWER(IF(E$1&lt;&gt;"""", E$1, D$1))),
    REGEXMATCH(LOWER(RawData_SemEval_test!$A:$A), LOWER($A4)),
    NOT(REGEXMATCH(LOWER(RawData_SemEval_test!$A:$A), ""ensemble|submission|complete"")),
    IF(REGEXMATCH(LOWER($A4)"&amp;", ""gpt""), 
       REGEXMATCH(LOWER(RawData_SemEval_test!$A:$A), ""_gpt_""), 
       NOT(REGEXMATCH(LOWER(RawData_SemEval_test!$A:$A), ""_gpt_"")))
  ),
  1
)"),0.3714)</f>
        <v>0.3714</v>
      </c>
      <c r="F4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LOWER($B4) &amp; ""_""),
    REGEX"&amp;"MATCH(LOWER(RawData_SemEval_test!$A:$A), LOWER(IF(F$1&lt;&gt;"""", F$1, E$1))),
    REGEXMATCH(LOWER(RawData_SemEval_test!$A:$A), LOWER($A4)),
    NOT(REGEXMATCH(LOWER(RawData_SemEval_test!$A:$A), ""ensemble|submission|complete"")),
    IF(REGEXMATCH(LOWER($A4)"&amp;", ""gpt""), 
       REGEXMATCH(LOWER(RawData_SemEval_test!$A:$A), ""_gpt_""), 
       NOT(REGEXMATCH(LOWER(RawData_SemEval_test!$A:$A), ""_gpt_"")))
  ),
  1
)"),0.204599999999999)</f>
        <v>0.2046</v>
      </c>
      <c r="G4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LOWER($B4) &amp; ""_""),
    REGEX"&amp;"MATCH(LOWER(RawData_SemEval_test!$A:$A), LOWER(IF(G$1&lt;&gt;"""", G$1, F$1))),
    REGEXMATCH(LOWER(RawData_SemEval_test!$A:$A), LOWER($A4)),
    NOT(REGEXMATCH(LOWER(RawData_SemEval_test!$A:$A), ""ensemble|submission|complete"")),
    IF(REGEXMATCH(LOWER($A4)"&amp;", ""gpt""), 
       REGEXMATCH(LOWER(RawData_SemEval_test!$A:$A), ""_gpt_""), 
       NOT(REGEXMATCH(LOWER(RawData_SemEval_test!$A:$A), ""_gpt_"")))
  ),
  1
)"),0.2814)</f>
        <v>0.2814</v>
      </c>
      <c r="H4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LOWER($B4) &amp; ""_""),
    REGEX"&amp;"MATCH(LOWER(RawData_SemEval_test!$A:$A), LOWER(IF(H$1&lt;&gt;"""", H$1, G$1))),
    REGEXMATCH(LOWER(RawData_SemEval_test!$A:$A), LOWER($A4)),
    NOT(REGEXMATCH(LOWER(RawData_SemEval_test!$A:$A), ""ensemble|submission|complete"")),
    IF(REGEXMATCH(LOWER($A4)"&amp;", ""gpt""), 
       REGEXMATCH(LOWER(RawData_SemEval_test!$A:$A), ""_gpt_""), 
       NOT(REGEXMATCH(LOWER(RawData_SemEval_test!$A:$A), ""_gpt_"")))
  ),
  1
)"),0.1774)</f>
        <v>0.1774</v>
      </c>
      <c r="I4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LOWER($B4) &amp; ""_""),
    REGEX"&amp;"MATCH(LOWER(RawData_SemEval_test!$A:$A), LOWER(IF(I$1&lt;&gt;"""", I$1, H$1))),
    REGEXMATCH(LOWER(RawData_SemEval_test!$A:$A), LOWER($A4)),
    NOT(REGEXMATCH(LOWER(RawData_SemEval_test!$A:$A), ""ensemble|submission|complete"")),
    IF(REGEXMATCH(LOWER($A4)"&amp;", ""gpt""), 
       REGEXMATCH(LOWER(RawData_SemEval_test!$A:$A), ""_gpt_""), 
       NOT(REGEXMATCH(LOWER(RawData_SemEval_test!$A:$A), ""_gpt_"")))
  ),
  1
)"),0.1878)</f>
        <v>0.1878</v>
      </c>
      <c r="J4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LOWER($B4) &amp; ""_""),
    REGEX"&amp;"MATCH(LOWER(RawData_SemEval_test!$A:$A), LOWER(IF(J$1&lt;&gt;"""", J$1, I$1))),
    REGEXMATCH(LOWER(RawData_SemEval_test!$A:$A), LOWER($A4)),
    NOT(REGEXMATCH(LOWER(RawData_SemEval_test!$A:$A), ""ensemble|submission|complete"")),
    IF(REGEXMATCH(LOWER($A4)"&amp;", ""gpt""), 
       REGEXMATCH(LOWER(RawData_SemEval_test!$A:$A), ""_gpt_""), 
       NOT(REGEXMATCH(LOWER(RawData_SemEval_test!$A:$A), ""_gpt_"")))
  ),
  1
)"),0.0782)</f>
        <v>0.0782</v>
      </c>
    </row>
    <row r="5">
      <c r="A5" s="7" t="s">
        <v>43</v>
      </c>
      <c r="B5" s="7" t="s">
        <v>7</v>
      </c>
      <c r="C5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LOWER($B5) &amp; ""_""),
    REGEX"&amp;"MATCH(LOWER(RawData_SemEval_test!$A:$A), LOWER(IF(C$1&lt;&gt;"""", C$1, B$1))),
    REGEXMATCH(LOWER(RawData_SemEval_test!$A:$A), LOWER($A5)),
    NOT(REGEXMATCH(LOWER(RawData_SemEval_test!$A:$A), ""ensemble|submission|complete"")),
    IF(REGEXMATCH(LOWER($A5)"&amp;", ""gpt""), 
       REGEXMATCH(LOWER(RawData_SemEval_test!$A:$A), ""_gpt_""), 
       NOT(REGEXMATCH(LOWER(RawData_SemEval_test!$A:$A), ""_gpt_"")))
  ),
  1
)"),0.4574)</f>
        <v>0.4574</v>
      </c>
      <c r="D5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LOWER($B5) &amp; ""_""),
    REGEX"&amp;"MATCH(LOWER(RawData_SemEval_test!$A:$A), LOWER(IF(D$1&lt;&gt;"""", D$1, C$1))),
    REGEXMATCH(LOWER(RawData_SemEval_test!$A:$A), LOWER($A5)),
    NOT(REGEXMATCH(LOWER(RawData_SemEval_test!$A:$A), ""ensemble|submission|complete"")),
    IF(REGEXMATCH(LOWER($A5)"&amp;", ""gpt""), 
       REGEXMATCH(LOWER(RawData_SemEval_test!$A:$A), ""_gpt_""), 
       NOT(REGEXMATCH(LOWER(RawData_SemEval_test!$A:$A), ""_gpt_"")))
  ),
  1
)"),0.267)</f>
        <v>0.267</v>
      </c>
      <c r="E5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LOWER($B5) &amp; ""_""),
    REGEX"&amp;"MATCH(LOWER(RawData_SemEval_test!$A:$A), LOWER(IF(E$1&lt;&gt;"""", E$1, D$1))),
    REGEXMATCH(LOWER(RawData_SemEval_test!$A:$A), LOWER($A5)),
    NOT(REGEXMATCH(LOWER(RawData_SemEval_test!$A:$A), ""ensemble|submission|complete"")),
    IF(REGEXMATCH(LOWER($A5)"&amp;", ""gpt""), 
       REGEXMATCH(LOWER(RawData_SemEval_test!$A:$A), ""_gpt_""), 
       NOT(REGEXMATCH(LOWER(RawData_SemEval_test!$A:$A), ""_gpt_"")))
  ),
  1
)"),0.3716)</f>
        <v>0.3716</v>
      </c>
      <c r="F5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LOWER($B5) &amp; ""_""),
    REGEX"&amp;"MATCH(LOWER(RawData_SemEval_test!$A:$A), LOWER(IF(F$1&lt;&gt;"""", F$1, E$1))),
    REGEXMATCH(LOWER(RawData_SemEval_test!$A:$A), LOWER($A5)),
    NOT(REGEXMATCH(LOWER(RawData_SemEval_test!$A:$A), ""ensemble|submission|complete"")),
    IF(REGEXMATCH(LOWER($A5)"&amp;", ""gpt""), 
       REGEXMATCH(LOWER(RawData_SemEval_test!$A:$A), ""_gpt_""), 
       NOT(REGEXMATCH(LOWER(RawData_SemEval_test!$A:$A), ""_gpt_"")))
  ),
  1
)"),0.2182)</f>
        <v>0.2182</v>
      </c>
      <c r="G5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LOWER($B5) &amp; ""_""),
    REGEX"&amp;"MATCH(LOWER(RawData_SemEval_test!$A:$A), LOWER(IF(G$1&lt;&gt;"""", G$1, F$1))),
    REGEXMATCH(LOWER(RawData_SemEval_test!$A:$A), LOWER($A5)),
    NOT(REGEXMATCH(LOWER(RawData_SemEval_test!$A:$A), ""ensemble|submission|complete"")),
    IF(REGEXMATCH(LOWER($A5)"&amp;", ""gpt""), 
       REGEXMATCH(LOWER(RawData_SemEval_test!$A:$A), ""_gpt_""), 
       NOT(REGEXMATCH(LOWER(RawData_SemEval_test!$A:$A), ""_gpt_"")))
  ),
  1
)"),0.2834)</f>
        <v>0.2834</v>
      </c>
      <c r="H5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LOWER($B5) &amp; ""_""),
    REGEX"&amp;"MATCH(LOWER(RawData_SemEval_test!$A:$A), LOWER(IF(H$1&lt;&gt;"""", H$1, G$1))),
    REGEXMATCH(LOWER(RawData_SemEval_test!$A:$A), LOWER($A5)),
    NOT(REGEXMATCH(LOWER(RawData_SemEval_test!$A:$A), ""ensemble|submission|complete"")),
    IF(REGEXMATCH(LOWER($A5)"&amp;", ""gpt""), 
       REGEXMATCH(LOWER(RawData_SemEval_test!$A:$A), ""_gpt_""), 
       NOT(REGEXMATCH(LOWER(RawData_SemEval_test!$A:$A), ""_gpt_"")))
  ),
  1
)"),0.1776)</f>
        <v>0.1776</v>
      </c>
      <c r="I5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LOWER($B5) &amp; ""_""),
    REGEX"&amp;"MATCH(LOWER(RawData_SemEval_test!$A:$A), LOWER(IF(I$1&lt;&gt;"""", I$1, H$1))),
    REGEXMATCH(LOWER(RawData_SemEval_test!$A:$A), LOWER($A5)),
    NOT(REGEXMATCH(LOWER(RawData_SemEval_test!$A:$A), ""ensemble|submission|complete"")),
    IF(REGEXMATCH(LOWER($A5)"&amp;", ""gpt""), 
       REGEXMATCH(LOWER(RawData_SemEval_test!$A:$A), ""_gpt_""), 
       NOT(REGEXMATCH(LOWER(RawData_SemEval_test!$A:$A), ""_gpt_"")))
  ),
  1
)"),0.175799999999999)</f>
        <v>0.1758</v>
      </c>
      <c r="J5" s="112">
        <f>IFERROR(__xludf.DUMMYFUNCTION("CHOOSEROWS(
  FILTER(
    IF(ISODD(COLUMN()), RawData_SemEval_test!$B:$B, RawData_SemEval_test!$E:$E),
    REGEXMATCH(LOWER(RawData_SemEval_test!$A:$A), LOWER($A$1)),
    REGEXMATCH(LOWER(RawData_SemEval_test!$A:$A), ""_"" &amp; LOWER($B5) &amp; ""_""),
    REGEX"&amp;"MATCH(LOWER(RawData_SemEval_test!$A:$A), LOWER(IF(J$1&lt;&gt;"""", J$1, I$1))),
    REGEXMATCH(LOWER(RawData_SemEval_test!$A:$A), LOWER($A5)),
    NOT(REGEXMATCH(LOWER(RawData_SemEval_test!$A:$A), ""ensemble|submission|complete"")),
    IF(REGEXMATCH(LOWER($A5)"&amp;", ""gpt""), 
       REGEXMATCH(LOWER(RawData_SemEval_test!$A:$A), ""_gpt_""), 
       NOT(REGEXMATCH(LOWER(RawData_SemEval_test!$A:$A), ""_gpt_"")))
  ),
  1
)"),0.0826)</f>
        <v>0.0826</v>
      </c>
    </row>
  </sheetData>
  <drawing r:id="rId1"/>
</worksheet>
</file>