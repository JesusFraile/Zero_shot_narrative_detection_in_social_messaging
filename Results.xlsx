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Q1" sheetId="1" r:id="rId4"/>
    <sheet state="visible" name="RQ2" sheetId="2" r:id="rId5"/>
    <sheet state="visible" name="RQ2.1" sheetId="3" r:id="rId6"/>
    <sheet state="visible" name="RQ3" sheetId="4" r:id="rId7"/>
    <sheet state="visible" name="RQ4" sheetId="5" r:id="rId8"/>
    <sheet state="visible" name="Dipromats" sheetId="6" r:id="rId9"/>
    <sheet state="visible" name="SemEval_2025_T2" sheetId="7" r:id="rId10"/>
    <sheet state="visible" name="RawData_Dipro" sheetId="8" r:id="rId11"/>
    <sheet state="visible" name="RawData_Ensembles" sheetId="9" r:id="rId12"/>
    <sheet state="visible" name="RawData_SemEval" sheetId="10" r:id="rId13"/>
  </sheets>
  <definedNames/>
  <calcPr/>
</workbook>
</file>

<file path=xl/sharedStrings.xml><?xml version="1.0" encoding="utf-8"?>
<sst xmlns="http://schemas.openxmlformats.org/spreadsheetml/2006/main" count="1417" uniqueCount="532">
  <si>
    <t>RQ1</t>
  </si>
  <si>
    <t>Are narrative titles enough or models benefit from an extended narrative description?</t>
  </si>
  <si>
    <t>ALL</t>
  </si>
  <si>
    <t>dipro</t>
  </si>
  <si>
    <t>calme</t>
  </si>
  <si>
    <t>gemma</t>
  </si>
  <si>
    <t>exaone</t>
  </si>
  <si>
    <t>granite</t>
  </si>
  <si>
    <t>Number of models better than no_no</t>
  </si>
  <si>
    <t>no_no</t>
  </si>
  <si>
    <t>Number of models worse than no_no</t>
  </si>
  <si>
    <t>original_original</t>
  </si>
  <si>
    <t>Percentage of better models</t>
  </si>
  <si>
    <t>delta_original</t>
  </si>
  <si>
    <t>Percentage of worst models</t>
  </si>
  <si>
    <t>own_title</t>
  </si>
  <si>
    <t>ONLY original_original</t>
  </si>
  <si>
    <t>delta_own_title</t>
  </si>
  <si>
    <t>gpt_title</t>
  </si>
  <si>
    <t>delta_gpt_title</t>
  </si>
  <si>
    <t>own_description</t>
  </si>
  <si>
    <t>delta_own_description</t>
  </si>
  <si>
    <t>gpt_description</t>
  </si>
  <si>
    <t>Enhanced Desc Only</t>
  </si>
  <si>
    <t>delta_gpt_description</t>
  </si>
  <si>
    <t>own_description_complete</t>
  </si>
  <si>
    <t>delta_own_description_comp</t>
  </si>
  <si>
    <t>gpt_description_complete</t>
  </si>
  <si>
    <t>delta_gpt_description_comp</t>
  </si>
  <si>
    <t>3_steps</t>
  </si>
  <si>
    <t>only_title</t>
  </si>
  <si>
    <t>gpt_only_title</t>
  </si>
  <si>
    <t>title_description</t>
  </si>
  <si>
    <t>gpt_title_description</t>
  </si>
  <si>
    <t>title_description_complete</t>
  </si>
  <si>
    <t>gpt_title_description_complete</t>
  </si>
  <si>
    <t>hybrid</t>
  </si>
  <si>
    <t>all_in_one</t>
  </si>
  <si>
    <t>RQ2</t>
  </si>
  <si>
    <t>Is it better to use the original human defined descriptions of narratives or ask the models to rewrite / improve / extend them?</t>
  </si>
  <si>
    <t>Number of models better than original_original</t>
  </si>
  <si>
    <t>Number of models worse than original_original</t>
  </si>
  <si>
    <t>AVG F1</t>
  </si>
  <si>
    <t>STD F1</t>
  </si>
  <si>
    <t>RQ3</t>
  </si>
  <si>
    <t>Is it better to use self-description or a more powerful model description, such as GPT?</t>
  </si>
  <si>
    <t>delta_title</t>
  </si>
  <si>
    <t>delta_desc</t>
  </si>
  <si>
    <t>delta_compl</t>
  </si>
  <si>
    <t>3_steps_narr</t>
  </si>
  <si>
    <t>3_steps_subnarr</t>
  </si>
  <si>
    <t>delta_description</t>
  </si>
  <si>
    <t>delta_complete</t>
  </si>
  <si>
    <t>hybrid_narr</t>
  </si>
  <si>
    <t>hybrid_subnarr</t>
  </si>
  <si>
    <t>all_in_1_narr</t>
  </si>
  <si>
    <t>all_in_1_subnarr</t>
  </si>
  <si>
    <t>RQ5</t>
  </si>
  <si>
    <t>How effective are ensemble strategies in improving the robustness and accuracy of zero-shot narrative detection?</t>
  </si>
  <si>
    <t>Ensembles of all models with the best approach vs. averages Ensembles by model and approach</t>
  </si>
  <si>
    <t>DIPRO</t>
  </si>
  <si>
    <t>es</t>
  </si>
  <si>
    <t>en</t>
  </si>
  <si>
    <t>AVG_all_models</t>
  </si>
  <si>
    <t>all_models</t>
  </si>
  <si>
    <t>AVG_except_granite</t>
  </si>
  <si>
    <t>except_granite</t>
  </si>
  <si>
    <t>majority</t>
  </si>
  <si>
    <t>inclusion</t>
  </si>
  <si>
    <t>all_models_s</t>
  </si>
  <si>
    <t>f1_coarse</t>
  </si>
  <si>
    <t>f1_fine</t>
  </si>
  <si>
    <t>delta f1_coarse</t>
  </si>
  <si>
    <t>delta f1_fine</t>
  </si>
  <si>
    <t>Total mejores al AVG</t>
  </si>
  <si>
    <t>All</t>
  </si>
  <si>
    <t>All  except granite</t>
  </si>
  <si>
    <t>Media narrativas</t>
  </si>
  <si>
    <t>Inclusion</t>
  </si>
  <si>
    <t>Media subnarrativas</t>
  </si>
  <si>
    <t>maority</t>
  </si>
  <si>
    <t>System</t>
  </si>
  <si>
    <t>Meter max y min por model</t>
  </si>
  <si>
    <t>delta_majority</t>
  </si>
  <si>
    <t>delta_inclusion</t>
  </si>
  <si>
    <t>All in One</t>
  </si>
  <si>
    <t>Hybrid</t>
  </si>
  <si>
    <t>3 steps</t>
  </si>
  <si>
    <t>calme_no_no</t>
  </si>
  <si>
    <t>calme_original_original</t>
  </si>
  <si>
    <t>calme_only_title</t>
  </si>
  <si>
    <t>calme_title_description</t>
  </si>
  <si>
    <t>calme_title_description_complete</t>
  </si>
  <si>
    <t>calme_gpt_only_title</t>
  </si>
  <si>
    <t>calme_gpt_title_description</t>
  </si>
  <si>
    <t>calme_gpt_title_description_complete</t>
  </si>
  <si>
    <t>gemma_no_no</t>
  </si>
  <si>
    <t>gemma_original_original</t>
  </si>
  <si>
    <t>gemma_only_title</t>
  </si>
  <si>
    <t>gemma_title_description</t>
  </si>
  <si>
    <t>gemma_title_description_complete</t>
  </si>
  <si>
    <t>gemma_gpt_only_title</t>
  </si>
  <si>
    <t>gemma_gpt_title_description</t>
  </si>
  <si>
    <t>gemma_gpt_title_description_complete</t>
  </si>
  <si>
    <t>exaone_no_no</t>
  </si>
  <si>
    <t>exaone_original_original</t>
  </si>
  <si>
    <t>exaone_only_title</t>
  </si>
  <si>
    <t>exaone_title_description</t>
  </si>
  <si>
    <t>exaone_title_description_complete</t>
  </si>
  <si>
    <t>exaone_gpt_only_title</t>
  </si>
  <si>
    <t>exaone_gpt_title_description</t>
  </si>
  <si>
    <t>exaone_gpt_title_description_complete</t>
  </si>
  <si>
    <t>granite_no_no</t>
  </si>
  <si>
    <t>granite_original_original</t>
  </si>
  <si>
    <t>granite_only_title</t>
  </si>
  <si>
    <t>granite_title_description</t>
  </si>
  <si>
    <t>granite_title_description_complete</t>
  </si>
  <si>
    <t>granite_gpt_only_title</t>
  </si>
  <si>
    <t>granite_gpt_title_description</t>
  </si>
  <si>
    <t>granite_gpt_title_description_complete</t>
  </si>
  <si>
    <t>delta_majority_all_in_one</t>
  </si>
  <si>
    <t>delta_inclusion_all_in_one</t>
  </si>
  <si>
    <t>delta_majority_hybrid</t>
  </si>
  <si>
    <t>delta_inclusion_hybrid</t>
  </si>
  <si>
    <t>delta_majority_3_steps</t>
  </si>
  <si>
    <t>delta_inclusion_3_steps</t>
  </si>
  <si>
    <t>approach_name</t>
  </si>
  <si>
    <t>lang</t>
  </si>
  <si>
    <t>f1</t>
  </si>
  <si>
    <t>calme_zero_shot_calme_description</t>
  </si>
  <si>
    <t>calme_zero_shot_calme_description_complete</t>
  </si>
  <si>
    <t>calme_zero_shot_calme_description_complete_ensemble_inclusion</t>
  </si>
  <si>
    <t>calme_zero_shot_calme_description_complete_ensemble_majority</t>
  </si>
  <si>
    <t>calme_zero_shot_calme_description_ensemble_inclusion</t>
  </si>
  <si>
    <t>calme_zero_shot_calme_description_ensemble_majority</t>
  </si>
  <si>
    <t>calme_zero_shot_calme_only_title</t>
  </si>
  <si>
    <t>calme_zero_shot_calme_only_title_ensemble_inclusion</t>
  </si>
  <si>
    <t>calme_zero_shot_calme_only_title_ensemble_majority</t>
  </si>
  <si>
    <t>calme_zero_shot_gpt_description</t>
  </si>
  <si>
    <t>calme_zero_shot_gpt_description_complete</t>
  </si>
  <si>
    <t>calme_zero_shot_gpt_description_complete_ensemble_inclusion</t>
  </si>
  <si>
    <t>calme_zero_shot_gpt_description_complete_ensemble_majority</t>
  </si>
  <si>
    <t>calme_zero_shot_gpt_description_ensemble_inclusion</t>
  </si>
  <si>
    <t>calme_zero_shot_gpt_description_ensemble_majority</t>
  </si>
  <si>
    <t>calme_zero_shot_gpt_only_title</t>
  </si>
  <si>
    <t>calme_zero_shot_gpt_only_title_ensemble_inclusion</t>
  </si>
  <si>
    <t>calme_zero_shot_gpt_only_title_ensemble_majority</t>
  </si>
  <si>
    <t>calme_zero_shot_no_no</t>
  </si>
  <si>
    <t>calme_zero_shot_no_no_ensemble_inclusion</t>
  </si>
  <si>
    <t>calme_zero_shot_no_no_ensemble_majority</t>
  </si>
  <si>
    <t>calme_zero_shot_original_original</t>
  </si>
  <si>
    <t>calme_zero_shot_original_original_ensemble_inclusion</t>
  </si>
  <si>
    <t>calme_zero_shot_original_original_ensemble_majority</t>
  </si>
  <si>
    <t>exaone_zero_shot_exaone_description</t>
  </si>
  <si>
    <t>exaone_zero_shot_exaone_description_complete</t>
  </si>
  <si>
    <t>exaone_zero_shot_exaone_description_complete_ensemble_inclusion</t>
  </si>
  <si>
    <t>exaone_zero_shot_exaone_description_complete_ensemble_majority</t>
  </si>
  <si>
    <t>exaone_zero_shot_exaone_description_ensemble_inclusion</t>
  </si>
  <si>
    <t>exaone_zero_shot_exaone_description_ensemble_majority</t>
  </si>
  <si>
    <t>exaone_zero_shot_exaone_only_title</t>
  </si>
  <si>
    <t>exaone_zero_shot_exaone_only_title_ensemble_inclusion</t>
  </si>
  <si>
    <t>exaone_zero_shot_exaone_only_title_ensemble_majority</t>
  </si>
  <si>
    <t>exaone_zero_shot_gpt_description</t>
  </si>
  <si>
    <t>exaone_zero_shot_gpt_description_complete</t>
  </si>
  <si>
    <t>exaone_zero_shot_gpt_description_complete_ensemble_inclusion</t>
  </si>
  <si>
    <t>exaone_zero_shot_gpt_description_complete_ensemble_majority</t>
  </si>
  <si>
    <t>exaone_zero_shot_gpt_description_ensemble_inclusion</t>
  </si>
  <si>
    <t>exaone_zero_shot_gpt_description_ensemble_majority</t>
  </si>
  <si>
    <t>exaone_zero_shot_gpt_only_title</t>
  </si>
  <si>
    <t>exaone_zero_shot_gpt_only_title_ensemble_inclusion</t>
  </si>
  <si>
    <t>exaone_zero_shot_gpt_only_title_ensemble_majority</t>
  </si>
  <si>
    <t>exaone_zero_shot_no_no</t>
  </si>
  <si>
    <t>exaone_zero_shot_no_no_ensemble_inclusion</t>
  </si>
  <si>
    <t>exaone_zero_shot_no_no_ensemble_majority</t>
  </si>
  <si>
    <t>exaone_zero_shot_original_original</t>
  </si>
  <si>
    <t>exaone_zero_shot_original_original_ensemble_inclusion</t>
  </si>
  <si>
    <t>exaone_zero_shot_original_original_ensemble_majority</t>
  </si>
  <si>
    <t>gemma_zero_shot_gemma_description</t>
  </si>
  <si>
    <t>gemma_zero_shot_gemma_description_complete</t>
  </si>
  <si>
    <t>gemma_zero_shot_gemma_description_complete_ensemble_inclusion</t>
  </si>
  <si>
    <t>gemma_zero_shot_gemma_description_complete_ensemble_majority</t>
  </si>
  <si>
    <t>gemma_zero_shot_gemma_description_ensemble_inclusion</t>
  </si>
  <si>
    <t>gemma_zero_shot_gemma_description_ensemble_majority</t>
  </si>
  <si>
    <t>gemma_zero_shot_gemma_only_title</t>
  </si>
  <si>
    <t>gemma_zero_shot_gemma_only_title_ensemble_inclusion</t>
  </si>
  <si>
    <t>gemma_zero_shot_gemma_only_title_ensemble_majority</t>
  </si>
  <si>
    <t>gemma_zero_shot_gpt_description</t>
  </si>
  <si>
    <t>gemma_zero_shot_gpt_description_complete</t>
  </si>
  <si>
    <t>gemma_zero_shot_gpt_description_complete_ensemble_inclusion</t>
  </si>
  <si>
    <t>gemma_zero_shot_gpt_description_complete_ensemble_majority</t>
  </si>
  <si>
    <t>gemma_zero_shot_gpt_description_ensemble_inclusion</t>
  </si>
  <si>
    <t>gemma_zero_shot_gpt_description_ensemble_majority</t>
  </si>
  <si>
    <t>gemma_zero_shot_gpt_only_title</t>
  </si>
  <si>
    <t>gemma_zero_shot_gpt_only_title_ensemble_inclusion</t>
  </si>
  <si>
    <t>gemma_zero_shot_gpt_only_title_ensemble_majority</t>
  </si>
  <si>
    <t>gemma_zero_shot_no_no</t>
  </si>
  <si>
    <t>gemma_zero_shot_no_no_ensemble_inclusion</t>
  </si>
  <si>
    <t>gemma_zero_shot_no_no_ensemble_majority</t>
  </si>
  <si>
    <t>gemma_zero_shot_original_original</t>
  </si>
  <si>
    <t>gemma_zero_shot_original_original_ensemble_inclusion</t>
  </si>
  <si>
    <t>gemma_zero_shot_original_original_ensemble_majority</t>
  </si>
  <si>
    <t>granite_zero_shot_gpt_description</t>
  </si>
  <si>
    <t>granite_zero_shot_gpt_description_complete</t>
  </si>
  <si>
    <t>granite_zero_shot_gpt_description_complete_ensemble_inclusion</t>
  </si>
  <si>
    <t>granite_zero_shot_gpt_description_complete_ensemble_majority</t>
  </si>
  <si>
    <t>granite_zero_shot_gpt_description_ensemble_inclusion</t>
  </si>
  <si>
    <t>granite_zero_shot_gpt_description_ensemble_majority</t>
  </si>
  <si>
    <t>granite_zero_shot_gpt_only_title</t>
  </si>
  <si>
    <t>granite_zero_shot_gpt_only_title_ensemble_inclusion</t>
  </si>
  <si>
    <t>granite_zero_shot_gpt_only_title_ensemble_majority</t>
  </si>
  <si>
    <t>granite_zero_shot_granite_description</t>
  </si>
  <si>
    <t>granite_zero_shot_granite_description_complete</t>
  </si>
  <si>
    <t>granite_zero_shot_granite_description_complete_ensemble_inclusion</t>
  </si>
  <si>
    <t>granite_zero_shot_granite_description_complete_ensemble_majority</t>
  </si>
  <si>
    <t>granite_zero_shot_granite_description_ensemble_inclusion</t>
  </si>
  <si>
    <t>granite_zero_shot_granite_description_ensemble_majority</t>
  </si>
  <si>
    <t>granite_zero_shot_granite_only_title</t>
  </si>
  <si>
    <t>granite_zero_shot_granite_only_title_ensemble_inclusion</t>
  </si>
  <si>
    <t>granite_zero_shot_granite_only_title_ensemble_majority</t>
  </si>
  <si>
    <t>granite_zero_shot_no_no</t>
  </si>
  <si>
    <t>granite_zero_shot_no_no_ensemble_inclusion</t>
  </si>
  <si>
    <t>granite_zero_shot_no_no_ensemble_majority</t>
  </si>
  <si>
    <t>granite_zero_shot_original_original</t>
  </si>
  <si>
    <t>granite_zero_shot_original_original_ensemble_inclusion</t>
  </si>
  <si>
    <t>granite_zero_shot_original_original_ensemble_majority</t>
  </si>
  <si>
    <t>dipro_inclusion_ensemble_no_no_all_models</t>
  </si>
  <si>
    <t>dipro_majority_ensemble_no_no_all_models</t>
  </si>
  <si>
    <t>dipro_inclusion_ensemble_no_no_except_granite</t>
  </si>
  <si>
    <t>dipro_majority_ensemble_no_no_except_granite</t>
  </si>
  <si>
    <t>dipro_inclusion_ensemble_original_original_all_models</t>
  </si>
  <si>
    <t>dipro_majority_ensemble_original_original_all_models</t>
  </si>
  <si>
    <t>dipro_inclusion_ensemble_original_original_except_granite</t>
  </si>
  <si>
    <t>dipro_majority_ensemble_original_original_except_granite</t>
  </si>
  <si>
    <t>test_set_EN_inclusion_ensemble_all_in_one_no_no_all_models_except_granite_submission.txt</t>
  </si>
  <si>
    <t>test_set_EN_inclusion_ensemble_all_in_one_no_no_all_models_submission.txt</t>
  </si>
  <si>
    <t>test_set_EN_inclusion_ensemble_all_in_one_original_original_all_models_except_granite_submission.txt</t>
  </si>
  <si>
    <t>test_set_EN_inclusion_ensemble_all_in_one_original_original_all_models_submission.txt</t>
  </si>
  <si>
    <t>test_set_EN_majority_ensemble_all_in_one_no_no_all_models_except_granite_submission.txt</t>
  </si>
  <si>
    <t>test_set_EN_majority_ensemble_all_in_one_no_no_all_models_submission.txt</t>
  </si>
  <si>
    <t>test_set_EN_majority_ensemble_all_in_one_original_original_all_models_except_granite_submission.txt</t>
  </si>
  <si>
    <t>test_set_EN_majority_ensemble_all_in_one_original_original_all_models_submission.txt</t>
  </si>
  <si>
    <t>test_set_EN_inclusion_ensemble_3_steps_no_no_all_models_except_granite_submission.txt</t>
  </si>
  <si>
    <t>test_set_EN_inclusion_ensemble_3_steps_no_no_all_models_submission.txt</t>
  </si>
  <si>
    <t>test_set_EN_inclusion_ensemble_3_steps_original_original_all_models_except_granite_submission.txt</t>
  </si>
  <si>
    <t>test_set_EN_inclusion_ensemble_3_steps_original_original_all_models_submission.txt</t>
  </si>
  <si>
    <t>test_set_EN_majority_ensemble_3_steps_no_no_all_models_except_granite_submission.txt</t>
  </si>
  <si>
    <t>test_set_EN_majority_ensemble_3_steps_no_no_all_models_submission.txt</t>
  </si>
  <si>
    <t>test_set_EN_majority_ensemble_3_steps_original_original_all_models_except_granite_submission.txt</t>
  </si>
  <si>
    <t>test_set_EN_majority_ensemble_3_steps_original_original_all_models_submission.txt</t>
  </si>
  <si>
    <t>test_set_EN_inclusion_ensemble_hybrid_no_no_all_models_except_granite_submission.txt</t>
  </si>
  <si>
    <t>test_set_EN_inclusion_ensemble_hybrid_no_no_all_models_submission.txt</t>
  </si>
  <si>
    <t>test_set_EN_inclusion_ensemble_hybrid_original_original_all_models_except_granite_submission.txt</t>
  </si>
  <si>
    <t>test_set_EN_inclusion_ensemble_hybrid_original_original_all_models_submission.txt</t>
  </si>
  <si>
    <t>test_set_EN_majority_ensemble_hybrid_no_no_all_models_except_granite_submission.txt</t>
  </si>
  <si>
    <t>test_set_EN_majority_ensemble_hybrid_no_no_all_models_submission.txt</t>
  </si>
  <si>
    <t>test_set_EN_majority_ensemble_hybrid_original_original_all_models_except_granite_submission.txt</t>
  </si>
  <si>
    <t>test_set_EN_majority_ensemble_hybrid_original_original_all_models_submission.txt</t>
  </si>
  <si>
    <t>f1_coarse_mean</t>
  </si>
  <si>
    <t>f1_coarse_std</t>
  </si>
  <si>
    <t>std_coarse_mean</t>
  </si>
  <si>
    <t>std_coarse_std</t>
  </si>
  <si>
    <t>f1_fine_mean</t>
  </si>
  <si>
    <t>f1_fine_std</t>
  </si>
  <si>
    <t>std_fine_mean</t>
  </si>
  <si>
    <t>std_fine_std</t>
  </si>
  <si>
    <t>test_set_EN_calme_zero_shot_calme_only_title_3_steps</t>
  </si>
  <si>
    <t>test_set_EN_calme_zero_shot_calme_only_title_3_steps_inclusion_ensemble_submission.txt</t>
  </si>
  <si>
    <t>test_set_EN_calme_zero_shot_calme_only_title_3_steps_majority_ensemble_submission.txt</t>
  </si>
  <si>
    <t>test_set_EN_calme_zero_shot_calme_title_description_3_steps</t>
  </si>
  <si>
    <t>test_set_EN_calme_zero_shot_calme_title_description_3_steps_inclusion_ensemble_submission.txt</t>
  </si>
  <si>
    <t>test_set_EN_calme_zero_shot_calme_title_description_3_steps_majority_ensemble_submission.txt</t>
  </si>
  <si>
    <t>test_set_EN_calme_zero_shot_calme_title_description_complete_3_steps</t>
  </si>
  <si>
    <t>test_set_EN_calme_zero_shot_calme_title_description_complete_3_steps_inclusion_ensemble_submission.txt</t>
  </si>
  <si>
    <t>test_set_EN_calme_zero_shot_calme_title_description_complete_3_steps_majority_ensemble_submission.txt</t>
  </si>
  <si>
    <t>test_set_EN_calme_zero_shot_gpt_only_title_3_steps</t>
  </si>
  <si>
    <t>test_set_EN_calme_zero_shot_gpt_only_title_3_steps_inclusion_ensemble_submission.txt</t>
  </si>
  <si>
    <t>test_set_EN_calme_zero_shot_gpt_only_title_3_steps_majority_ensemble_submission.txt</t>
  </si>
  <si>
    <t>test_set_EN_calme_zero_shot_gpt_title_description_3_steps</t>
  </si>
  <si>
    <t>test_set_EN_calme_zero_shot_gpt_title_description_3_steps_inclusion_ensemble_submission.txt</t>
  </si>
  <si>
    <t>test_set_EN_calme_zero_shot_gpt_title_description_3_steps_majority_ensemble_submission.txt</t>
  </si>
  <si>
    <t>test_set_EN_calme_zero_shot_gpt_title_description_complete_3_steps</t>
  </si>
  <si>
    <t>test_set_EN_calme_zero_shot_gpt_title_description_complete_3_steps_inclusion_ensemble_submission.txt</t>
  </si>
  <si>
    <t>test_set_EN_calme_zero_shot_gpt_title_description_complete_3_steps_majority_ensemble_submission.txt</t>
  </si>
  <si>
    <t>test_set_EN_calme_zero_shot_no_no_3_steps</t>
  </si>
  <si>
    <t>test_set_EN_calme_zero_shot_no_no_3_steps_inclusion_ensemble_submission.txt</t>
  </si>
  <si>
    <t>test_set_EN_calme_zero_shot_no_no_3_steps_majority_ensemble_submission.txt</t>
  </si>
  <si>
    <t>test_set_EN_calme_zero_shot_original_original_3_steps</t>
  </si>
  <si>
    <t>test_set_EN_calme_zero_shot_original_original_3_steps_inclusion_ensemble_submission.txt</t>
  </si>
  <si>
    <t>test_set_EN_calme_zero_shot_original_original_3_steps_majority_ensemble_submission.txt</t>
  </si>
  <si>
    <t>test_set_EN_exaone_zero_shot_exaone_only_title_3_steps</t>
  </si>
  <si>
    <t>test_set_EN_exaone_zero_shot_exaone_only_title_3_steps_inclusion_ensemble_submission.txt</t>
  </si>
  <si>
    <t>test_set_EN_exaone_zero_shot_exaone_only_title_3_steps_majority_ensemble_submission.txt</t>
  </si>
  <si>
    <t>test_set_EN_exaone_zero_shot_exaone_title_description_3_steps</t>
  </si>
  <si>
    <t>test_set_EN_exaone_zero_shot_exaone_title_description_3_steps_inclusion_ensemble_submission.txt</t>
  </si>
  <si>
    <t>test_set_EN_exaone_zero_shot_exaone_title_description_3_steps_majority_ensemble_submission.txt</t>
  </si>
  <si>
    <t>test_set_EN_exaone_zero_shot_exaone_title_description_complete_3_steps</t>
  </si>
  <si>
    <t>test_set_EN_exaone_zero_shot_exaone_title_description_complete_3_steps_inclusion_ensemble_submission.txt</t>
  </si>
  <si>
    <t>test_set_EN_exaone_zero_shot_exaone_title_description_complete_3_steps_majority_ensemble_submission.txt</t>
  </si>
  <si>
    <t>test_set_EN_exaone_zero_shot_gpt_only_title_3_steps</t>
  </si>
  <si>
    <t>test_set_EN_exaone_zero_shot_gpt_only_title_3_steps_inclusion_ensemble_submission.txt</t>
  </si>
  <si>
    <t>test_set_EN_exaone_zero_shot_gpt_only_title_3_steps_majority_ensemble_submission.txt</t>
  </si>
  <si>
    <t>test_set_EN_exaone_zero_shot_gpt_title_description_3_steps</t>
  </si>
  <si>
    <t>test_set_EN_exaone_zero_shot_gpt_title_description_3_steps_inclusion_ensemble_submission.txt</t>
  </si>
  <si>
    <t>test_set_EN_exaone_zero_shot_gpt_title_description_3_steps_majority_ensemble_submission.txt</t>
  </si>
  <si>
    <t>test_set_EN_exaone_zero_shot_gpt_title_description_complete_3_steps</t>
  </si>
  <si>
    <t>test_set_EN_exaone_zero_shot_gpt_title_description_complete_3_steps_inclusion_ensemble_submission.txt</t>
  </si>
  <si>
    <t>test_set_EN_exaone_zero_shot_gpt_title_description_complete_3_steps_majority_ensemble_submission.txt</t>
  </si>
  <si>
    <t>test_set_EN_exaone_zero_shot_no_no_3_steps</t>
  </si>
  <si>
    <t>test_set_EN_exaone_zero_shot_no_no_3_steps_inclusion_ensemble_submission.txt</t>
  </si>
  <si>
    <t>test_set_EN_exaone_zero_shot_no_no_3_steps_majority_ensemble_submission.txt</t>
  </si>
  <si>
    <t>test_set_EN_exaone_zero_shot_original_original_3_steps</t>
  </si>
  <si>
    <t>test_set_EN_exaone_zero_shot_original_original_3_steps_inclusion_ensemble_submission.txt</t>
  </si>
  <si>
    <t>test_set_EN_exaone_zero_shot_original_original_3_steps_majority_ensemble_submission.txt</t>
  </si>
  <si>
    <t>test_set_EN_gemma_zero_shot_gemma_only_title_3_steps</t>
  </si>
  <si>
    <t>test_set_EN_gemma_zero_shot_gemma_only_title_3_steps_inclusion_ensemble_submission.txt</t>
  </si>
  <si>
    <t>test_set_EN_gemma_zero_shot_gemma_only_title_3_steps_majority_ensemble_submission.txt</t>
  </si>
  <si>
    <t>test_set_EN_gemma_zero_shot_gemma_title_description_3_steps</t>
  </si>
  <si>
    <t>test_set_EN_gemma_zero_shot_gemma_title_description_3_steps_inclusion_ensemble_submission.txt</t>
  </si>
  <si>
    <t>test_set_EN_gemma_zero_shot_gemma_title_description_3_steps_majority_ensemble_submission.txt</t>
  </si>
  <si>
    <t>test_set_EN_gemma_zero_shot_gemma_title_description_complete_3_steps</t>
  </si>
  <si>
    <t>test_set_EN_gemma_zero_shot_gemma_title_description_complete_3_steps_inclusion_ensemble_submission.txt</t>
  </si>
  <si>
    <t>test_set_EN_gemma_zero_shot_gemma_title_description_complete_3_steps_majority_ensemble_submission.txt</t>
  </si>
  <si>
    <t>test_set_EN_gemma_zero_shot_gpt_only_title_3_steps</t>
  </si>
  <si>
    <t>test_set_EN_gemma_zero_shot_gpt_only_title_3_steps_inclusion_ensemble_submission.txt</t>
  </si>
  <si>
    <t>test_set_EN_gemma_zero_shot_gpt_only_title_3_steps_majority_ensemble_submission.txt</t>
  </si>
  <si>
    <t>test_set_EN_gemma_zero_shot_gpt_title_description_3_steps</t>
  </si>
  <si>
    <t>test_set_EN_gemma_zero_shot_gpt_title_description_3_steps_inclusion_ensemble_submission.txt</t>
  </si>
  <si>
    <t>test_set_EN_gemma_zero_shot_gpt_title_description_3_steps_majority_ensemble_submission.txt</t>
  </si>
  <si>
    <t>test_set_EN_gemma_zero_shot_gpt_title_description_complete_3_steps</t>
  </si>
  <si>
    <t>test_set_EN_gemma_zero_shot_gpt_title_description_complete_3_steps_inclusion_ensemble_submission.txt</t>
  </si>
  <si>
    <t>test_set_EN_gemma_zero_shot_gpt_title_description_complete_3_steps_majority_ensemble_submission.txt</t>
  </si>
  <si>
    <t>test_set_EN_gemma_zero_shot_no_no_3_steps</t>
  </si>
  <si>
    <t>test_set_EN_gemma_zero_shot_no_no_3_steps_inclusion_ensemble_submission.txt</t>
  </si>
  <si>
    <t>test_set_EN_gemma_zero_shot_no_no_3_steps_majority_ensemble_submission.txt</t>
  </si>
  <si>
    <t>test_set_EN_gemma_zero_shot_original_original_3_steps</t>
  </si>
  <si>
    <t>test_set_EN_gemma_zero_shot_original_original_3_steps_inclusion_ensemble_submission.txt</t>
  </si>
  <si>
    <t>test_set_EN_gemma_zero_shot_original_original_3_steps_majority_ensemble_submission.txt</t>
  </si>
  <si>
    <t>test_set_EN_granite_zero_shot_gpt_only_title_3_steps</t>
  </si>
  <si>
    <t>test_set_EN_granite_zero_shot_gpt_only_title_3_steps_inclusion_ensemble_submission.txt</t>
  </si>
  <si>
    <t>test_set_EN_granite_zero_shot_gpt_only_title_3_steps_majority_ensemble_submission.txt</t>
  </si>
  <si>
    <t>test_set_EN_granite_zero_shot_gpt_title_description_3_steps</t>
  </si>
  <si>
    <t>test_set_EN_granite_zero_shot_gpt_title_description_3_steps_inclusion_ensemble_submission.txt</t>
  </si>
  <si>
    <t>test_set_EN_granite_zero_shot_gpt_title_description_3_steps_majority_ensemble_submission.txt</t>
  </si>
  <si>
    <t>test_set_EN_granite_zero_shot_gpt_title_description_complete_3_steps</t>
  </si>
  <si>
    <t>test_set_EN_granite_zero_shot_gpt_title_description_complete_3_steps_inclusion_ensemble_submission.txt</t>
  </si>
  <si>
    <t>test_set_EN_granite_zero_shot_gpt_title_description_complete_3_steps_majority_ensemble_submission.txt</t>
  </si>
  <si>
    <t>test_set_EN_granite_zero_shot_granite_only_title_3_steps</t>
  </si>
  <si>
    <t>test_set_EN_granite_zero_shot_granite_only_title_3_steps_inclusion_ensemble_submission.txt</t>
  </si>
  <si>
    <t>test_set_EN_granite_zero_shot_granite_only_title_3_steps_majority_ensemble_submission.txt</t>
  </si>
  <si>
    <t>test_set_EN_granite_zero_shot_granite_title_description_3_steps</t>
  </si>
  <si>
    <t>test_set_EN_granite_zero_shot_granite_title_description_3_steps_inclusion_ensemble_submission.txt</t>
  </si>
  <si>
    <t>test_set_EN_granite_zero_shot_granite_title_description_3_steps_majority_ensemble_submission.txt</t>
  </si>
  <si>
    <t>test_set_EN_granite_zero_shot_granite_title_description_complete_3_steps</t>
  </si>
  <si>
    <t>test_set_EN_granite_zero_shot_granite_title_description_complete_3_steps_inclusion_ensemble_submission.txt</t>
  </si>
  <si>
    <t>test_set_EN_granite_zero_shot_granite_title_description_complete_3_steps_majority_ensemble_submission.txt</t>
  </si>
  <si>
    <t>test_set_EN_granite_zero_shot_no_no_3_steps</t>
  </si>
  <si>
    <t>test_set_EN_granite_zero_shot_no_no_3_steps_inclusion_ensemble_submission.txt</t>
  </si>
  <si>
    <t>test_set_EN_granite_zero_shot_no_no_3_steps_majority_ensemble_submission.txt</t>
  </si>
  <si>
    <t>test_set_EN_granite_zero_shot_original_original_3_steps</t>
  </si>
  <si>
    <t>test_set_EN_granite_zero_shot_original_original_3_steps_inclusion_ensemble_submission.txt</t>
  </si>
  <si>
    <t>test_set_EN_granite_zero_shot_original_original_3_steps_majority_ensemble_submission.txt</t>
  </si>
  <si>
    <t>test_set_EN_calme_zero_shot_calme_only_title_hybrid</t>
  </si>
  <si>
    <t>test_set_EN_calme_zero_shot_calme_only_title_hybrid_inclusion_ensemble_submission.txt</t>
  </si>
  <si>
    <t>test_set_EN_calme_zero_shot_calme_only_title_hybrid_majority_ensemble_submission.txt</t>
  </si>
  <si>
    <t>test_set_EN_calme_zero_shot_calme_title_description_complete_hybrid</t>
  </si>
  <si>
    <t>test_set_EN_calme_zero_shot_calme_title_description_complete_hybrid_inclusion_ensemble_submission.txt</t>
  </si>
  <si>
    <t>test_set_EN_calme_zero_shot_calme_title_description_complete_hybrid_majority_ensemble_submission.txt</t>
  </si>
  <si>
    <t>test_set_EN_calme_zero_shot_calme_title_description_hybrid</t>
  </si>
  <si>
    <t>test_set_EN_calme_zero_shot_calme_title_description_hybrid_inclusion_ensemble_submission.txt</t>
  </si>
  <si>
    <t>test_set_EN_calme_zero_shot_calme_title_description_hybrid_majority_ensemble_submission.txt</t>
  </si>
  <si>
    <t>test_set_EN_calme_zero_shot_gpt_only_title_hybrid</t>
  </si>
  <si>
    <t>test_set_EN_calme_zero_shot_gpt_only_title_hybrid_inclusion_ensemble_submission.txt</t>
  </si>
  <si>
    <t>test_set_EN_calme_zero_shot_gpt_only_title_hybrid_majority_ensemble_submission.txt</t>
  </si>
  <si>
    <t>test_set_EN_calme_zero_shot_gpt_title_description_complete_hybrid</t>
  </si>
  <si>
    <t>test_set_EN_calme_zero_shot_gpt_title_description_complete_hybrid_inclusion_ensemble_submission.txt</t>
  </si>
  <si>
    <t>test_set_EN_calme_zero_shot_gpt_title_description_complete_hybrid_majority_ensemble_submission.txt</t>
  </si>
  <si>
    <t>test_set_EN_calme_zero_shot_gpt_title_description_hybrid</t>
  </si>
  <si>
    <t>test_set_EN_calme_zero_shot_gpt_title_description_hybrid_inclusion_ensemble_submission.txt</t>
  </si>
  <si>
    <t>test_set_EN_calme_zero_shot_gpt_title_description_hybrid_majority_ensemble_submission.txt</t>
  </si>
  <si>
    <t>test_set_EN_calme_zero_shot_no_no_hybrid</t>
  </si>
  <si>
    <t>test_set_EN_calme_zero_shot_no_no_hybrid_inclusion_ensemble_submission.txt</t>
  </si>
  <si>
    <t>test_set_EN_calme_zero_shot_no_no_hybrid_majority_ensemble_submission.txt</t>
  </si>
  <si>
    <t>test_set_EN_calme_zero_shot_original_original_hybrid</t>
  </si>
  <si>
    <t>test_set_EN_calme_zero_shot_original_original_hybrid_inclusion_ensemble_submission.txt</t>
  </si>
  <si>
    <t>test_set_EN_calme_zero_shot_original_original_hybrid_majority_ensemble_submission.txt</t>
  </si>
  <si>
    <t>test_set_EN_exaone_zero_shot_exaone_only_title_hybrid</t>
  </si>
  <si>
    <t>test_set_EN_exaone_zero_shot_exaone_only_title_hybrid_inclusion_ensemble_submission.txt</t>
  </si>
  <si>
    <t>test_set_EN_exaone_zero_shot_exaone_only_title_hybrid_majority_ensemble_submission.txt</t>
  </si>
  <si>
    <t>test_set_EN_exaone_zero_shot_exaone_title_description_complete_hybrid</t>
  </si>
  <si>
    <t>test_set_EN_exaone_zero_shot_exaone_title_description_complete_hybrid_inclusion_ensemble_submission.txt</t>
  </si>
  <si>
    <t>test_set_EN_exaone_zero_shot_exaone_title_description_complete_hybrid_majority_ensemble_submission.txt</t>
  </si>
  <si>
    <t>test_set_EN_exaone_zero_shot_exaone_title_description_hybrid</t>
  </si>
  <si>
    <t>test_set_EN_exaone_zero_shot_exaone_title_description_hybrid_inclusion_ensemble_submission.txt</t>
  </si>
  <si>
    <t>test_set_EN_exaone_zero_shot_exaone_title_description_hybrid_majority_ensemble_submission.txt</t>
  </si>
  <si>
    <t>test_set_EN_exaone_zero_shot_gpt_only_title_hybrid</t>
  </si>
  <si>
    <t>test_set_EN_exaone_zero_shot_gpt_only_title_hybrid_inclusion_ensemble_submission.txt</t>
  </si>
  <si>
    <t>test_set_EN_exaone_zero_shot_gpt_only_title_hybrid_majority_ensemble_submission.txt</t>
  </si>
  <si>
    <t>test_set_EN_exaone_zero_shot_gpt_title_description_complete_hybrid</t>
  </si>
  <si>
    <t>test_set_EN_exaone_zero_shot_gpt_title_description_complete_hybrid_inclusion_ensemble_submission.txt</t>
  </si>
  <si>
    <t>test_set_EN_exaone_zero_shot_gpt_title_description_complete_hybrid_majority_ensemble_submission.txt</t>
  </si>
  <si>
    <t>test_set_EN_exaone_zero_shot_gpt_title_description_hybrid</t>
  </si>
  <si>
    <t>test_set_EN_exaone_zero_shot_gpt_title_description_hybrid_inclusion_ensemble_submission.txt</t>
  </si>
  <si>
    <t>test_set_EN_exaone_zero_shot_gpt_title_description_hybrid_majority_ensemble_submission.txt</t>
  </si>
  <si>
    <t>test_set_EN_exaone_zero_shot_no_no_hybrid</t>
  </si>
  <si>
    <t>test_set_EN_exaone_zero_shot_no_no_hybrid_inclusion_ensemble_submission.txt</t>
  </si>
  <si>
    <t>test_set_EN_exaone_zero_shot_no_no_hybrid_majority_ensemble_submission.txt</t>
  </si>
  <si>
    <t>test_set_EN_exaone_zero_shot_original_original_hybrid</t>
  </si>
  <si>
    <t>test_set_EN_exaone_zero_shot_original_original_hybrid_inclusion_ensemble_submission.txt</t>
  </si>
  <si>
    <t>test_set_EN_exaone_zero_shot_original_original_hybrid_majority_ensemble_submission.txt</t>
  </si>
  <si>
    <t>test_set_EN_gemma_zero_shot_gemma_only_title_hybrid</t>
  </si>
  <si>
    <t>test_set_EN_gemma_zero_shot_gemma_only_title_hybrid_inclusion_ensemble_submission.txt</t>
  </si>
  <si>
    <t>test_set_EN_gemma_zero_shot_gemma_only_title_hybrid_majority_ensemble_submission.txt</t>
  </si>
  <si>
    <t>test_set_EN_gemma_zero_shot_gemma_title_description_complete_hybrid</t>
  </si>
  <si>
    <t>test_set_EN_gemma_zero_shot_gemma_title_description_complete_hybrid_inclusion_ensemble_submission.txt</t>
  </si>
  <si>
    <t>test_set_EN_gemma_zero_shot_gemma_title_description_complete_hybrid_majority_ensemble_submission.txt</t>
  </si>
  <si>
    <t>test_set_EN_gemma_zero_shot_gemma_title_description_hybrid</t>
  </si>
  <si>
    <t>test_set_EN_gemma_zero_shot_gemma_title_description_hybrid_inclusion_ensemble_submission.txt</t>
  </si>
  <si>
    <t>test_set_EN_gemma_zero_shot_gemma_title_description_hybrid_majority_ensemble_submission.txt</t>
  </si>
  <si>
    <t>test_set_EN_gemma_zero_shot_gpt_only_title_hybrid</t>
  </si>
  <si>
    <t>test_set_EN_gemma_zero_shot_gpt_only_title_hybrid_inclusion_ensemble_submission.txt</t>
  </si>
  <si>
    <t>test_set_EN_gemma_zero_shot_gpt_only_title_hybrid_majority_ensemble_submission.txt</t>
  </si>
  <si>
    <t>test_set_EN_gemma_zero_shot_gpt_title_description_complete_hybrid</t>
  </si>
  <si>
    <t>test_set_EN_gemma_zero_shot_gpt_title_description_complete_hybrid_inclusion_ensemble_submission.txt</t>
  </si>
  <si>
    <t>test_set_EN_gemma_zero_shot_gpt_title_description_complete_hybrid_majority_ensemble_submission.txt</t>
  </si>
  <si>
    <t>test_set_EN_gemma_zero_shot_gpt_title_description_hybrid</t>
  </si>
  <si>
    <t>test_set_EN_gemma_zero_shot_gpt_title_description_hybrid_inclusion_ensemble_submission.txt</t>
  </si>
  <si>
    <t>test_set_EN_gemma_zero_shot_gpt_title_description_hybrid_majority_ensemble_submission.txt</t>
  </si>
  <si>
    <t>test_set_EN_gemma_zero_shot_no_no_hybrid</t>
  </si>
  <si>
    <t>test_set_EN_gemma_zero_shot_no_no_hybrid_inclusion_ensemble_submission.txt</t>
  </si>
  <si>
    <t>test_set_EN_gemma_zero_shot_no_no_hybrid_majority_ensemble_submission.txt</t>
  </si>
  <si>
    <t>test_set_EN_gemma_zero_shot_original_original_hybrid</t>
  </si>
  <si>
    <t>test_set_EN_gemma_zero_shot_original_original_hybrid_inclusion_ensemble_submission.txt</t>
  </si>
  <si>
    <t>test_set_EN_gemma_zero_shot_original_original_hybrid_majority_ensemble_submission.txt</t>
  </si>
  <si>
    <t>test_set_EN_granite_zero_shot_gpt_only_title_hybrid</t>
  </si>
  <si>
    <t>test_set_EN_granite_zero_shot_gpt_only_title_hybrid_inclusion_ensemble_submission.txt</t>
  </si>
  <si>
    <t>test_set_EN_granite_zero_shot_gpt_only_title_hybrid_majority_ensemble_submission.txt</t>
  </si>
  <si>
    <t>test_set_EN_granite_zero_shot_gpt_title_description_complete_hybrid</t>
  </si>
  <si>
    <t>test_set_EN_granite_zero_shot_gpt_title_description_complete_hybrid_inclusion_ensemble_submission.txt</t>
  </si>
  <si>
    <t>test_set_EN_granite_zero_shot_gpt_title_description_complete_hybrid_majority_ensemble_submission.txt</t>
  </si>
  <si>
    <t>test_set_EN_granite_zero_shot_gpt_title_description_hybrid</t>
  </si>
  <si>
    <t>test_set_EN_granite_zero_shot_gpt_title_description_hybrid_inclusion_ensemble_submission.txt</t>
  </si>
  <si>
    <t>test_set_EN_granite_zero_shot_gpt_title_description_hybrid_majority_ensemble_submission.txt</t>
  </si>
  <si>
    <t>test_set_EN_granite_zero_shot_granite_only_title_hybrid</t>
  </si>
  <si>
    <t>test_set_EN_granite_zero_shot_granite_only_title_hybrid_inclusion_ensemble_submission.txt</t>
  </si>
  <si>
    <t>test_set_EN_granite_zero_shot_granite_only_title_hybrid_majority_ensemble_submission.txt</t>
  </si>
  <si>
    <t>test_set_EN_granite_zero_shot_granite_title_description_complete_hybrid</t>
  </si>
  <si>
    <t>test_set_EN_granite_zero_shot_granite_title_description_complete_hybrid_inclusion_ensemble_submission.txt</t>
  </si>
  <si>
    <t>test_set_EN_granite_zero_shot_granite_title_description_complete_hybrid_majority_ensemble_submission.txt</t>
  </si>
  <si>
    <t>test_set_EN_granite_zero_shot_granite_title_description_hybrid</t>
  </si>
  <si>
    <t>test_set_EN_granite_zero_shot_granite_title_description_hybrid_inclusion_ensemble_submission.txt</t>
  </si>
  <si>
    <t>test_set_EN_granite_zero_shot_granite_title_description_hybrid_majority_ensemble_submission.txt</t>
  </si>
  <si>
    <t>test_set_EN_granite_zero_shot_no_no_hybrid</t>
  </si>
  <si>
    <t>test_set_EN_granite_zero_shot_no_no_hybrid_inclusion_ensemble_submission.txt</t>
  </si>
  <si>
    <t>test_set_EN_granite_zero_shot_no_no_hybrid_majority_ensemble_submission.txt</t>
  </si>
  <si>
    <t>test_set_EN_granite_zero_shot_original_original_hybrid</t>
  </si>
  <si>
    <t>test_set_EN_granite_zero_shot_original_original_hybrid_inclusion_ensemble_submission.txt</t>
  </si>
  <si>
    <t>test_set_EN_granite_zero_shot_original_original_hybrid_majority_ensemble_submission.txt</t>
  </si>
  <si>
    <t>test_set_EN_calme_zero_shot_calme_only_title_all_in_one</t>
  </si>
  <si>
    <t>test_set_EN_calme_zero_shot_calme_only_title_all_in_one_inclusion_ensemble_submission.txt</t>
  </si>
  <si>
    <t>test_set_EN_calme_zero_shot_calme_only_title_all_in_one_majority_ensemble_submission.txt</t>
  </si>
  <si>
    <t>test_set_EN_calme_zero_shot_gpt_only_title_all_in_one</t>
  </si>
  <si>
    <t>test_set_EN_calme_zero_shot_gpt_only_title_all_in_one_inclusion_ensemble_submission.txt</t>
  </si>
  <si>
    <t>test_set_EN_calme_zero_shot_gpt_only_title_all_in_one_majority_ensemble_submission.txt</t>
  </si>
  <si>
    <t>test_set_EN_calme_zero_shot_gpt_title_description_all_in_one</t>
  </si>
  <si>
    <t>test_set_EN_calme_zero_shot_gpt_title_description_all_in_one_inclusion_ensemble_submission.txt</t>
  </si>
  <si>
    <t>test_set_EN_calme_zero_shot_gpt_title_description_all_in_one_majority_ensemble_submission.txt</t>
  </si>
  <si>
    <t>test_set_EN_calme_zero_shot_no_no_all_in_one</t>
  </si>
  <si>
    <t>test_set_EN_calme_zero_shot_no_no_all_in_one_inclusion_ensemble_submission.txt</t>
  </si>
  <si>
    <t>test_set_EN_calme_zero_shot_no_no_all_in_one_majority_ensemble_submission.txt</t>
  </si>
  <si>
    <t>test_set_EN_calme_zero_shot_original_original_all_in_one</t>
  </si>
  <si>
    <t>test_set_EN_calme_zero_shot_original_original_all_in_one_inclusion_ensemble_submission.txt</t>
  </si>
  <si>
    <t>test_set_EN_calme_zero_shot_original_original_all_in_one_majority_ensemble_submission.txt</t>
  </si>
  <si>
    <t>test_set_EN_exaone_zero_shot_exaone_only_title_all_in_one</t>
  </si>
  <si>
    <t>test_set_EN_exaone_zero_shot_exaone_only_title_all_in_one_inclusion_ensemble_submission.txt</t>
  </si>
  <si>
    <t>test_set_EN_exaone_zero_shot_exaone_only_title_all_in_one_majority_ensemble_submission.txt</t>
  </si>
  <si>
    <t>test_set_EN_exaone_zero_shot_exaone_title_description_all_in_one</t>
  </si>
  <si>
    <t>test_set_EN_exaone_zero_shot_exaone_title_description_all_in_one_inclusion_ensemble_submission.txt</t>
  </si>
  <si>
    <t>test_set_EN_exaone_zero_shot_exaone_title_description_all_in_one_majority_ensemble_submission.txt</t>
  </si>
  <si>
    <t>test_set_EN_exaone_zero_shot_gpt_only_title_all_in_one</t>
  </si>
  <si>
    <t>test_set_EN_exaone_zero_shot_gpt_only_title_all_in_one_inclusion_ensemble_submission.txt</t>
  </si>
  <si>
    <t>test_set_EN_exaone_zero_shot_gpt_only_title_all_in_one_majority_ensemble_submission.txt</t>
  </si>
  <si>
    <t>test_set_EN_exaone_zero_shot_gpt_title_description_all_in_one</t>
  </si>
  <si>
    <t>test_set_EN_exaone_zero_shot_gpt_title_description_all_in_one_inclusion_ensemble_submission.txt</t>
  </si>
  <si>
    <t>test_set_EN_exaone_zero_shot_gpt_title_description_all_in_one_majority_ensemble_submission.txt</t>
  </si>
  <si>
    <t>test_set_EN_exaone_zero_shot_no_no_all_in_one</t>
  </si>
  <si>
    <t>test_set_EN_exaone_zero_shot_no_no_all_in_one_inclusion_ensemble_submission.txt</t>
  </si>
  <si>
    <t>test_set_EN_exaone_zero_shot_no_no_all_in_one_majority_ensemble_submission.txt</t>
  </si>
  <si>
    <t>test_set_EN_exaone_zero_shot_original_original_all_in_one</t>
  </si>
  <si>
    <t>test_set_EN_exaone_zero_shot_original_original_all_in_one_inclusion_ensemble_submission.txt</t>
  </si>
  <si>
    <t>test_set_EN_exaone_zero_shot_original_original_all_in_one_majority_ensemble_submission.txt</t>
  </si>
  <si>
    <t>test_set_EN_gemma_zero_shot_gemma_only_title_all_in_one</t>
  </si>
  <si>
    <t>test_set_EN_gemma_zero_shot_gemma_only_title_all_in_one_inclusion_ensemble_submission.txt</t>
  </si>
  <si>
    <t>test_set_EN_gemma_zero_shot_gemma_only_title_all_in_one_majority_ensemble_submission.txt</t>
  </si>
  <si>
    <t>test_set_EN_gemma_zero_shot_gemma_title_description_all_in_one</t>
  </si>
  <si>
    <t>test_set_EN_gemma_zero_shot_gemma_title_description_all_in_one_inclusion_ensemble_submission.txt</t>
  </si>
  <si>
    <t>test_set_EN_gemma_zero_shot_gemma_title_description_all_in_one_majority_ensemble_submission.txt</t>
  </si>
  <si>
    <t>test_set_EN_gemma_zero_shot_gpt_only_title_all_in_one</t>
  </si>
  <si>
    <t>test_set_EN_gemma_zero_shot_gpt_only_title_all_in_one_inclusion_ensemble_submission.txt</t>
  </si>
  <si>
    <t>test_set_EN_gemma_zero_shot_gpt_only_title_all_in_one_majority_ensemble_submission.txt</t>
  </si>
  <si>
    <t>test_set_EN_gemma_zero_shot_gpt_title_description_all_in_one</t>
  </si>
  <si>
    <t>test_set_EN_gemma_zero_shot_gpt_title_description_all_in_one_inclusion_ensemble_submission.txt</t>
  </si>
  <si>
    <t>test_set_EN_gemma_zero_shot_gpt_title_description_all_in_one_majority_ensemble_submission.txt</t>
  </si>
  <si>
    <t>test_set_EN_gemma_zero_shot_no_no_all_in_one</t>
  </si>
  <si>
    <t>test_set_EN_gemma_zero_shot_no_no_all_in_one_inclusion_ensemble_submission.txt</t>
  </si>
  <si>
    <t>test_set_EN_gemma_zero_shot_no_no_all_in_one_majority_ensemble_submission.txt</t>
  </si>
  <si>
    <t>test_set_EN_gemma_zero_shot_original_original_all_in_one</t>
  </si>
  <si>
    <t>test_set_EN_gemma_zero_shot_original_original_all_in_one_inclusion_ensemble_submission.txt</t>
  </si>
  <si>
    <t>test_set_EN_gemma_zero_shot_original_original_all_in_one_majority_ensemble_submission.txt</t>
  </si>
  <si>
    <t>test_set_EN_granite_zero_shot_gpt_only_title_all_in_one</t>
  </si>
  <si>
    <t>test_set_EN_granite_zero_shot_gpt_only_title_all_in_one_inclusion_ensemble_submission.txt</t>
  </si>
  <si>
    <t>test_set_EN_granite_zero_shot_gpt_only_title_all_in_one_majority_ensemble_submission.txt</t>
  </si>
  <si>
    <t>test_set_EN_granite_zero_shot_gpt_title_description_all_in_one</t>
  </si>
  <si>
    <t>test_set_EN_granite_zero_shot_gpt_title_description_all_in_one_inclusion_ensemble_submission.txt</t>
  </si>
  <si>
    <t>test_set_EN_granite_zero_shot_gpt_title_description_all_in_one_majority_ensemble_submission.txt</t>
  </si>
  <si>
    <t>test_set_EN_granite_zero_shot_gpt_title_description_complete_all_in_one</t>
  </si>
  <si>
    <t>test_set_EN_granite_zero_shot_gpt_title_description_complete_all_in_one_inclusion_ensemble_submission.txt</t>
  </si>
  <si>
    <t>test_set_EN_granite_zero_shot_gpt_title_description_complete_all_in_one_majority_ensemble_submission.txt</t>
  </si>
  <si>
    <t>test_set_EN_granite_zero_shot_granite_only_title_all_in_one</t>
  </si>
  <si>
    <t>test_set_EN_granite_zero_shot_granite_only_title_all_in_one_inclusion_ensemble_submission.txt</t>
  </si>
  <si>
    <t>test_set_EN_granite_zero_shot_granite_only_title_all_in_one_majority_ensemble_submission.txt</t>
  </si>
  <si>
    <t>test_set_EN_granite_zero_shot_granite_title_description_all_in_one</t>
  </si>
  <si>
    <t>test_set_EN_granite_zero_shot_granite_title_description_all_in_one_inclusion_ensemble_submission.txt</t>
  </si>
  <si>
    <t>test_set_EN_granite_zero_shot_granite_title_description_all_in_one_majority_ensemble_submission.txt</t>
  </si>
  <si>
    <t>test_set_EN_granite_zero_shot_granite_title_description_complete_all_in_one</t>
  </si>
  <si>
    <t>test_set_EN_granite_zero_shot_granite_title_description_complete_all_in_one_inclusion_ensemble_submission.txt</t>
  </si>
  <si>
    <t>test_set_EN_granite_zero_shot_granite_title_description_complete_all_in_one_majority_ensemble_submission.txt</t>
  </si>
  <si>
    <t>test_set_EN_granite_zero_shot_no_no_all_in_one</t>
  </si>
  <si>
    <t>test_set_EN_granite_zero_shot_no_no_all_in_one_inclusion_ensemble_submission.txt</t>
  </si>
  <si>
    <t>test_set_EN_granite_zero_shot_no_no_all_in_one_majority_ensemble_submission.txt</t>
  </si>
  <si>
    <t>test_set_EN_granite_zero_shot_original_original_all_in_one</t>
  </si>
  <si>
    <t>test_set_EN_granite_zero_shot_original_original_all_in_one_inclusion_ensemble_submission.txt</t>
  </si>
  <si>
    <t>test_set_EN_granite_zero_shot_original_original_all_in_one_majority_ensemble_submission.txt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</si>
</sst>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sz val="12.0"/>
      <color theme="1"/>
      <name val="Arial"/>
      <scheme val="minor"/>
    </font>
    <font>
      <b/>
      <color rgb="FFFF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6EAF0"/>
        <bgColor rgb="FFF6EAF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1" fillId="2" fontId="1" numFmtId="0" xfId="0" applyAlignment="1" applyBorder="1" applyFill="1" applyFont="1">
      <alignment readingOrder="0"/>
    </xf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0" fillId="2" fontId="1" numFmtId="0" xfId="0" applyFont="1"/>
    <xf borderId="5" fillId="2" fontId="1" numFmtId="0" xfId="0" applyBorder="1" applyFont="1"/>
    <xf borderId="0" fillId="3" fontId="1" numFmtId="0" xfId="0" applyAlignment="1" applyFill="1" applyFont="1">
      <alignment readingOrder="0"/>
    </xf>
    <xf borderId="0" fillId="3" fontId="1" numFmtId="164" xfId="0" applyFont="1" applyNumberFormat="1"/>
    <xf borderId="0" fillId="4" fontId="1" numFmtId="164" xfId="0" applyFill="1" applyFont="1" applyNumberFormat="1"/>
    <xf borderId="0" fillId="3" fontId="1" numFmtId="0" xfId="0" applyFont="1"/>
    <xf borderId="6" fillId="2" fontId="1" numFmtId="0" xfId="0" applyBorder="1" applyFont="1"/>
    <xf borderId="7" fillId="2" fontId="1" numFmtId="0" xfId="0" applyBorder="1" applyFont="1"/>
    <xf borderId="8" fillId="2" fontId="1" numFmtId="0" xfId="0" applyBorder="1" applyFont="1"/>
    <xf borderId="0" fillId="4" fontId="1" numFmtId="0" xfId="0" applyFont="1"/>
    <xf borderId="1" fillId="2" fontId="1" numFmtId="0" xfId="0" applyBorder="1" applyFont="1"/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164" xfId="0" applyFont="1" applyNumberFormat="1"/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 vertical="center"/>
    </xf>
    <xf borderId="0" fillId="5" fontId="4" numFmtId="0" xfId="0" applyAlignment="1" applyFill="1" applyFont="1">
      <alignment horizontal="right" readingOrder="0" vertical="bottom"/>
    </xf>
    <xf borderId="0" fillId="4" fontId="1" numFmtId="0" xfId="0" applyAlignment="1" applyFont="1">
      <alignment readingOrder="0"/>
    </xf>
    <xf borderId="0" fillId="5" fontId="4" numFmtId="0" xfId="0" applyAlignment="1" applyFont="1">
      <alignment horizontal="right" vertical="bottom"/>
    </xf>
    <xf borderId="0" fillId="5" fontId="4" numFmtId="164" xfId="0" applyAlignment="1" applyFont="1" applyNumberFormat="1">
      <alignment horizontal="right" readingOrder="0" vertical="bottom"/>
    </xf>
    <xf borderId="0" fillId="5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5" fontId="1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0" fillId="5" fontId="1" numFmtId="0" xfId="0" applyFont="1"/>
    <xf borderId="4" fillId="0" fontId="1" numFmtId="0" xfId="0" applyAlignment="1" applyBorder="1" applyFont="1">
      <alignment readingOrder="0"/>
    </xf>
    <xf borderId="4" fillId="5" fontId="1" numFmtId="0" xfId="0" applyAlignment="1" applyBorder="1" applyFont="1">
      <alignment readingOrder="0"/>
    </xf>
    <xf borderId="4" fillId="4" fontId="1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5" fontId="1" numFmtId="0" xfId="0" applyAlignment="1" applyBorder="1" applyFont="1">
      <alignment readingOrder="0"/>
    </xf>
    <xf borderId="7" fillId="4" fontId="1" numFmtId="0" xfId="0" applyAlignment="1" applyBorder="1" applyFont="1">
      <alignment readingOrder="0"/>
    </xf>
    <xf borderId="7" fillId="4" fontId="1" numFmtId="0" xfId="0" applyBorder="1" applyFont="1"/>
    <xf borderId="7" fillId="0" fontId="1" numFmtId="0" xfId="0" applyBorder="1" applyFont="1"/>
    <xf borderId="4" fillId="0" fontId="1" numFmtId="164" xfId="0" applyBorder="1" applyFont="1" applyNumberFormat="1"/>
    <xf borderId="4" fillId="5" fontId="1" numFmtId="0" xfId="0" applyBorder="1" applyFont="1"/>
    <xf borderId="4" fillId="5" fontId="1" numFmtId="164" xfId="0" applyBorder="1" applyFont="1" applyNumberFormat="1"/>
    <xf borderId="4" fillId="4" fontId="1" numFmtId="164" xfId="0" applyBorder="1" applyFont="1" applyNumberFormat="1"/>
    <xf borderId="6" fillId="0" fontId="1" numFmtId="164" xfId="0" applyBorder="1" applyFont="1" applyNumberFormat="1"/>
    <xf borderId="7" fillId="0" fontId="1" numFmtId="164" xfId="0" applyBorder="1" applyFont="1" applyNumberFormat="1"/>
    <xf borderId="4" fillId="0" fontId="1" numFmtId="0" xfId="0" applyBorder="1" applyFont="1"/>
    <xf borderId="0" fillId="0" fontId="7" numFmtId="0" xfId="0" applyAlignment="1" applyFont="1">
      <alignment readingOrder="0"/>
    </xf>
    <xf borderId="6" fillId="0" fontId="1" numFmtId="0" xfId="0" applyBorder="1" applyFont="1"/>
    <xf borderId="9" fillId="5" fontId="3" numFmtId="0" xfId="0" applyAlignment="1" applyBorder="1" applyFont="1">
      <alignment readingOrder="0"/>
    </xf>
    <xf borderId="9" fillId="5" fontId="1" numFmtId="164" xfId="0" applyBorder="1" applyFont="1" applyNumberFormat="1"/>
    <xf borderId="9" fillId="5" fontId="1" numFmtId="0" xfId="0" applyAlignment="1" applyBorder="1" applyFont="1">
      <alignment readingOrder="0"/>
    </xf>
    <xf borderId="9" fillId="5" fontId="1" numFmtId="0" xfId="0" applyBorder="1" applyFont="1"/>
    <xf borderId="0" fillId="0" fontId="1" numFmtId="0" xfId="0" applyAlignment="1" applyFont="1">
      <alignment horizontal="center" readingOrder="0"/>
    </xf>
    <xf borderId="5" fillId="0" fontId="1" numFmtId="0" xfId="0" applyBorder="1" applyFont="1"/>
    <xf borderId="4" fillId="0" fontId="1" numFmtId="0" xfId="0" applyAlignment="1" applyBorder="1" applyFont="1">
      <alignment horizontal="center" readingOrder="0"/>
    </xf>
    <xf borderId="8" fillId="0" fontId="3" numFmtId="0" xfId="0" applyAlignment="1" applyBorder="1" applyFont="1">
      <alignment readingOrder="0"/>
    </xf>
    <xf borderId="7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readingOrder="0"/>
    </xf>
    <xf borderId="0" fillId="6" fontId="1" numFmtId="0" xfId="0" applyAlignment="1" applyFill="1" applyFont="1">
      <alignment readingOrder="0"/>
    </xf>
    <xf borderId="4" fillId="6" fontId="1" numFmtId="0" xfId="0" applyAlignment="1" applyBorder="1" applyFont="1">
      <alignment readingOrder="0"/>
    </xf>
    <xf borderId="7" fillId="6" fontId="1" numFmtId="0" xfId="0" applyAlignment="1" applyBorder="1" applyFont="1">
      <alignment readingOrder="0"/>
    </xf>
    <xf borderId="6" fillId="6" fontId="1" numFmtId="0" xfId="0" applyAlignment="1" applyBorder="1" applyFont="1">
      <alignment readingOrder="0"/>
    </xf>
    <xf borderId="0" fillId="7" fontId="1" numFmtId="0" xfId="0" applyAlignment="1" applyFill="1" applyFont="1">
      <alignment readingOrder="0"/>
    </xf>
    <xf borderId="7" fillId="7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2" fillId="0" fontId="1" numFmtId="0" xfId="0" applyBorder="1" applyFont="1"/>
    <xf borderId="1" fillId="0" fontId="1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5" fontId="3" numFmtId="0" xfId="0" applyAlignment="1" applyBorder="1" applyFont="1">
      <alignment readingOrder="0"/>
    </xf>
    <xf borderId="5" fillId="0" fontId="1" numFmtId="164" xfId="0" applyBorder="1" applyFont="1" applyNumberFormat="1"/>
    <xf borderId="6" fillId="5" fontId="1" numFmtId="0" xfId="0" applyBorder="1" applyFont="1"/>
    <xf borderId="8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1" t="s">
        <v>0</v>
      </c>
      <c r="B1" s="2" t="s">
        <v>1</v>
      </c>
      <c r="M1" s="3" t="s">
        <v>2</v>
      </c>
    </row>
    <row r="2">
      <c r="A2" s="1" t="s">
        <v>3</v>
      </c>
      <c r="B2" s="4" t="s">
        <v>4</v>
      </c>
      <c r="D2" s="1" t="s">
        <v>5</v>
      </c>
      <c r="E2" s="5"/>
      <c r="F2" s="1" t="s">
        <v>6</v>
      </c>
      <c r="G2" s="5"/>
      <c r="H2" s="4" t="s">
        <v>7</v>
      </c>
      <c r="I2" s="5"/>
      <c r="L2" s="6" t="s">
        <v>8</v>
      </c>
      <c r="M2" s="7"/>
      <c r="N2" s="7"/>
      <c r="O2" s="8">
        <f>COUNTIF(B5:I5,"&lt;0") + COUNTIF(B7:I7,"&lt;0") + COUNTIF(B9:I9,"&lt;0") + COUNTIF(B11:I11,"&lt;0") + COUNTIF(B13:I13,"&lt;0") + COUNTIF(B15:I15,"&lt;0") + COUNTIF(B17:I17,"&lt;0") + COUNTIF(B24:I24,"&lt;0") + COUNTIF(B26:I26,"&lt;0") + COUNTIF(B28:I28,"&lt;0") + COUNTIF(B30:I30,"&lt;0") + COUNTIF(B32:I32,"&lt;0") + COUNTIF(B34:I34,"&lt;0") + COUNTIF(B36:I36,"&lt;0") + COUNTIF(B43:I43,"&lt;0") + COUNTIF(B45:I45,"&lt;0") + COUNTIF(B47:I47,"&lt;0") + COUNTIF(B49:I49,"&lt;0") + COUNTIF(B51:I51,"&lt;0") + COUNTIF(B53:I53,"&lt;0") + COUNTIF(B55:I55,"&lt;0") + COUNTIF(B62:I62,"&lt;0") + COUNTIF(B64:I64,"&lt;0") + COUNTIF(B66:I66,"&lt;0") + COUNTIF(B68:I68,"&lt;0") + COUNTIF(B69:I69,"&lt;0") + COUNTIF(B70:I70,"&lt;0") + COUNTIF(B72:I72,"&lt;0") + COUNTIF(B74:I74,"&lt;0")</f>
        <v>62</v>
      </c>
    </row>
    <row r="3">
      <c r="A3" s="4" t="s">
        <v>9</v>
      </c>
      <c r="B3" s="5">
        <f>IFERROR(__xludf.DUMMYFUNCTION("FILTER(Dipromats!C$3:C$101, 
  REGEXMATCH(Dipromats!$A$3:$A$101, ""(?i)"" &amp; $A3)
)"),0.634504615288617)</f>
        <v>0.6345046153</v>
      </c>
      <c r="C3" s="5">
        <f>IFERROR(__xludf.DUMMYFUNCTION("FILTER(Dipromats!D$3:D$101, 
  REGEXMATCH(Dipromats!$A$3:$A$101, ""(?i)"" &amp; $A3)
)"),0.583394320061881)</f>
        <v>0.5833943201</v>
      </c>
      <c r="D3" s="5">
        <f>IFERROR(__xludf.DUMMYFUNCTION("FILTER(Dipromats!E$3:E$101, 
  REGEXMATCH(Dipromats!$A$3:$A$101, ""(?i)"" &amp; $A3)
)"),0.612546907727468)</f>
        <v>0.6125469077</v>
      </c>
      <c r="E3" s="5">
        <f>IFERROR(__xludf.DUMMYFUNCTION("FILTER(Dipromats!F$3:F$101, 
  REGEXMATCH(Dipromats!$A$3:$A$101, ""(?i)"" &amp; $A3)
)"),0.564694414756619)</f>
        <v>0.5646944148</v>
      </c>
      <c r="F3" s="5">
        <f>IFERROR(__xludf.DUMMYFUNCTION("FILTER(Dipromats!G$3:G$101, 
  REGEXMATCH(Dipromats!$A$3:$A$101, ""(?i)"" &amp; $A3)
)"),0.551936514723647)</f>
        <v>0.5519365147</v>
      </c>
      <c r="G3" s="5">
        <f>IFERROR(__xludf.DUMMYFUNCTION("FILTER(Dipromats!H$3:H$101, 
  REGEXMATCH(Dipromats!$A$3:$A$101, ""(?i)"" &amp; $A3)
)"),0.498994997427713)</f>
        <v>0.4989949974</v>
      </c>
      <c r="H3" s="5">
        <f>IFERROR(__xludf.DUMMYFUNCTION("FILTER(Dipromats!I$3:I$101, 
  REGEXMATCH(Dipromats!$A$3:$A$101, ""(?i)"" &amp; $A3)
)"),0.333605146281453)</f>
        <v>0.3336051463</v>
      </c>
      <c r="I3" s="5">
        <f>IFERROR(__xludf.DUMMYFUNCTION("FILTER(Dipromats!J$3:J$101, 
  REGEXMATCH(Dipromats!$A$3:$A$101, ""(?i)"" &amp; $A3)
)"),0.367508834746624)</f>
        <v>0.3675088347</v>
      </c>
      <c r="L3" s="9" t="s">
        <v>10</v>
      </c>
      <c r="M3" s="10"/>
      <c r="N3" s="10"/>
      <c r="O3" s="11">
        <f>COUNTIF(B5:I5,"&gt;0") + COUNTIF(B7:I7,"&gt;0") + COUNTIF(B9:I9,"&gt;0") + COUNTIF(B11:I11,"&gt;0") + COUNTIF(B13:I13,"&gt;0") + COUNTIF(B15:I15,"&gt;0") + COUNTIF(B17:I17,"&gt;0") + COUNTIF(B24:I24,"&gt;0") + COUNTIF(B26:I26,"&gt;0") + COUNTIF(B28:I28,"&gt;0") + COUNTIF(B30:I30,"&gt;0") + COUNTIF(B32:I32,"&gt;0") + COUNTIF(B34:I34,"&gt;0") + COUNTIF(B36:I36,"&gt;0") + COUNTIF(B43:I43,"&gt;0") + COUNTIF(B45:I45,"&gt;0") + COUNTIF(B47:I47,"&gt;0") + COUNTIF(B49:I49,"&gt;0") + COUNTIF(B51:I51,"&gt;0") + COUNTIF(B53:I53,"&gt;0") + COUNTIF(B55:I55,"&gt;0") + COUNTIF(B62:I62,"&gt;0") + COUNTIF(B64:I64,"&gt;0") + COUNTIF(B66:I66,"&gt;0") + COUNTIF(B68:I68,"&gt;0") + COUNTIF(B69:I69,"&gt;0") + COUNTIF(B70:I70,"&gt;0") + COUNTIF(B72:I72,"&gt;0") + COUNTIF(B74:I74,"&gt;0")</f>
        <v>156</v>
      </c>
    </row>
    <row r="4">
      <c r="A4" s="4" t="s">
        <v>11</v>
      </c>
      <c r="B4" s="5">
        <f>IFERROR(__xludf.DUMMYFUNCTION("FILTER(Dipromats!C$3:C$101, 
  REGEXMATCH(Dipromats!$A$3:$A$101, ""(?i)"" &amp; $A4)
)"),0.638654812715595)</f>
        <v>0.6386548127</v>
      </c>
      <c r="C4" s="5">
        <f>IFERROR(__xludf.DUMMYFUNCTION("FILTER(Dipromats!D$3:D$101, 
  REGEXMATCH(Dipromats!$A$3:$A$101, ""(?i)"" &amp; $A4)
)"),0.613462791622532)</f>
        <v>0.6134627916</v>
      </c>
      <c r="D4" s="5">
        <f>IFERROR(__xludf.DUMMYFUNCTION("FILTER(Dipromats!E$3:E$101, 
  REGEXMATCH(Dipromats!$A$3:$A$101, ""(?i)"" &amp; $A4)
)"),0.624175131263906)</f>
        <v>0.6241751313</v>
      </c>
      <c r="E4" s="5">
        <f>IFERROR(__xludf.DUMMYFUNCTION("FILTER(Dipromats!F$3:F$101, 
  REGEXMATCH(Dipromats!$A$3:$A$101, ""(?i)"" &amp; $A4)
)"),0.593223331315557)</f>
        <v>0.5932233313</v>
      </c>
      <c r="F4" s="5">
        <f>IFERROR(__xludf.DUMMYFUNCTION("FILTER(Dipromats!G$3:G$101, 
  REGEXMATCH(Dipromats!$A$3:$A$101, ""(?i)"" &amp; $A4)
)"),0.572478446675392)</f>
        <v>0.5724784467</v>
      </c>
      <c r="G4" s="5">
        <f>IFERROR(__xludf.DUMMYFUNCTION("FILTER(Dipromats!H$3:H$101, 
  REGEXMATCH(Dipromats!$A$3:$A$101, ""(?i)"" &amp; $A4)
)"),0.534765902917699)</f>
        <v>0.5347659029</v>
      </c>
      <c r="H4" s="5">
        <f>IFERROR(__xludf.DUMMYFUNCTION("FILTER(Dipromats!I$3:I$101, 
  REGEXMATCH(Dipromats!$A$3:$A$101, ""(?i)"" &amp; $A4)
)"),0.335225441305954)</f>
        <v>0.3352254413</v>
      </c>
      <c r="I4" s="5">
        <f>IFERROR(__xludf.DUMMYFUNCTION("FILTER(Dipromats!J$3:J$101, 
  REGEXMATCH(Dipromats!$A$3:$A$101, ""(?i)"" &amp; $A4)
)"),0.352567599779278)</f>
        <v>0.3525675998</v>
      </c>
      <c r="L4" s="9" t="s">
        <v>12</v>
      </c>
      <c r="M4" s="10"/>
      <c r="N4" s="10"/>
      <c r="O4" s="11">
        <f>100*O2/(O3+O2)</f>
        <v>28.44036697</v>
      </c>
    </row>
    <row r="5">
      <c r="A5" s="12" t="s">
        <v>13</v>
      </c>
      <c r="B5" s="13">
        <f t="shared" ref="B5:I5" si="1">B3-B4</f>
        <v>-0.004150197427</v>
      </c>
      <c r="C5" s="13">
        <f t="shared" si="1"/>
        <v>-0.03006847156</v>
      </c>
      <c r="D5" s="13">
        <f t="shared" si="1"/>
        <v>-0.01162822354</v>
      </c>
      <c r="E5" s="13">
        <f t="shared" si="1"/>
        <v>-0.02852891656</v>
      </c>
      <c r="F5" s="13">
        <f t="shared" si="1"/>
        <v>-0.02054193195</v>
      </c>
      <c r="G5" s="13">
        <f t="shared" si="1"/>
        <v>-0.03577090549</v>
      </c>
      <c r="H5" s="13">
        <f t="shared" si="1"/>
        <v>-0.001620295025</v>
      </c>
      <c r="I5" s="13">
        <f t="shared" si="1"/>
        <v>0.01494123497</v>
      </c>
      <c r="J5" s="14">
        <f>AVERAGE(B5:I5)</f>
        <v>-0.01467096332</v>
      </c>
      <c r="K5" s="15"/>
      <c r="L5" s="16" t="s">
        <v>14</v>
      </c>
      <c r="M5" s="17"/>
      <c r="N5" s="17"/>
      <c r="O5" s="18">
        <f>100*O3/(O2+O3)</f>
        <v>71.55963303</v>
      </c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4" t="s">
        <v>15</v>
      </c>
      <c r="B6" s="5">
        <f>IFERROR(__xludf.DUMMYFUNCTION("FILTER(Dipromats!C$3:C$101, 
  REGEXMATCH(Dipromats!$A$3:$A$101, ""(?i)"" &amp; $A6)
)"),0.621040280030557)</f>
        <v>0.62104028</v>
      </c>
      <c r="C6" s="5">
        <f>IFERROR(__xludf.DUMMYFUNCTION("FILTER(Dipromats!D$3:D$101, 
  REGEXMATCH(Dipromats!$A$3:$A$101, ""(?i)"" &amp; $A6)
)"),0.571358654012934)</f>
        <v>0.571358654</v>
      </c>
      <c r="D6" s="5">
        <f>IFERROR(__xludf.DUMMYFUNCTION("FILTER(Dipromats!E$3:E$101, 
  REGEXMATCH(Dipromats!$A$3:$A$101, ""(?i)"" &amp; $A6)
)"),0.57620875615112)</f>
        <v>0.5762087562</v>
      </c>
      <c r="E6" s="5">
        <f>IFERROR(__xludf.DUMMYFUNCTION("FILTER(Dipromats!F$3:F$101, 
  REGEXMATCH(Dipromats!$A$3:$A$101, ""(?i)"" &amp; $A6)
)"),0.531274741257453)</f>
        <v>0.5312747413</v>
      </c>
      <c r="F6" s="5">
        <f>IFERROR(__xludf.DUMMYFUNCTION("FILTER(Dipromats!G$3:G$101, 
  REGEXMATCH(Dipromats!$A$3:$A$101, ""(?i)"" &amp; $A6)
)"),0.506150051999198)</f>
        <v>0.506150052</v>
      </c>
      <c r="G6" s="5">
        <f>IFERROR(__xludf.DUMMYFUNCTION("FILTER(Dipromats!H$3:H$101, 
  REGEXMATCH(Dipromats!$A$3:$A$101, ""(?i)"" &amp; $A6)
)"),0.483697863941618)</f>
        <v>0.4836978639</v>
      </c>
      <c r="H6" s="5">
        <f>IFERROR(__xludf.DUMMYFUNCTION("FILTER(Dipromats!I$3:I$101, 
  REGEXMATCH(Dipromats!$A$3:$A$101, ""(?i)"" &amp; $A6)
)"),0.286129356930116)</f>
        <v>0.2861293569</v>
      </c>
      <c r="I6" s="5">
        <f>IFERROR(__xludf.DUMMYFUNCTION("FILTER(Dipromats!J$3:J$101, 
  REGEXMATCH(Dipromats!$A$3:$A$101, ""(?i)"" &amp; $A6)
)"),0.29837198245895)</f>
        <v>0.2983719825</v>
      </c>
      <c r="J6" s="19"/>
      <c r="M6" s="3" t="s">
        <v>16</v>
      </c>
    </row>
    <row r="7">
      <c r="A7" s="12" t="s">
        <v>17</v>
      </c>
      <c r="B7" s="13">
        <f t="shared" ref="B7:I7" si="2">B3-B6</f>
        <v>0.01346433526</v>
      </c>
      <c r="C7" s="13">
        <f t="shared" si="2"/>
        <v>0.01203566605</v>
      </c>
      <c r="D7" s="13">
        <f t="shared" si="2"/>
        <v>0.03633815158</v>
      </c>
      <c r="E7" s="13">
        <f t="shared" si="2"/>
        <v>0.0334196735</v>
      </c>
      <c r="F7" s="13">
        <f t="shared" si="2"/>
        <v>0.04578646272</v>
      </c>
      <c r="G7" s="13">
        <f t="shared" si="2"/>
        <v>0.01529713349</v>
      </c>
      <c r="H7" s="13">
        <f t="shared" si="2"/>
        <v>0.04747578935</v>
      </c>
      <c r="I7" s="13">
        <f t="shared" si="2"/>
        <v>0.06913685229</v>
      </c>
      <c r="J7" s="14">
        <f>AVERAGE(B7:I7)</f>
        <v>0.03411925803</v>
      </c>
      <c r="K7" s="15"/>
      <c r="L7" s="20" t="s">
        <v>8</v>
      </c>
      <c r="M7" s="7"/>
      <c r="N7" s="7"/>
      <c r="O7" s="8">
        <f>COUNTIF(B5:I5,"&lt;0") + COUNTIF(B24:I24,"&lt;0") + COUNTIF(B43:I43,"&lt;0") + COUNTIF(B62:I62,"&lt;0")</f>
        <v>18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4" t="s">
        <v>18</v>
      </c>
      <c r="B8" s="5">
        <f>IFERROR(__xludf.DUMMYFUNCTION("FILTER(Dipromats!C$3:C$101, 
  REGEXMATCH(Dipromats!$A$3:$A$101, ""(?i)"" &amp; $A8)
)"),0.608500522443986)</f>
        <v>0.6085005224</v>
      </c>
      <c r="C8" s="5">
        <f>IFERROR(__xludf.DUMMYFUNCTION("FILTER(Dipromats!D$3:D$101, 
  REGEXMATCH(Dipromats!$A$3:$A$101, ""(?i)"" &amp; $A8)
)"),0.565727300132339)</f>
        <v>0.5657273001</v>
      </c>
      <c r="D8" s="5">
        <f>IFERROR(__xludf.DUMMYFUNCTION("FILTER(Dipromats!E$3:E$101, 
  REGEXMATCH(Dipromats!$A$3:$A$101, ""(?i)"" &amp; $A8)
)"),0.583927636565709)</f>
        <v>0.5839276366</v>
      </c>
      <c r="E8" s="5">
        <f>IFERROR(__xludf.DUMMYFUNCTION("FILTER(Dipromats!F$3:F$101, 
  REGEXMATCH(Dipromats!$A$3:$A$101, ""(?i)"" &amp; $A8)
)"),0.523712547832867)</f>
        <v>0.5237125478</v>
      </c>
      <c r="F8" s="5">
        <f>IFERROR(__xludf.DUMMYFUNCTION("FILTER(Dipromats!G$3:G$101, 
  REGEXMATCH(Dipromats!$A$3:$A$101, ""(?i)"" &amp; $A8)
)"),0.524902705155418)</f>
        <v>0.5249027052</v>
      </c>
      <c r="G8" s="5">
        <f>IFERROR(__xludf.DUMMYFUNCTION("FILTER(Dipromats!H$3:H$101, 
  REGEXMATCH(Dipromats!$A$3:$A$101, ""(?i)"" &amp; $A8)
)"),0.490732657736496)</f>
        <v>0.4907326577</v>
      </c>
      <c r="H8" s="5">
        <f>IFERROR(__xludf.DUMMYFUNCTION("FILTER(Dipromats!I$3:I$101, 
  REGEXMATCH(Dipromats!$A$3:$A$101, ""(?i)"" &amp; $A8)
)"),0.267289569310955)</f>
        <v>0.2672895693</v>
      </c>
      <c r="I8" s="5">
        <f>IFERROR(__xludf.DUMMYFUNCTION("FILTER(Dipromats!J$3:J$101, 
  REGEXMATCH(Dipromats!$A$3:$A$101, ""(?i)"" &amp; $A8)
)"),0.297865824391553)</f>
        <v>0.2978658244</v>
      </c>
      <c r="J8" s="19"/>
      <c r="L8" s="9" t="s">
        <v>10</v>
      </c>
      <c r="M8" s="10"/>
      <c r="N8" s="10"/>
      <c r="O8" s="11">
        <f>COUNTIF(B5:I5,"&gt;0") + COUNTIF(B24:I24,"&gt;0") + COUNTIF(B43:I43,"&gt;0") + COUNTIF(B62:I62,"&gt;0")</f>
        <v>14</v>
      </c>
    </row>
    <row r="9">
      <c r="A9" s="12" t="s">
        <v>19</v>
      </c>
      <c r="B9" s="13">
        <f t="shared" ref="B9:I9" si="3">B3-B8</f>
        <v>0.02600409284</v>
      </c>
      <c r="C9" s="13">
        <f t="shared" si="3"/>
        <v>0.01766701993</v>
      </c>
      <c r="D9" s="13">
        <f t="shared" si="3"/>
        <v>0.02861927116</v>
      </c>
      <c r="E9" s="13">
        <f t="shared" si="3"/>
        <v>0.04098186692</v>
      </c>
      <c r="F9" s="13">
        <f t="shared" si="3"/>
        <v>0.02703380957</v>
      </c>
      <c r="G9" s="13">
        <f t="shared" si="3"/>
        <v>0.008262339691</v>
      </c>
      <c r="H9" s="13">
        <f t="shared" si="3"/>
        <v>0.06631557697</v>
      </c>
      <c r="I9" s="13">
        <f t="shared" si="3"/>
        <v>0.06964301036</v>
      </c>
      <c r="J9" s="14">
        <f>AVERAGE(B9:I9)</f>
        <v>0.03556587343</v>
      </c>
      <c r="K9" s="15"/>
      <c r="L9" s="9" t="s">
        <v>12</v>
      </c>
      <c r="M9" s="10"/>
      <c r="N9" s="10"/>
      <c r="O9" s="11">
        <f>100*O7/(O7+O8)</f>
        <v>56.25</v>
      </c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21" t="s">
        <v>20</v>
      </c>
      <c r="B10" s="5">
        <f>IFERROR(__xludf.DUMMYFUNCTION("FILTER(Dipromats!C$3:C$101, 
  REGEXMATCH(Dipromats!$A$3:$A$101, ""(?i)"" &amp; $A10), NOT(REGEXMATCH(Dipromats!$A$3:$A$101, ""(?i)complete""))
)"),0.631787462260468)</f>
        <v>0.6317874623</v>
      </c>
      <c r="C10" s="5">
        <f>IFERROR(__xludf.DUMMYFUNCTION("FILTER(Dipromats!D$3:D$101, 
  REGEXMATCH(Dipromats!$A$3:$A$101, ""(?i)"" &amp; $A10), NOT(REGEXMATCH(Dipromats!$A$3:$A$101, ""(?i)complete""))
)"),0.618216042484733)</f>
        <v>0.6182160425</v>
      </c>
      <c r="D10" s="5">
        <f>IFERROR(__xludf.DUMMYFUNCTION("FILTER(Dipromats!E$3:E$101, 
  REGEXMATCH(Dipromats!$A$3:$A$101, ""(?i)"" &amp; $A10), NOT(REGEXMATCH(Dipromats!$A$3:$A$101, ""(?i)complete""))
)"),0.586439666342686)</f>
        <v>0.5864396663</v>
      </c>
      <c r="E10" s="5">
        <f>IFERROR(__xludf.DUMMYFUNCTION("FILTER(Dipromats!F$3:F$101, 
  REGEXMATCH(Dipromats!$A$3:$A$101, ""(?i)"" &amp; $A10), NOT(REGEXMATCH(Dipromats!$A$3:$A$101, ""(?i)complete""))
)"),0.569895182181278)</f>
        <v>0.5698951822</v>
      </c>
      <c r="F10" s="5">
        <f>IFERROR(__xludf.DUMMYFUNCTION("FILTER(Dipromats!G$3:G$101, 
  REGEXMATCH(Dipromats!$A$3:$A$101, ""(?i)"" &amp; $A10), NOT(REGEXMATCH(Dipromats!$A$3:$A$101, ""(?i)complete""))
)"),0.546258468663482)</f>
        <v>0.5462584687</v>
      </c>
      <c r="G10" s="5">
        <f>IFERROR(__xludf.DUMMYFUNCTION("FILTER(Dipromats!H$3:H$101, 
  REGEXMATCH(Dipromats!$A$3:$A$101, ""(?i)"" &amp; $A10), NOT(REGEXMATCH(Dipromats!$A$3:$A$101, ""(?i)complete""))
)"),0.512012998082786)</f>
        <v>0.5120129981</v>
      </c>
      <c r="H10" s="5">
        <f>IFERROR(__xludf.DUMMYFUNCTION("FILTER(Dipromats!I$3:I$101, 
  REGEXMATCH(Dipromats!$A$3:$A$101, ""(?i)"" &amp; $A10), NOT(REGEXMATCH(Dipromats!$A$3:$A$101, ""(?i)complete""))
)"),0.288938661231155)</f>
        <v>0.2889386612</v>
      </c>
      <c r="I10" s="5">
        <f>IFERROR(__xludf.DUMMYFUNCTION("FILTER(Dipromats!J$3:J$101, 
  REGEXMATCH(Dipromats!$A$3:$A$101, ""(?i)"" &amp; $A10), NOT(REGEXMATCH(Dipromats!$A$3:$A$101, ""(?i)complete""))
)"),0.329512617172151)</f>
        <v>0.3295126172</v>
      </c>
      <c r="J10" s="19"/>
      <c r="L10" s="16" t="s">
        <v>14</v>
      </c>
      <c r="M10" s="17"/>
      <c r="N10" s="17"/>
      <c r="O10" s="18">
        <f>100*O8/(O7+O8)</f>
        <v>43.75</v>
      </c>
    </row>
    <row r="11">
      <c r="A11" s="12" t="s">
        <v>21</v>
      </c>
      <c r="B11" s="13">
        <f t="shared" ref="B11:I11" si="4">B3-B10</f>
        <v>0.002717153028</v>
      </c>
      <c r="C11" s="13">
        <f t="shared" si="4"/>
        <v>-0.03482172242</v>
      </c>
      <c r="D11" s="13">
        <f t="shared" si="4"/>
        <v>0.02610724138</v>
      </c>
      <c r="E11" s="13">
        <f t="shared" si="4"/>
        <v>-0.005200767425</v>
      </c>
      <c r="F11" s="13">
        <f t="shared" si="4"/>
        <v>0.00567804606</v>
      </c>
      <c r="G11" s="13">
        <f t="shared" si="4"/>
        <v>-0.01301800066</v>
      </c>
      <c r="H11" s="13">
        <f t="shared" si="4"/>
        <v>0.04466648505</v>
      </c>
      <c r="I11" s="13">
        <f t="shared" si="4"/>
        <v>0.03799621757</v>
      </c>
      <c r="J11" s="14">
        <f>AVERAGE(B11:I11)</f>
        <v>0.008015581574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21" t="s">
        <v>22</v>
      </c>
      <c r="B12" s="5">
        <f>IFERROR(__xludf.DUMMYFUNCTION("FILTER(Dipromats!C$3:C$101, 
  REGEXMATCH(Dipromats!$A$3:$A$101, ""(?i)"" &amp; $A12), NOT(REGEXMATCH(Dipromats!$A$3:$A$101, ""(?i)complete""))
)"),0.640317661477475)</f>
        <v>0.6403176615</v>
      </c>
      <c r="C12" s="5">
        <f>IFERROR(__xludf.DUMMYFUNCTION("FILTER(Dipromats!D$3:D$101, 
  REGEXMATCH(Dipromats!$A$3:$A$101, ""(?i)"" &amp; $A12), NOT(REGEXMATCH(Dipromats!$A$3:$A$101, ""(?i)complete""))
)"),0.61354665612827)</f>
        <v>0.6135466561</v>
      </c>
      <c r="D12" s="5">
        <f>IFERROR(__xludf.DUMMYFUNCTION("FILTER(Dipromats!E$3:E$101, 
  REGEXMATCH(Dipromats!$A$3:$A$101, ""(?i)"" &amp; $A12), NOT(REGEXMATCH(Dipromats!$A$3:$A$101, ""(?i)complete""))
)"),0.613750839783722)</f>
        <v>0.6137508398</v>
      </c>
      <c r="E12" s="5">
        <f>IFERROR(__xludf.DUMMYFUNCTION("FILTER(Dipromats!F$3:F$101, 
  REGEXMATCH(Dipromats!$A$3:$A$101, ""(?i)"" &amp; $A12), NOT(REGEXMATCH(Dipromats!$A$3:$A$101, ""(?i)complete""))
)"),0.578681917130575)</f>
        <v>0.5786819171</v>
      </c>
      <c r="F12" s="5">
        <f>IFERROR(__xludf.DUMMYFUNCTION("FILTER(Dipromats!G$3:G$101, 
  REGEXMATCH(Dipromats!$A$3:$A$101, ""(?i)"" &amp; $A12), NOT(REGEXMATCH(Dipromats!$A$3:$A$101, ""(?i)complete""))
)"),0.545763744390765)</f>
        <v>0.5457637444</v>
      </c>
      <c r="G12" s="5">
        <f>IFERROR(__xludf.DUMMYFUNCTION("FILTER(Dipromats!H$3:H$101, 
  REGEXMATCH(Dipromats!$A$3:$A$101, ""(?i)"" &amp; $A12), NOT(REGEXMATCH(Dipromats!$A$3:$A$101, ""(?i)complete""))
)"),0.524262991587101)</f>
        <v>0.5242629916</v>
      </c>
      <c r="H12" s="5">
        <f>IFERROR(__xludf.DUMMYFUNCTION("FILTER(Dipromats!I$3:I$101, 
  REGEXMATCH(Dipromats!$A$3:$A$101, ""(?i)"" &amp; $A12), NOT(REGEXMATCH(Dipromats!$A$3:$A$101, ""(?i)complete""))
)"),0.284838731621514)</f>
        <v>0.2848387316</v>
      </c>
      <c r="I12" s="5">
        <f>IFERROR(__xludf.DUMMYFUNCTION("FILTER(Dipromats!J$3:J$101, 
  REGEXMATCH(Dipromats!$A$3:$A$101, ""(?i)"" &amp; $A12), NOT(REGEXMATCH(Dipromats!$A$3:$A$101, ""(?i)complete""))
)"),0.300772443809359)</f>
        <v>0.3007724438</v>
      </c>
      <c r="J12" s="19"/>
      <c r="M12" s="3" t="s">
        <v>23</v>
      </c>
    </row>
    <row r="13">
      <c r="A13" s="12" t="s">
        <v>24</v>
      </c>
      <c r="B13" s="13">
        <f t="shared" ref="B13:I13" si="5">B3-B12</f>
        <v>-0.005813046189</v>
      </c>
      <c r="C13" s="13">
        <f t="shared" si="5"/>
        <v>-0.03015233607</v>
      </c>
      <c r="D13" s="13">
        <f t="shared" si="5"/>
        <v>-0.001203932056</v>
      </c>
      <c r="E13" s="13">
        <f t="shared" si="5"/>
        <v>-0.01398750237</v>
      </c>
      <c r="F13" s="13">
        <f t="shared" si="5"/>
        <v>0.006172770333</v>
      </c>
      <c r="G13" s="13">
        <f t="shared" si="5"/>
        <v>-0.02526799416</v>
      </c>
      <c r="H13" s="13">
        <f t="shared" si="5"/>
        <v>0.04876641466</v>
      </c>
      <c r="I13" s="13">
        <f t="shared" si="5"/>
        <v>0.06673639094</v>
      </c>
      <c r="J13" s="14">
        <f>AVERAGE(B13:I13)</f>
        <v>0.005656345636</v>
      </c>
      <c r="K13" s="15"/>
      <c r="L13" s="20" t="s">
        <v>8</v>
      </c>
      <c r="M13" s="7"/>
      <c r="N13" s="7"/>
      <c r="O13" s="8">
        <f>COUNTIF(B7:I7,"&lt;0") + COUNTIF(B9:I9,"&lt;0") + COUNTIF(B11:I11,"&lt;0") + COUNTIF(B13:I13,"&lt;0") + COUNTIF(B15:I15,"&lt;0") + COUNTIF(B17:I17,"&lt;0") +  COUNTIF(B26:I26,"&lt;0") + COUNTIF(B28:I28,"&lt;0") + COUNTIF(B30:I30,"&lt;0") + COUNTIF(B32:I32,"&lt;0") + COUNTIF(B34:I34,"&lt;0") + COUNTIF(B36:I36,"&lt;0") +  COUNTIF(B45:I45,"&lt;0") + COUNTIF(B47:I47,"&lt;0") + COUNTIF(B49:I49,"&lt;0") + COUNTIF(B51:I51,"&lt;0") + COUNTIF(B53:I53,"&lt;0") + COUNTIF(B55:I55,"&lt;0") + COUNTIF(B64:I64,"&lt;0") + COUNTIF(B66:I66,"&lt;0") + COUNTIF(B68:I68,"&lt;0") + COUNTIF(B69:I69,"&lt;0") + COUNTIF(B70:I70,"&lt;0") + COUNTIF(B72:I72,"&lt;0") + COUNTIF(B74:I74,"&lt;0")</f>
        <v>44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21" t="s">
        <v>25</v>
      </c>
      <c r="B14" s="5">
        <f>IFERROR(__xludf.DUMMYFUNCTION("FILTER(Dipromats!C$3:C$101, 
  REGEXMATCH(Dipromats!$A$3:$A$101, ""(?i)"" &amp; $A14)
)"),0.632355163340107)</f>
        <v>0.6323551633</v>
      </c>
      <c r="C14" s="5">
        <f>IFERROR(__xludf.DUMMYFUNCTION("FILTER(Dipromats!D$3:D$101, 
  REGEXMATCH(Dipromats!$A$3:$A$101, ""(?i)"" &amp; $A14)
)"),0.606225827187698)</f>
        <v>0.6062258272</v>
      </c>
      <c r="D14" s="5">
        <f>IFERROR(__xludf.DUMMYFUNCTION("FILTER(Dipromats!E$3:E$101, 
  REGEXMATCH(Dipromats!$A$3:$A$101, ""(?i)"" &amp; $A14)
)"),0.535090217689681)</f>
        <v>0.5350902177</v>
      </c>
      <c r="E14" s="5">
        <f>IFERROR(__xludf.DUMMYFUNCTION("FILTER(Dipromats!F$3:F$101, 
  REGEXMATCH(Dipromats!$A$3:$A$101, ""(?i)"" &amp; $A14)
)"),0.477750371254548)</f>
        <v>0.4777503713</v>
      </c>
      <c r="F14" s="5">
        <f>IFERROR(__xludf.DUMMYFUNCTION("FILTER(Dipromats!G$3:G$101, 
  REGEXMATCH(Dipromats!$A$3:$A$101, ""(?i)"" &amp; $A14)
)"),0.457442229094388)</f>
        <v>0.4574422291</v>
      </c>
      <c r="G14" s="5">
        <f>IFERROR(__xludf.DUMMYFUNCTION("FILTER(Dipromats!H$3:H$101, 
  REGEXMATCH(Dipromats!$A$3:$A$101, ""(?i)"" &amp; $A14)
)"),0.427462251024684)</f>
        <v>0.427462251</v>
      </c>
      <c r="H14" s="5">
        <f>IFERROR(__xludf.DUMMYFUNCTION("FILTER(Dipromats!I$3:I$101, 
  REGEXMATCH(Dipromats!$A$3:$A$101, ""(?i)"" &amp; $A14)
)"),0.245367655632764)</f>
        <v>0.2453676556</v>
      </c>
      <c r="I14" s="5">
        <f>IFERROR(__xludf.DUMMYFUNCTION("FILTER(Dipromats!J$3:J$101, 
  REGEXMATCH(Dipromats!$A$3:$A$101, ""(?i)"" &amp; $A14)
)"),0.282654794342775)</f>
        <v>0.2826547943</v>
      </c>
      <c r="J14" s="19"/>
      <c r="L14" s="9" t="s">
        <v>10</v>
      </c>
      <c r="M14" s="10"/>
      <c r="N14" s="10"/>
      <c r="O14" s="11">
        <f>COUNTIF(B7:I7,"&gt;0") + COUNTIF(B9:I9,"&gt;0") + COUNTIF(B11:I11,"&gt;0") + COUNTIF(B13:I13,"&gt;0") + COUNTIF(B15:I15,"&gt;0") + COUNTIF(B17:I17,"&gt;0") +  COUNTIF(B26:I26,"&gt;0") + COUNTIF(B28:I28,"&gt;0") + COUNTIF(B30:I30,"&gt;0") + COUNTIF(B32:I32,"&gt;0") + COUNTIF(B34:I34,"&gt;0") + COUNTIF(B36:I36,"&gt;0") +  COUNTIF(B45:I45,"&gt;0") + COUNTIF(B47:I47,"&gt;0") + COUNTIF(B49:I49,"&gt;0") + COUNTIF(B51:I51,"&gt;0") + COUNTIF(B53:I53,"&gt;0") + COUNTIF(B55:I55,"&gt;0") + COUNTIF(B64:I64,"&gt;0") + COUNTIF(B66:I66,"&gt;0") + COUNTIF(B68:I68,"&gt;0") + COUNTIF(B69:I69,"&gt;0") + COUNTIF(B70:I70,"&gt;0") + COUNTIF(B72:I72,"&gt;0") + COUNTIF(B74:I74,"&gt;0")</f>
        <v>142</v>
      </c>
    </row>
    <row r="15">
      <c r="A15" s="12" t="s">
        <v>26</v>
      </c>
      <c r="B15" s="13">
        <f t="shared" ref="B15:I15" si="6">B3-B14</f>
        <v>0.002149451949</v>
      </c>
      <c r="C15" s="13">
        <f t="shared" si="6"/>
        <v>-0.02283150713</v>
      </c>
      <c r="D15" s="13">
        <f t="shared" si="6"/>
        <v>0.07745669004</v>
      </c>
      <c r="E15" s="13">
        <f t="shared" si="6"/>
        <v>0.0869440435</v>
      </c>
      <c r="F15" s="13">
        <f t="shared" si="6"/>
        <v>0.09449428563</v>
      </c>
      <c r="G15" s="13">
        <f t="shared" si="6"/>
        <v>0.0715327464</v>
      </c>
      <c r="H15" s="13">
        <f t="shared" si="6"/>
        <v>0.08823749065</v>
      </c>
      <c r="I15" s="13">
        <f t="shared" si="6"/>
        <v>0.0848540404</v>
      </c>
      <c r="J15" s="14">
        <f>AVERAGE(B15:I15)</f>
        <v>0.06035465518</v>
      </c>
      <c r="K15" s="15"/>
      <c r="L15" s="9" t="s">
        <v>12</v>
      </c>
      <c r="M15" s="10"/>
      <c r="N15" s="10"/>
      <c r="O15" s="11">
        <f t="shared" ref="O15:O16" si="7">O13*100/(44+142)</f>
        <v>23.65591398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21" t="s">
        <v>27</v>
      </c>
      <c r="B16" s="5">
        <f>IFERROR(__xludf.DUMMYFUNCTION("FILTER(Dipromats!C$3:C$101, 
  REGEXMATCH(Dipromats!$A$3:$A$101, ""(?i)"" &amp; $A16)
)"),0.626620634285161)</f>
        <v>0.6266206343</v>
      </c>
      <c r="C16" s="5">
        <f>IFERROR(__xludf.DUMMYFUNCTION("FILTER(Dipromats!D$3:D$101, 
  REGEXMATCH(Dipromats!$A$3:$A$101, ""(?i)"" &amp; $A16)
)"),0.604801060798369)</f>
        <v>0.6048010608</v>
      </c>
      <c r="D16" s="5">
        <f>IFERROR(__xludf.DUMMYFUNCTION("FILTER(Dipromats!E$3:E$101, 
  REGEXMATCH(Dipromats!$A$3:$A$101, ""(?i)"" &amp; $A16)
)"),0.274748595417237)</f>
        <v>0.2747485954</v>
      </c>
      <c r="E16" s="5">
        <f>IFERROR(__xludf.DUMMYFUNCTION("FILTER(Dipromats!F$3:F$101, 
  REGEXMATCH(Dipromats!$A$3:$A$101, ""(?i)"" &amp; $A16)
)"),0.380177808740426)</f>
        <v>0.3801778087</v>
      </c>
      <c r="F16" s="5">
        <f>IFERROR(__xludf.DUMMYFUNCTION("FILTER(Dipromats!G$3:G$101, 
  REGEXMATCH(Dipromats!$A$3:$A$101, ""(?i)"" &amp; $A16)
)"),0.484593915089339)</f>
        <v>0.4845939151</v>
      </c>
      <c r="G16" s="5">
        <f>IFERROR(__xludf.DUMMYFUNCTION("FILTER(Dipromats!H$3:H$101, 
  REGEXMATCH(Dipromats!$A$3:$A$101, ""(?i)"" &amp; $A16)
)"),0.437797137788191)</f>
        <v>0.4377971378</v>
      </c>
      <c r="H16" s="5">
        <f>IFERROR(__xludf.DUMMYFUNCTION("FILTER(Dipromats!I$3:I$101, 
  REGEXMATCH(Dipromats!$A$3:$A$101, ""(?i)"" &amp; $A16)
)"),0.220620940157727)</f>
        <v>0.2206209402</v>
      </c>
      <c r="I16" s="5">
        <f>IFERROR(__xludf.DUMMYFUNCTION("FILTER(Dipromats!J$3:J$101, 
  REGEXMATCH(Dipromats!$A$3:$A$101, ""(?i)"" &amp; $A16)
)"),0.271705614091627)</f>
        <v>0.2717056141</v>
      </c>
      <c r="J16" s="19"/>
      <c r="L16" s="16" t="s">
        <v>14</v>
      </c>
      <c r="M16" s="17"/>
      <c r="N16" s="17"/>
      <c r="O16" s="18">
        <f t="shared" si="7"/>
        <v>76.34408602</v>
      </c>
    </row>
    <row r="17">
      <c r="A17" s="12" t="s">
        <v>28</v>
      </c>
      <c r="B17" s="13">
        <f t="shared" ref="B17:I17" si="8">B3-B16</f>
        <v>0.007883981003</v>
      </c>
      <c r="C17" s="13">
        <f t="shared" si="8"/>
        <v>-0.02140674074</v>
      </c>
      <c r="D17" s="13">
        <f t="shared" si="8"/>
        <v>0.3377983123</v>
      </c>
      <c r="E17" s="13">
        <f t="shared" si="8"/>
        <v>0.184516606</v>
      </c>
      <c r="F17" s="13">
        <f t="shared" si="8"/>
        <v>0.06734259963</v>
      </c>
      <c r="G17" s="13">
        <f t="shared" si="8"/>
        <v>0.06119785964</v>
      </c>
      <c r="H17" s="13">
        <f t="shared" si="8"/>
        <v>0.1129842061</v>
      </c>
      <c r="I17" s="13">
        <f t="shared" si="8"/>
        <v>0.09580322065</v>
      </c>
      <c r="J17" s="14">
        <f>AVERAGE(B17:I17)</f>
        <v>0.1057650056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B18" s="14">
        <f t="shared" ref="B18:I18" si="9">AVERAGE(B5,B7,B9,B11,B13,B15,B17)</f>
        <v>0.006036538638</v>
      </c>
      <c r="C18" s="14">
        <f t="shared" si="9"/>
        <v>-0.01565401313</v>
      </c>
      <c r="D18" s="14">
        <f t="shared" si="9"/>
        <v>0.07049821584</v>
      </c>
      <c r="E18" s="14">
        <f t="shared" si="9"/>
        <v>0.04259214337</v>
      </c>
      <c r="F18" s="14">
        <f t="shared" si="9"/>
        <v>0.03228086314</v>
      </c>
      <c r="G18" s="14">
        <f t="shared" si="9"/>
        <v>0.01174759699</v>
      </c>
      <c r="H18" s="14">
        <f t="shared" si="9"/>
        <v>0.05811795254</v>
      </c>
      <c r="I18" s="14">
        <f t="shared" si="9"/>
        <v>0.06273013817</v>
      </c>
    </row>
    <row r="19">
      <c r="B19" s="14">
        <f>AVERAGE(B18,C18)</f>
        <v>-0.004808737248</v>
      </c>
      <c r="C19" s="19"/>
      <c r="D19" s="14">
        <f>AVERAGE(D18,E18)</f>
        <v>0.0565451796</v>
      </c>
      <c r="E19" s="19"/>
      <c r="F19" s="14">
        <f>AVERAGE(F18,G18)</f>
        <v>0.02201423007</v>
      </c>
      <c r="G19" s="19"/>
      <c r="H19" s="14">
        <f>AVERAGE(H18,I18)</f>
        <v>0.06042404535</v>
      </c>
      <c r="I19" s="19"/>
    </row>
    <row r="21">
      <c r="A21" s="1" t="s">
        <v>29</v>
      </c>
      <c r="B21" s="4" t="s">
        <v>4</v>
      </c>
      <c r="D21" s="1" t="s">
        <v>5</v>
      </c>
      <c r="E21" s="1"/>
      <c r="F21" s="1" t="s">
        <v>6</v>
      </c>
      <c r="G21" s="1"/>
      <c r="H21" s="4" t="s">
        <v>7</v>
      </c>
      <c r="I21" s="1"/>
    </row>
    <row r="22">
      <c r="A22" s="4" t="s">
        <v>9</v>
      </c>
      <c r="B22" s="5">
        <f>IFERROR(__xludf.DUMMYFUNCTION("FILTER(SemEval_2025_T2!$G$3:$G$100, 
  REGEXMATCH(SemEval_2025_T2!$A$3:$A$100, ""(?i)"" &amp; $B$21 &amp;""_"" &amp; $A22)
)"),0.4296)</f>
        <v>0.4296</v>
      </c>
      <c r="C22" s="5">
        <f>IFERROR(__xludf.DUMMYFUNCTION("FILTER(SemEval_2025_T2!$H$3:$H$100, 
  REGEXMATCH(SemEval_2025_T2!$A$3:$A$100, ""(?i)"" &amp; $B$21 &amp;""_"" &amp; $A22)
)"),0.2824)</f>
        <v>0.2824</v>
      </c>
      <c r="D22" s="5">
        <f>IFERROR(__xludf.DUMMYFUNCTION("FILTER(SemEval_2025_T2!$G$3:$G$100, 
  REGEXMATCH(SemEval_2025_T2!$A$3:$A$100, ""(?i)"" &amp; $D$21 &amp;""_"" &amp; $A22)
)"),0.4004)</f>
        <v>0.4004</v>
      </c>
      <c r="E22" s="5">
        <f>IFERROR(__xludf.DUMMYFUNCTION("FILTER(SemEval_2025_T2!$H$3:$H$100, 
  REGEXMATCH(SemEval_2025_T2!$A$3:$A$100, ""(?i)"" &amp; $D$21 &amp;""_"" &amp; $A22)
)"),0.264)</f>
        <v>0.264</v>
      </c>
      <c r="F22" s="5">
        <f>IFERROR(__xludf.DUMMYFUNCTION("FILTER(SemEval_2025_T2!$G$3:$G$100, 
  REGEXMATCH(SemEval_2025_T2!$A$3:$A$100, ""(?i)"" &amp; $F$21 &amp;""_"" &amp; $A22)
)"),0.3482)</f>
        <v>0.3482</v>
      </c>
      <c r="G22" s="5">
        <f>IFERROR(__xludf.DUMMYFUNCTION("FILTER(SemEval_2025_T2!$H$3:$H$100, 
  REGEXMATCH(SemEval_2025_T2!$A$3:$A$100, ""(?i)"" &amp; $F$21 &amp;""_"" &amp; $A22)
)"),0.2128)</f>
        <v>0.2128</v>
      </c>
      <c r="H22" s="5">
        <f>IFERROR(__xludf.DUMMYFUNCTION("FILTER(SemEval_2025_T2!$G$3:$G$100, 
  REGEXMATCH(SemEval_2025_T2!$A$3:$A$100, ""(?i)"" &amp; $H$21 &amp;""_"" &amp; $A22)
)"),0.179199999999999)</f>
        <v>0.1792</v>
      </c>
      <c r="I22" s="5">
        <f>IFERROR(__xludf.DUMMYFUNCTION("FILTER(SemEval_2025_T2!$H$3:$H$100, 
  REGEXMATCH(SemEval_2025_T2!$A$3:$A$100, ""(?i)"" &amp; $H$21 &amp;""_"" &amp; $A22)
)"),0.1202)</f>
        <v>0.1202</v>
      </c>
    </row>
    <row r="23">
      <c r="A23" s="4" t="s">
        <v>11</v>
      </c>
      <c r="B23" s="5">
        <f>IFERROR(__xludf.DUMMYFUNCTION("FILTER(SemEval_2025_T2!$G$3:$G$100, 
  REGEXMATCH(SemEval_2025_T2!$A$3:$A$100, ""(?i)"" &amp; $B$21 &amp;""_"" &amp; $A23)
)"),0.4884)</f>
        <v>0.4884</v>
      </c>
      <c r="C23" s="5">
        <f>IFERROR(__xludf.DUMMYFUNCTION("FILTER(SemEval_2025_T2!$H$3:$H$100, 
  REGEXMATCH(SemEval_2025_T2!$A$3:$A$100, ""(?i)"" &amp; $B$21 &amp;""_"" &amp; $A23)
)"),0.309799999999999)</f>
        <v>0.3098</v>
      </c>
      <c r="D23" s="5">
        <f>IFERROR(__xludf.DUMMYFUNCTION("FILTER(SemEval_2025_T2!$G$3:$G$100, 
  REGEXMATCH(SemEval_2025_T2!$A$3:$A$100, ""(?i)"" &amp; $D$21 &amp;""_"" &amp; $A23)
)"),0.4214)</f>
        <v>0.4214</v>
      </c>
      <c r="E23" s="5">
        <f>IFERROR(__xludf.DUMMYFUNCTION("FILTER(SemEval_2025_T2!$H$3:$H$100, 
  REGEXMATCH(SemEval_2025_T2!$A$3:$A$100, ""(?i)"" &amp; $D$21 &amp;""_"" &amp; $A23)
)"),0.2862)</f>
        <v>0.2862</v>
      </c>
      <c r="F23" s="5">
        <f>IFERROR(__xludf.DUMMYFUNCTION("FILTER(SemEval_2025_T2!$G$3:$G$100, 
  REGEXMATCH(SemEval_2025_T2!$A$3:$A$100, ""(?i)"" &amp; $F$21 &amp;""_"" &amp; $A23)
)"),0.3434)</f>
        <v>0.3434</v>
      </c>
      <c r="G23" s="5">
        <f>IFERROR(__xludf.DUMMYFUNCTION("FILTER(SemEval_2025_T2!$H$3:$H$100, 
  REGEXMATCH(SemEval_2025_T2!$A$3:$A$100, ""(?i)"" &amp; $F$21 &amp;""_"" &amp; $A23)
)"),0.2124)</f>
        <v>0.2124</v>
      </c>
      <c r="H23" s="5">
        <f>IFERROR(__xludf.DUMMYFUNCTION("FILTER(SemEval_2025_T2!$G$3:$G$100, 
  REGEXMATCH(SemEval_2025_T2!$A$3:$A$100, ""(?i)"" &amp; $H$21 &amp;""_"" &amp; $A23)
)"),0.1666)</f>
        <v>0.1666</v>
      </c>
      <c r="I23" s="5">
        <f>IFERROR(__xludf.DUMMYFUNCTION("FILTER(SemEval_2025_T2!$H$3:$H$100, 
  REGEXMATCH(SemEval_2025_T2!$A$3:$A$100, ""(?i)"" &amp; $H$21 &amp;""_"" &amp; $A23)
)"),0.1056)</f>
        <v>0.1056</v>
      </c>
    </row>
    <row r="24">
      <c r="A24" s="12" t="s">
        <v>13</v>
      </c>
      <c r="B24" s="13">
        <f t="shared" ref="B24:I24" si="10">B22-B23</f>
        <v>-0.0588</v>
      </c>
      <c r="C24" s="13">
        <f t="shared" si="10"/>
        <v>-0.0274</v>
      </c>
      <c r="D24" s="13">
        <f t="shared" si="10"/>
        <v>-0.021</v>
      </c>
      <c r="E24" s="13">
        <f t="shared" si="10"/>
        <v>-0.0222</v>
      </c>
      <c r="F24" s="13">
        <f t="shared" si="10"/>
        <v>0.0048</v>
      </c>
      <c r="G24" s="13">
        <f t="shared" si="10"/>
        <v>0.0004</v>
      </c>
      <c r="H24" s="13">
        <f t="shared" si="10"/>
        <v>0.0126</v>
      </c>
      <c r="I24" s="13">
        <f t="shared" si="10"/>
        <v>0.0146</v>
      </c>
      <c r="J24" s="14">
        <f t="shared" ref="J24:K24" si="11">AVERAGE(B24,D24,F24,H24)</f>
        <v>-0.0156</v>
      </c>
      <c r="K24" s="14">
        <f t="shared" si="11"/>
        <v>-0.00865</v>
      </c>
      <c r="L24" s="14">
        <f>AVERAGE(J24,K24)</f>
        <v>-0.012125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4" t="s">
        <v>30</v>
      </c>
      <c r="B25" s="5">
        <f>IFERROR(__xludf.DUMMYFUNCTION("FILTER(SemEval_2025_T2!$G$3:$G$100, 
  REGEXMATCH(SemEval_2025_T2!$A$3:$A$100, ""(?i)"" &amp; $B$21 &amp;""_"" &amp; $A25)
)"),0.4362)</f>
        <v>0.4362</v>
      </c>
      <c r="C25" s="5">
        <f>IFERROR(__xludf.DUMMYFUNCTION("FILTER(SemEval_2025_T2!$H$3:$H$100, 
  REGEXMATCH(SemEval_2025_T2!$A$3:$A$100, ""(?i)"" &amp; $B$21 &amp;""_"" &amp; $A25)
)"),0.3042)</f>
        <v>0.3042</v>
      </c>
      <c r="D25" s="5">
        <f>IFERROR(__xludf.DUMMYFUNCTION("FILTER(SemEval_2025_T2!$G$3:$G$100, 
  REGEXMATCH(SemEval_2025_T2!$A$3:$A$100, ""(?i)"" &amp; $D$21 &amp;""_"" &amp; $A25)
)"),0.3392)</f>
        <v>0.3392</v>
      </c>
      <c r="E25" s="5">
        <f>IFERROR(__xludf.DUMMYFUNCTION("FILTER(SemEval_2025_T2!$H$3:$H$100, 
  REGEXMATCH(SemEval_2025_T2!$A$3:$A$100, ""(?i)"" &amp; $D$21 &amp;""_"" &amp; $A25)
)"),0.2208)</f>
        <v>0.2208</v>
      </c>
      <c r="F25" s="5">
        <f>IFERROR(__xludf.DUMMYFUNCTION("FILTER(SemEval_2025_T2!$G$3:$G$100, 
  REGEXMATCH(SemEval_2025_T2!$A$3:$A$100, ""(?i)"" &amp; $F$21 &amp;""_"" &amp; $A25)
)"),0.3016)</f>
        <v>0.3016</v>
      </c>
      <c r="G25" s="5">
        <f>IFERROR(__xludf.DUMMYFUNCTION("FILTER(SemEval_2025_T2!$H$3:$H$100, 
  REGEXMATCH(SemEval_2025_T2!$A$3:$A$100, ""(?i)"" &amp; $F$21 &amp;""_"" &amp; $A25)
)"),0.1792)</f>
        <v>0.1792</v>
      </c>
      <c r="H25" s="5">
        <f>IFERROR(__xludf.DUMMYFUNCTION("FILTER(SemEval_2025_T2!$G$3:$G$100, 
  REGEXMATCH(SemEval_2025_T2!$A$3:$A$100, ""(?i)"" &amp; $H$21 &amp;""_"" &amp; $A25)
)"),0.1424)</f>
        <v>0.1424</v>
      </c>
      <c r="I25" s="5">
        <f>IFERROR(__xludf.DUMMYFUNCTION("FILTER(SemEval_2025_T2!$H$3:$H$100, 
  REGEXMATCH(SemEval_2025_T2!$A$3:$A$100, ""(?i)"" &amp; $H$21 &amp;""_"" &amp; $A25)
)"),0.0802)</f>
        <v>0.0802</v>
      </c>
      <c r="J25" s="19"/>
      <c r="K25" s="19"/>
      <c r="L25" s="19"/>
    </row>
    <row r="26">
      <c r="A26" s="12" t="s">
        <v>17</v>
      </c>
      <c r="B26" s="13">
        <f t="shared" ref="B26:I26" si="12">B22-B25</f>
        <v>-0.0066</v>
      </c>
      <c r="C26" s="13">
        <f t="shared" si="12"/>
        <v>-0.0218</v>
      </c>
      <c r="D26" s="13">
        <f t="shared" si="12"/>
        <v>0.0612</v>
      </c>
      <c r="E26" s="13">
        <f t="shared" si="12"/>
        <v>0.0432</v>
      </c>
      <c r="F26" s="13">
        <f t="shared" si="12"/>
        <v>0.0466</v>
      </c>
      <c r="G26" s="13">
        <f t="shared" si="12"/>
        <v>0.0336</v>
      </c>
      <c r="H26" s="13">
        <f t="shared" si="12"/>
        <v>0.0368</v>
      </c>
      <c r="I26" s="13">
        <f t="shared" si="12"/>
        <v>0.04</v>
      </c>
      <c r="J26" s="14">
        <f t="shared" ref="J26:K26" si="13">AVERAGE(B26,D26,F26,H26)</f>
        <v>0.0345</v>
      </c>
      <c r="K26" s="14">
        <f t="shared" si="13"/>
        <v>0.02375</v>
      </c>
      <c r="L26" s="14">
        <f>AVERAGE(J26,K26)</f>
        <v>0.029125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4" t="s">
        <v>31</v>
      </c>
      <c r="B27" s="5">
        <f>IFERROR(__xludf.DUMMYFUNCTION("FILTER(SemEval_2025_T2!$G$3:$G$100, 
  REGEXMATCH(SemEval_2025_T2!$A$3:$A$100, ""(?i)"" &amp; $B$21 &amp;""_"" &amp; $A27)
)"),0.444199999999999)</f>
        <v>0.4442</v>
      </c>
      <c r="C27" s="5">
        <f>IFERROR(__xludf.DUMMYFUNCTION("FILTER(SemEval_2025_T2!$H$3:$H$100, 
  REGEXMATCH(SemEval_2025_T2!$A$3:$A$100, ""(?i)"" &amp; $B$21 &amp;""_"" &amp; $A27)
)"),0.281)</f>
        <v>0.281</v>
      </c>
      <c r="D27" s="5">
        <f>IFERROR(__xludf.DUMMYFUNCTION("FILTER(SemEval_2025_T2!$G$3:$G$100, 
  REGEXMATCH(SemEval_2025_T2!$A$3:$A$100, ""(?i)"" &amp; $D$21 &amp;""_"" &amp; $A27)
)"),0.3556)</f>
        <v>0.3556</v>
      </c>
      <c r="E27" s="5">
        <f>IFERROR(__xludf.DUMMYFUNCTION("FILTER(SemEval_2025_T2!$H$3:$H$100, 
  REGEXMATCH(SemEval_2025_T2!$A$3:$A$100, ""(?i)"" &amp; $D$21 &amp;""_"" &amp; $A27)
)"),0.235)</f>
        <v>0.235</v>
      </c>
      <c r="F27" s="5">
        <f>IFERROR(__xludf.DUMMYFUNCTION("FILTER(SemEval_2025_T2!$G$3:$G$100, 
  REGEXMATCH(SemEval_2025_T2!$A$3:$A$100, ""(?i)"" &amp; $F$21 &amp;""_"" &amp; $A27)
)"),0.2892)</f>
        <v>0.2892</v>
      </c>
      <c r="G27" s="5">
        <f>IFERROR(__xludf.DUMMYFUNCTION("FILTER(SemEval_2025_T2!$H$3:$H$100, 
  REGEXMATCH(SemEval_2025_T2!$A$3:$A$100, ""(?i)"" &amp; $F$21 &amp;""_"" &amp; $A27)
)"),0.16)</f>
        <v>0.16</v>
      </c>
      <c r="H27" s="5">
        <f>IFERROR(__xludf.DUMMYFUNCTION("FILTER(SemEval_2025_T2!$G$3:$G$100, 
  REGEXMATCH(SemEval_2025_T2!$A$3:$A$100, ""(?i)"" &amp; $H$21 &amp;""_"" &amp; $A27)
)"),0.1274)</f>
        <v>0.1274</v>
      </c>
      <c r="I27" s="5">
        <f>IFERROR(__xludf.DUMMYFUNCTION("FILTER(SemEval_2025_T2!$H$3:$H$100, 
  REGEXMATCH(SemEval_2025_T2!$A$3:$A$100, ""(?i)"" &amp; $H$21 &amp;""_"" &amp; $A27)
)"),0.0496)</f>
        <v>0.0496</v>
      </c>
      <c r="J27" s="19"/>
      <c r="K27" s="19"/>
      <c r="L27" s="19"/>
    </row>
    <row r="28">
      <c r="A28" s="12" t="s">
        <v>19</v>
      </c>
      <c r="B28" s="13">
        <f t="shared" ref="B28:I28" si="14">B22-B27</f>
        <v>-0.0146</v>
      </c>
      <c r="C28" s="13">
        <f t="shared" si="14"/>
        <v>0.0014</v>
      </c>
      <c r="D28" s="13">
        <f t="shared" si="14"/>
        <v>0.0448</v>
      </c>
      <c r="E28" s="13">
        <f t="shared" si="14"/>
        <v>0.029</v>
      </c>
      <c r="F28" s="13">
        <f t="shared" si="14"/>
        <v>0.059</v>
      </c>
      <c r="G28" s="13">
        <f t="shared" si="14"/>
        <v>0.0528</v>
      </c>
      <c r="H28" s="13">
        <f t="shared" si="14"/>
        <v>0.0518</v>
      </c>
      <c r="I28" s="13">
        <f t="shared" si="14"/>
        <v>0.0706</v>
      </c>
      <c r="J28" s="14">
        <f t="shared" ref="J28:K28" si="15">AVERAGE(B28,D28,F28,H28)</f>
        <v>0.03525</v>
      </c>
      <c r="K28" s="14">
        <f t="shared" si="15"/>
        <v>0.03845</v>
      </c>
      <c r="L28" s="14">
        <f>AVERAGE(J28,K28)</f>
        <v>0.03685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4" t="s">
        <v>32</v>
      </c>
      <c r="B29" s="5">
        <f>IFERROR(__xludf.DUMMYFUNCTION("FILTER(SemEval_2025_T2!$G$3:$G$100, 
  REGEXMATCH(SemEval_2025_T2!$A$3:$A$100, ""(?i)"" &amp; $B$21 &amp;""_"" &amp; $A29), NOT(REGEXMATCH(SemEval_2025_T2!$A$3:$A$100, ""(?i)complete""))
)"),0.4852)</f>
        <v>0.4852</v>
      </c>
      <c r="C29" s="5">
        <f>IFERROR(__xludf.DUMMYFUNCTION("FILTER(SemEval_2025_T2!$H$3:$H$100, 
  REGEXMATCH(SemEval_2025_T2!$A$3:$A$100, ""(?i)"" &amp; $B$21 &amp;""_"" &amp; $A29), NOT(REGEXMATCH(SemEval_2025_T2!$A$3:$A$100, ""(?i)complete""))
)"),0.3286)</f>
        <v>0.3286</v>
      </c>
      <c r="D29" s="5">
        <f>IFERROR(__xludf.DUMMYFUNCTION("FILTER(SemEval_2025_T2!$G$3:$G$100, 
  REGEXMATCH(SemEval_2025_T2!$A$3:$A$100, ""(?i)"" &amp; $D$21 &amp;""_"" &amp; $A29), NOT(REGEXMATCH(SemEval_2025_T2!$A$3:$A$100, ""(?i)complete""))
)"),0.3592)</f>
        <v>0.3592</v>
      </c>
      <c r="E29" s="5">
        <f>IFERROR(__xludf.DUMMYFUNCTION("FILTER(SemEval_2025_T2!$H$3:$H$100, 
  REGEXMATCH(SemEval_2025_T2!$A$3:$A$100, ""(?i)"" &amp; $D$21 &amp;""_"" &amp; $A29), NOT(REGEXMATCH(SemEval_2025_T2!$A$3:$A$100, ""(?i)complete""))
)"),0.2508)</f>
        <v>0.2508</v>
      </c>
      <c r="F29" s="5">
        <f>IFERROR(__xludf.DUMMYFUNCTION("FILTER(SemEval_2025_T2!$G$3:$G$100, 
  REGEXMATCH(SemEval_2025_T2!$A$3:$A$100, ""(?i)"" &amp; $F$21 &amp;""_"" &amp; $A29), NOT(REGEXMATCH(SemEval_2025_T2!$A$3:$A$100, ""(?i)complete""))
)"),0.3106)</f>
        <v>0.3106</v>
      </c>
      <c r="G29" s="5">
        <f>IFERROR(__xludf.DUMMYFUNCTION("FILTER(SemEval_2025_T2!$H$3:$H$100, 
  REGEXMATCH(SemEval_2025_T2!$A$3:$A$100, ""(?i)"" &amp; $F$21 &amp;""_"" &amp; $A29), NOT(REGEXMATCH(SemEval_2025_T2!$A$3:$A$100, ""(?i)complete""))
)"),0.1764)</f>
        <v>0.1764</v>
      </c>
      <c r="H29" s="5">
        <f>IFERROR(__xludf.DUMMYFUNCTION("FILTER(SemEval_2025_T2!$G$3:$G$100, 
  REGEXMATCH(SemEval_2025_T2!$A$3:$A$100, ""(?i)"" &amp; $H$21 &amp;""_"" &amp; $A29), NOT(REGEXMATCH(SemEval_2025_T2!$A$3:$A$100, ""(?i)complete""))
)"),0.1246)</f>
        <v>0.1246</v>
      </c>
      <c r="I29" s="5">
        <f>IFERROR(__xludf.DUMMYFUNCTION("FILTER(SemEval_2025_T2!$H$3:$H$100, 
  REGEXMATCH(SemEval_2025_T2!$A$3:$A$100, ""(?i)"" &amp; $H$21 &amp;""_"" &amp; $A29), NOT(REGEXMATCH(SemEval_2025_T2!$A$3:$A$100, ""(?i)complete""))
)"),0.0576)</f>
        <v>0.0576</v>
      </c>
      <c r="J29" s="19"/>
      <c r="K29" s="19"/>
      <c r="L29" s="19"/>
    </row>
    <row r="30">
      <c r="A30" s="12" t="s">
        <v>21</v>
      </c>
      <c r="B30" s="13">
        <f t="shared" ref="B30:I30" si="16">B22-B29</f>
        <v>-0.0556</v>
      </c>
      <c r="C30" s="13">
        <f t="shared" si="16"/>
        <v>-0.0462</v>
      </c>
      <c r="D30" s="13">
        <f t="shared" si="16"/>
        <v>0.0412</v>
      </c>
      <c r="E30" s="13">
        <f t="shared" si="16"/>
        <v>0.0132</v>
      </c>
      <c r="F30" s="13">
        <f t="shared" si="16"/>
        <v>0.0376</v>
      </c>
      <c r="G30" s="13">
        <f t="shared" si="16"/>
        <v>0.0364</v>
      </c>
      <c r="H30" s="13">
        <f t="shared" si="16"/>
        <v>0.0546</v>
      </c>
      <c r="I30" s="13">
        <f t="shared" si="16"/>
        <v>0.0626</v>
      </c>
      <c r="J30" s="14">
        <f t="shared" ref="J30:K30" si="17">AVERAGE(B30,D30,F30,H30)</f>
        <v>0.01945</v>
      </c>
      <c r="K30" s="14">
        <f t="shared" si="17"/>
        <v>0.0165</v>
      </c>
      <c r="L30" s="14">
        <f>AVERAGE(J30,K30)</f>
        <v>0.017975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4" t="s">
        <v>33</v>
      </c>
      <c r="B31" s="5">
        <f>IFERROR(__xludf.DUMMYFUNCTION("FILTER(SemEval_2025_T2!$G$3:$G$100, 
  REGEXMATCH(SemEval_2025_T2!$A$3:$A$100, ""(?i)"" &amp; $B$21 &amp;""_"" &amp; $A31), NOT(REGEXMATCH(SemEval_2025_T2!$A$3:$A$100, ""(?i)complete""))
)"),0.4684)</f>
        <v>0.4684</v>
      </c>
      <c r="C31" s="5">
        <f>IFERROR(__xludf.DUMMYFUNCTION("FILTER(SemEval_2025_T2!$H$3:$H$100, 
  REGEXMATCH(SemEval_2025_T2!$A$3:$A$100, ""(?i)"" &amp; $B$21 &amp;""_"" &amp; $A31), NOT(REGEXMATCH(SemEval_2025_T2!$A$3:$A$100, ""(?i)complete""))
)"),0.3222)</f>
        <v>0.3222</v>
      </c>
      <c r="D31" s="5">
        <f>IFERROR(__xludf.DUMMYFUNCTION("FILTER(SemEval_2025_T2!$G$3:$G$100, 
  REGEXMATCH(SemEval_2025_T2!$A$3:$A$100, ""(?i)"" &amp; $D$21 &amp;""_"" &amp; $A31), NOT(REGEXMATCH(SemEval_2025_T2!$A$3:$A$100, ""(?i)complete""))
)"),0.383)</f>
        <v>0.383</v>
      </c>
      <c r="E31" s="5">
        <f>IFERROR(__xludf.DUMMYFUNCTION("FILTER(SemEval_2025_T2!$H$3:$H$100, 
  REGEXMATCH(SemEval_2025_T2!$A$3:$A$100, ""(?i)"" &amp; $D$21 &amp;""_"" &amp; $A31), NOT(REGEXMATCH(SemEval_2025_T2!$A$3:$A$100, ""(?i)complete""))
)"),0.267599999999999)</f>
        <v>0.2676</v>
      </c>
      <c r="F31" s="5">
        <f>IFERROR(__xludf.DUMMYFUNCTION("FILTER(SemEval_2025_T2!$G$3:$G$100, 
  REGEXMATCH(SemEval_2025_T2!$A$3:$A$100, ""(?i)"" &amp; $F$21 &amp;""_"" &amp; $A31), NOT(REGEXMATCH(SemEval_2025_T2!$A$3:$A$100, ""(?i)complete""))
)"),0.3124)</f>
        <v>0.3124</v>
      </c>
      <c r="G31" s="5">
        <f>IFERROR(__xludf.DUMMYFUNCTION("FILTER(SemEval_2025_T2!$H$3:$H$100, 
  REGEXMATCH(SemEval_2025_T2!$A$3:$A$100, ""(?i)"" &amp; $F$21 &amp;""_"" &amp; $A31), NOT(REGEXMATCH(SemEval_2025_T2!$A$3:$A$100, ""(?i)complete""))
)"),0.177)</f>
        <v>0.177</v>
      </c>
      <c r="H31" s="5">
        <f>IFERROR(__xludf.DUMMYFUNCTION("FILTER(SemEval_2025_T2!$G$3:$G$100, 
  REGEXMATCH(SemEval_2025_T2!$A$3:$A$100, ""(?i)"" &amp; $H$21 &amp;""_"" &amp; $A31), NOT(REGEXMATCH(SemEval_2025_T2!$A$3:$A$100, ""(?i)complete""))
)"),0.117799999999999)</f>
        <v>0.1178</v>
      </c>
      <c r="I31" s="5">
        <f>IFERROR(__xludf.DUMMYFUNCTION("FILTER(SemEval_2025_T2!$H$3:$H$100, 
  REGEXMATCH(SemEval_2025_T2!$A$3:$A$100, ""(?i)"" &amp; $H$21 &amp;""_"" &amp; $A31), NOT(REGEXMATCH(SemEval_2025_T2!$A$3:$A$100, ""(?i)complete""))
)"),0.0406)</f>
        <v>0.0406</v>
      </c>
      <c r="J31" s="19"/>
      <c r="K31" s="19"/>
      <c r="L31" s="19"/>
    </row>
    <row r="32">
      <c r="A32" s="12" t="s">
        <v>24</v>
      </c>
      <c r="B32" s="13">
        <f t="shared" ref="B32:I32" si="18">B22-B31</f>
        <v>-0.0388</v>
      </c>
      <c r="C32" s="13">
        <f t="shared" si="18"/>
        <v>-0.0398</v>
      </c>
      <c r="D32" s="13">
        <f t="shared" si="18"/>
        <v>0.0174</v>
      </c>
      <c r="E32" s="13">
        <f t="shared" si="18"/>
        <v>-0.0036</v>
      </c>
      <c r="F32" s="13">
        <f t="shared" si="18"/>
        <v>0.0358</v>
      </c>
      <c r="G32" s="13">
        <f t="shared" si="18"/>
        <v>0.0358</v>
      </c>
      <c r="H32" s="13">
        <f t="shared" si="18"/>
        <v>0.0614</v>
      </c>
      <c r="I32" s="13">
        <f t="shared" si="18"/>
        <v>0.0796</v>
      </c>
      <c r="J32" s="14">
        <f t="shared" ref="J32:K32" si="19">AVERAGE(B32,D32,F32,H32)</f>
        <v>0.01895</v>
      </c>
      <c r="K32" s="14">
        <f t="shared" si="19"/>
        <v>0.018</v>
      </c>
      <c r="L32" s="14">
        <f>AVERAGE(J32,K32)</f>
        <v>0.018475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4" t="s">
        <v>34</v>
      </c>
      <c r="B33" s="5">
        <f>IFERROR(__xludf.DUMMYFUNCTION("FILTER(SemEval_2025_T2!$G$3:$G$100, 
  REGEXMATCH(SemEval_2025_T2!$A$3:$A$100, ""(?i)"" &amp; $B$21 &amp;""_"" &amp; $A33)
)"),0.4522)</f>
        <v>0.4522</v>
      </c>
      <c r="C33" s="5">
        <f>IFERROR(__xludf.DUMMYFUNCTION("FILTER(SemEval_2025_T2!$H$3:$H$100, 
  REGEXMATCH(SemEval_2025_T2!$A$3:$A$100, ""(?i)"" &amp; $B$21 &amp;""_"" &amp; $A33)
)"),0.3188)</f>
        <v>0.3188</v>
      </c>
      <c r="D33" s="5">
        <f>IFERROR(__xludf.DUMMYFUNCTION("FILTER(SemEval_2025_T2!$G$3:$G$100, 
  REGEXMATCH(SemEval_2025_T2!$A$3:$A$100, ""(?i)"" &amp; $D$21 &amp;""_"" &amp; $A33)
)"),0.281)</f>
        <v>0.281</v>
      </c>
      <c r="E33" s="5">
        <f>IFERROR(__xludf.DUMMYFUNCTION("FILTER(SemEval_2025_T2!$H$3:$H$100, 
  REGEXMATCH(SemEval_2025_T2!$A$3:$A$100, ""(?i)"" &amp; $D$21 &amp;""_"" &amp; $A33)
)"),0.281)</f>
        <v>0.281</v>
      </c>
      <c r="F33" s="5">
        <f>IFERROR(__xludf.DUMMYFUNCTION("FILTER(SemEval_2025_T2!$G$3:$G$100, 
  REGEXMATCH(SemEval_2025_T2!$A$3:$A$100, ""(?i)"" &amp; $F$21 &amp;""_"" &amp; $A33)
)"),0.2836)</f>
        <v>0.2836</v>
      </c>
      <c r="G33" s="5">
        <f>IFERROR(__xludf.DUMMYFUNCTION("FILTER(SemEval_2025_T2!$H$3:$H$100, 
  REGEXMATCH(SemEval_2025_T2!$A$3:$A$100, ""(?i)"" &amp; $F$21 &amp;""_"" &amp; $A33)
)"),0.189)</f>
        <v>0.189</v>
      </c>
      <c r="H33" s="5">
        <f>IFERROR(__xludf.DUMMYFUNCTION("FILTER(SemEval_2025_T2!$G$3:$G$100, 
  REGEXMATCH(SemEval_2025_T2!$A$3:$A$100, ""(?i)"" &amp; $H$21 &amp;""_"" &amp; $A33)
)"),0.1028)</f>
        <v>0.1028</v>
      </c>
      <c r="I33" s="5">
        <f>IFERROR(__xludf.DUMMYFUNCTION("FILTER(SemEval_2025_T2!$H$3:$H$100, 
  REGEXMATCH(SemEval_2025_T2!$A$3:$A$100, ""(?i)"" &amp; $H$21 &amp;""_"" &amp; $A33)
)"),0.0496)</f>
        <v>0.0496</v>
      </c>
      <c r="J33" s="19"/>
      <c r="K33" s="19"/>
      <c r="L33" s="19"/>
    </row>
    <row r="34">
      <c r="A34" s="12" t="s">
        <v>26</v>
      </c>
      <c r="B34" s="13">
        <f t="shared" ref="B34:I34" si="20">B22-B33</f>
        <v>-0.0226</v>
      </c>
      <c r="C34" s="13">
        <f t="shared" si="20"/>
        <v>-0.0364</v>
      </c>
      <c r="D34" s="13">
        <f t="shared" si="20"/>
        <v>0.1194</v>
      </c>
      <c r="E34" s="13">
        <f t="shared" si="20"/>
        <v>-0.017</v>
      </c>
      <c r="F34" s="13">
        <f t="shared" si="20"/>
        <v>0.0646</v>
      </c>
      <c r="G34" s="13">
        <f t="shared" si="20"/>
        <v>0.0238</v>
      </c>
      <c r="H34" s="13">
        <f t="shared" si="20"/>
        <v>0.0764</v>
      </c>
      <c r="I34" s="13">
        <f t="shared" si="20"/>
        <v>0.0706</v>
      </c>
      <c r="J34" s="14">
        <f t="shared" ref="J34:K34" si="21">AVERAGE(B34,D34,F34,H34)</f>
        <v>0.05945</v>
      </c>
      <c r="K34" s="14">
        <f t="shared" si="21"/>
        <v>0.01025</v>
      </c>
      <c r="L34" s="14">
        <f>AVERAGE(J34,K34)</f>
        <v>0.03485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4" t="s">
        <v>35</v>
      </c>
      <c r="B35" s="5">
        <f>IFERROR(__xludf.DUMMYFUNCTION("FILTER(SemEval_2025_T2!$G$3:$G$100, 
  REGEXMATCH(SemEval_2025_T2!$A$3:$A$100, ""(?i)"" &amp; $B$21 &amp;""_"" &amp; $A35)
)"),0.453)</f>
        <v>0.453</v>
      </c>
      <c r="C35" s="5">
        <f>IFERROR(__xludf.DUMMYFUNCTION("FILTER(SemEval_2025_T2!$H$3:$H$100, 
  REGEXMATCH(SemEval_2025_T2!$A$3:$A$100, ""(?i)"" &amp; $B$21 &amp;""_"" &amp; $A35)
)"),0.3236)</f>
        <v>0.3236</v>
      </c>
      <c r="D35" s="5">
        <f>IFERROR(__xludf.DUMMYFUNCTION("FILTER(SemEval_2025_T2!$G$3:$G$100, 
  REGEXMATCH(SemEval_2025_T2!$A$3:$A$100, ""(?i)"" &amp; $D$21 &amp;""_"" &amp; $A35)
)"),0.2978)</f>
        <v>0.2978</v>
      </c>
      <c r="E35" s="5">
        <f>IFERROR(__xludf.DUMMYFUNCTION("FILTER(SemEval_2025_T2!$H$3:$H$100, 
  REGEXMATCH(SemEval_2025_T2!$A$3:$A$100, ""(?i)"" &amp; $D$21 &amp;""_"" &amp; $A35)
)"),0.211399999999999)</f>
        <v>0.2114</v>
      </c>
      <c r="F35" s="5">
        <f>IFERROR(__xludf.DUMMYFUNCTION("FILTER(SemEval_2025_T2!$G$3:$G$100, 
  REGEXMATCH(SemEval_2025_T2!$A$3:$A$100, ""(?i)"" &amp; $F$21 &amp;""_"" &amp; $A35)
)"),0.2526)</f>
        <v>0.2526</v>
      </c>
      <c r="G35" s="5">
        <f>IFERROR(__xludf.DUMMYFUNCTION("FILTER(SemEval_2025_T2!$H$3:$H$100, 
  REGEXMATCH(SemEval_2025_T2!$A$3:$A$100, ""(?i)"" &amp; $F$21 &amp;""_"" &amp; $A35)
)"),0.163)</f>
        <v>0.163</v>
      </c>
      <c r="H35" s="5">
        <f>IFERROR(__xludf.DUMMYFUNCTION("FILTER(SemEval_2025_T2!$G$3:$G$100, 
  REGEXMATCH(SemEval_2025_T2!$A$3:$A$100, ""(?i)"" &amp; $H$21 &amp;""_"" &amp; $A35)
)"),0.1008)</f>
        <v>0.1008</v>
      </c>
      <c r="I35" s="5">
        <f>IFERROR(__xludf.DUMMYFUNCTION("FILTER(SemEval_2025_T2!$H$3:$H$100, 
  REGEXMATCH(SemEval_2025_T2!$A$3:$A$100, ""(?i)"" &amp; $H$21 &amp;""_"" &amp; $A35)
)"),0.034)</f>
        <v>0.034</v>
      </c>
      <c r="J35" s="19"/>
      <c r="K35" s="19"/>
      <c r="L35" s="19"/>
    </row>
    <row r="36">
      <c r="A36" s="12" t="s">
        <v>28</v>
      </c>
      <c r="B36" s="13">
        <f t="shared" ref="B36:I36" si="22">B22-B35</f>
        <v>-0.0234</v>
      </c>
      <c r="C36" s="13">
        <f t="shared" si="22"/>
        <v>-0.0412</v>
      </c>
      <c r="D36" s="13">
        <f t="shared" si="22"/>
        <v>0.1026</v>
      </c>
      <c r="E36" s="13">
        <f t="shared" si="22"/>
        <v>0.0526</v>
      </c>
      <c r="F36" s="13">
        <f t="shared" si="22"/>
        <v>0.0956</v>
      </c>
      <c r="G36" s="13">
        <f t="shared" si="22"/>
        <v>0.0498</v>
      </c>
      <c r="H36" s="13">
        <f t="shared" si="22"/>
        <v>0.0784</v>
      </c>
      <c r="I36" s="13">
        <f t="shared" si="22"/>
        <v>0.0862</v>
      </c>
      <c r="J36" s="14">
        <f t="shared" ref="J36:K36" si="23">AVERAGE(B36,D36,F36,H36)</f>
        <v>0.0633</v>
      </c>
      <c r="K36" s="14">
        <f t="shared" si="23"/>
        <v>0.03685</v>
      </c>
      <c r="L36" s="14">
        <f>AVERAGE(J36,K36)</f>
        <v>0.050075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B37" s="14">
        <f t="shared" ref="B37:I37" si="24">AVERAGE(B24,B26,B28,B30,B32,B34,B36)</f>
        <v>-0.03148571429</v>
      </c>
      <c r="C37" s="14">
        <f t="shared" si="24"/>
        <v>-0.0302</v>
      </c>
      <c r="D37" s="14">
        <f t="shared" si="24"/>
        <v>0.05222857143</v>
      </c>
      <c r="E37" s="14">
        <f t="shared" si="24"/>
        <v>0.0136</v>
      </c>
      <c r="F37" s="14">
        <f t="shared" si="24"/>
        <v>0.04914285714</v>
      </c>
      <c r="G37" s="14">
        <f t="shared" si="24"/>
        <v>0.03322857143</v>
      </c>
      <c r="H37" s="14">
        <f t="shared" si="24"/>
        <v>0.05314285714</v>
      </c>
      <c r="I37" s="14">
        <f t="shared" si="24"/>
        <v>0.0606</v>
      </c>
    </row>
    <row r="38">
      <c r="B38" s="14">
        <f>AVERAGE(B37,C37)</f>
        <v>-0.03084285714</v>
      </c>
      <c r="C38" s="19"/>
      <c r="D38" s="14">
        <f>AVERAGE(D37,E37)</f>
        <v>0.03291428571</v>
      </c>
      <c r="E38" s="19"/>
      <c r="F38" s="14">
        <f>AVERAGE(F37,G37)</f>
        <v>0.04118571429</v>
      </c>
      <c r="G38" s="19"/>
      <c r="H38" s="14">
        <f>AVERAGE(H37,I37)</f>
        <v>0.05687142857</v>
      </c>
      <c r="I38" s="19"/>
    </row>
    <row r="40">
      <c r="A40" s="1" t="s">
        <v>36</v>
      </c>
      <c r="B40" s="4" t="s">
        <v>4</v>
      </c>
      <c r="D40" s="1" t="s">
        <v>5</v>
      </c>
      <c r="E40" s="1"/>
      <c r="F40" s="1" t="s">
        <v>6</v>
      </c>
      <c r="G40" s="1"/>
      <c r="H40" s="4" t="s">
        <v>7</v>
      </c>
      <c r="I40" s="1"/>
    </row>
    <row r="41">
      <c r="A41" s="4" t="s">
        <v>9</v>
      </c>
      <c r="B41" s="5">
        <f>IFERROR(__xludf.DUMMYFUNCTION("FILTER(SemEval_2025_T2!$E$3:$E$100, 
  REGEXMATCH(SemEval_2025_T2!$A$3:$A$100, ""(?i)"" &amp; $B$21 &amp;""_"" &amp; $A41)
)"),0.5206)</f>
        <v>0.5206</v>
      </c>
      <c r="C41" s="5">
        <f>IFERROR(__xludf.DUMMYFUNCTION("FILTER(SemEval_2025_T2!$F$3:$F$100, 
  REGEXMATCH(SemEval_2025_T2!$A$3:$A$100, ""(?i)"" &amp; $B$21 &amp;""_"" &amp; $A41)
)"),0.3216)</f>
        <v>0.3216</v>
      </c>
      <c r="D41" s="5">
        <f>IFERROR(__xludf.DUMMYFUNCTION("FILTER(SemEval_2025_T2!$E$3:$E$100, 
  REGEXMATCH(SemEval_2025_T2!$A$3:$A$100, ""(?i)"" &amp; $D$21 &amp;""_"" &amp; $A41)
)"),0.289799999999999)</f>
        <v>0.2898</v>
      </c>
      <c r="E41" s="5">
        <f>IFERROR(__xludf.DUMMYFUNCTION("FILTER(SemEval_2025_T2!$F$3:$F$100, 
  REGEXMATCH(SemEval_2025_T2!$A$3:$A$100, ""(?i)"" &amp; $D$21 &amp;""_"" &amp; $A41)
)"),0.287799999999999)</f>
        <v>0.2878</v>
      </c>
      <c r="F41" s="5">
        <f>IFERROR(__xludf.DUMMYFUNCTION("FILTER(SemEval_2025_T2!$E$3:$E$100, 
  REGEXMATCH(SemEval_2025_T2!$A$3:$A$100, ""(?i)"" &amp; $F$21 &amp;""_"" &amp; $A41)
)"),0.363199999999999)</f>
        <v>0.3632</v>
      </c>
      <c r="G41" s="5">
        <f>IFERROR(__xludf.DUMMYFUNCTION("FILTER(SemEval_2025_T2!$F$3:$F$100, 
  REGEXMATCH(SemEval_2025_T2!$A$3:$A$100, ""(?i)"" &amp; $F$21 &amp;""_"" &amp; $A41)
)"),0.1464)</f>
        <v>0.1464</v>
      </c>
      <c r="H41" s="5">
        <f>IFERROR(__xludf.DUMMYFUNCTION("FILTER(SemEval_2025_T2!$E$3:$E$100, 
  REGEXMATCH(SemEval_2025_T2!$A$3:$A$100, ""(?i)"" &amp; $H$21 &amp;""_"" &amp; $A41)
)"),0.195)</f>
        <v>0.195</v>
      </c>
      <c r="I41" s="5">
        <f>IFERROR(__xludf.DUMMYFUNCTION("FILTER(SemEval_2025_T2!$F$3:$F$100, 
  REGEXMATCH(SemEval_2025_T2!$A$3:$A$100, ""(?i)"" &amp; $H$21 &amp;""_"" &amp; $A41)
)"),0.1172)</f>
        <v>0.1172</v>
      </c>
    </row>
    <row r="42">
      <c r="A42" s="4" t="s">
        <v>11</v>
      </c>
      <c r="B42" s="5">
        <f>IFERROR(__xludf.DUMMYFUNCTION("FILTER(SemEval_2025_T2!$E$3:$E$100, 
  REGEXMATCH(SemEval_2025_T2!$A$3:$A$100, ""(?i)"" &amp; $B$21 &amp;""_"" &amp; $A42)
)"),0.4858)</f>
        <v>0.4858</v>
      </c>
      <c r="C42" s="5">
        <f>IFERROR(__xludf.DUMMYFUNCTION("FILTER(SemEval_2025_T2!$F$3:$F$100, 
  REGEXMATCH(SemEval_2025_T2!$A$3:$A$100, ""(?i)"" &amp; $B$21 &amp;""_"" &amp; $A42)
)"),0.301799999999999)</f>
        <v>0.3018</v>
      </c>
      <c r="D42" s="5">
        <f>IFERROR(__xludf.DUMMYFUNCTION("FILTER(SemEval_2025_T2!$E$3:$E$100, 
  REGEXMATCH(SemEval_2025_T2!$A$3:$A$100, ""(?i)"" &amp; $D$21 &amp;""_"" &amp; $A42)
)"),0.4278)</f>
        <v>0.4278</v>
      </c>
      <c r="E42" s="5">
        <f>IFERROR(__xludf.DUMMYFUNCTION("FILTER(SemEval_2025_T2!$F$3:$F$100, 
  REGEXMATCH(SemEval_2025_T2!$A$3:$A$100, ""(?i)"" &amp; $D$21 &amp;""_"" &amp; $A42)
)"),0.324199999999999)</f>
        <v>0.3242</v>
      </c>
      <c r="F42" s="5">
        <f>IFERROR(__xludf.DUMMYFUNCTION("FILTER(SemEval_2025_T2!$E$3:$E$100, 
  REGEXMATCH(SemEval_2025_T2!$A$3:$A$100, ""(?i)"" &amp; $F$21 &amp;""_"" &amp; $A42)
)"),0.3398)</f>
        <v>0.3398</v>
      </c>
      <c r="G42" s="5">
        <f>IFERROR(__xludf.DUMMYFUNCTION("FILTER(SemEval_2025_T2!$F$3:$F$100, 
  REGEXMATCH(SemEval_2025_T2!$A$3:$A$100, ""(?i)"" &amp; $F$21 &amp;""_"" &amp; $A42)
)"),0.1402)</f>
        <v>0.1402</v>
      </c>
      <c r="H42" s="5">
        <f>IFERROR(__xludf.DUMMYFUNCTION("FILTER(SemEval_2025_T2!$E$3:$E$100, 
  REGEXMATCH(SemEval_2025_T2!$A$3:$A$100, ""(?i)"" &amp; $H$21 &amp;""_"" &amp; $A42)
)"),0.177)</f>
        <v>0.177</v>
      </c>
      <c r="I42" s="5">
        <f>IFERROR(__xludf.DUMMYFUNCTION("FILTER(SemEval_2025_T2!$F$3:$F$100, 
  REGEXMATCH(SemEval_2025_T2!$A$3:$A$100, ""(?i)"" &amp; $H$21 &amp;""_"" &amp; $A42)
)"),0.08)</f>
        <v>0.08</v>
      </c>
    </row>
    <row r="43">
      <c r="A43" s="12" t="s">
        <v>13</v>
      </c>
      <c r="B43" s="5">
        <f t="shared" ref="B43:I43" si="25">B41-B42</f>
        <v>0.0348</v>
      </c>
      <c r="C43" s="5">
        <f t="shared" si="25"/>
        <v>0.0198</v>
      </c>
      <c r="D43" s="5">
        <f t="shared" si="25"/>
        <v>-0.138</v>
      </c>
      <c r="E43" s="5">
        <f t="shared" si="25"/>
        <v>-0.0364</v>
      </c>
      <c r="F43" s="5">
        <f t="shared" si="25"/>
        <v>0.0234</v>
      </c>
      <c r="G43" s="5">
        <f t="shared" si="25"/>
        <v>0.0062</v>
      </c>
      <c r="H43" s="5">
        <f t="shared" si="25"/>
        <v>0.018</v>
      </c>
      <c r="I43" s="5">
        <f t="shared" si="25"/>
        <v>0.0372</v>
      </c>
      <c r="J43" s="14">
        <f t="shared" ref="J43:K43" si="26">AVERAGE(B43,D43,F43,H43)</f>
        <v>-0.01545</v>
      </c>
      <c r="K43" s="14">
        <f t="shared" si="26"/>
        <v>0.0067</v>
      </c>
      <c r="L43" s="14">
        <f>AVERAGE(J43,K43)</f>
        <v>-0.004375</v>
      </c>
    </row>
    <row r="44">
      <c r="A44" s="4" t="s">
        <v>30</v>
      </c>
      <c r="B44" s="5">
        <f>IFERROR(__xludf.DUMMYFUNCTION("FILTER(SemEval_2025_T2!$E$3:$E$100, 
  REGEXMATCH(SemEval_2025_T2!$A$3:$A$100, ""(?i)"" &amp; $B$21 &amp;""_"" &amp; $A44)
)"),0.4516)</f>
        <v>0.4516</v>
      </c>
      <c r="C44" s="5">
        <f>IFERROR(__xludf.DUMMYFUNCTION("FILTER(SemEval_2025_T2!$F$3:$F$100, 
  REGEXMATCH(SemEval_2025_T2!$A$3:$A$100, ""(?i)"" &amp; $B$21 &amp;""_"" &amp; $A44)
)"),0.2602)</f>
        <v>0.2602</v>
      </c>
      <c r="D44" s="5">
        <f>IFERROR(__xludf.DUMMYFUNCTION("FILTER(SemEval_2025_T2!$E$3:$E$100, 
  REGEXMATCH(SemEval_2025_T2!$A$3:$A$100, ""(?i)"" &amp; $D$21 &amp;""_"" &amp; $A44)
)"),0.378599999999999)</f>
        <v>0.3786</v>
      </c>
      <c r="E44" s="5">
        <f>IFERROR(__xludf.DUMMYFUNCTION("FILTER(SemEval_2025_T2!$F$3:$F$100, 
  REGEXMATCH(SemEval_2025_T2!$A$3:$A$100, ""(?i)"" &amp; $D$21 &amp;""_"" &amp; $A44)
)"),0.217399999999999)</f>
        <v>0.2174</v>
      </c>
      <c r="F44" s="5">
        <f>IFERROR(__xludf.DUMMYFUNCTION("FILTER(SemEval_2025_T2!$E$3:$E$100, 
  REGEXMATCH(SemEval_2025_T2!$A$3:$A$100, ""(?i)"" &amp; $F$21 &amp;""_"" &amp; $A44)
)"),0.3014)</f>
        <v>0.3014</v>
      </c>
      <c r="G44" s="5">
        <f>IFERROR(__xludf.DUMMYFUNCTION("FILTER(SemEval_2025_T2!$F$3:$F$100, 
  REGEXMATCH(SemEval_2025_T2!$A$3:$A$100, ""(?i)"" &amp; $F$21 &amp;""_"" &amp; $A44)
)"),0.1844)</f>
        <v>0.1844</v>
      </c>
      <c r="H44" s="5">
        <f>IFERROR(__xludf.DUMMYFUNCTION("FILTER(SemEval_2025_T2!$E$3:$E$100, 
  REGEXMATCH(SemEval_2025_T2!$A$3:$A$100, ""(?i)"" &amp; $H$21 &amp;""_"" &amp; $A44)
)"),0.1542)</f>
        <v>0.1542</v>
      </c>
      <c r="I44" s="5">
        <f>IFERROR(__xludf.DUMMYFUNCTION("FILTER(SemEval_2025_T2!$F$3:$F$100, 
  REGEXMATCH(SemEval_2025_T2!$A$3:$A$100, ""(?i)"" &amp; $H$21 &amp;""_"" &amp; $A44)
)"),0.0616)</f>
        <v>0.0616</v>
      </c>
      <c r="J44" s="19"/>
      <c r="K44" s="19"/>
      <c r="L44" s="19"/>
    </row>
    <row r="45">
      <c r="A45" s="12" t="s">
        <v>17</v>
      </c>
      <c r="B45" s="5">
        <f t="shared" ref="B45:I45" si="27">B41-B44</f>
        <v>0.069</v>
      </c>
      <c r="C45" s="5">
        <f t="shared" si="27"/>
        <v>0.0614</v>
      </c>
      <c r="D45" s="5">
        <f t="shared" si="27"/>
        <v>-0.0888</v>
      </c>
      <c r="E45" s="5">
        <f t="shared" si="27"/>
        <v>0.0704</v>
      </c>
      <c r="F45" s="5">
        <f t="shared" si="27"/>
        <v>0.0618</v>
      </c>
      <c r="G45" s="5">
        <f t="shared" si="27"/>
        <v>-0.038</v>
      </c>
      <c r="H45" s="5">
        <f t="shared" si="27"/>
        <v>0.0408</v>
      </c>
      <c r="I45" s="5">
        <f t="shared" si="27"/>
        <v>0.0556</v>
      </c>
      <c r="J45" s="14">
        <f t="shared" ref="J45:K45" si="28">AVERAGE(B45,D45,F45,H45)</f>
        <v>0.0207</v>
      </c>
      <c r="K45" s="14">
        <f t="shared" si="28"/>
        <v>0.03735</v>
      </c>
      <c r="L45" s="14">
        <f>AVERAGE(J45,K45)</f>
        <v>0.029025</v>
      </c>
    </row>
    <row r="46">
      <c r="A46" s="4" t="s">
        <v>31</v>
      </c>
      <c r="B46" s="5">
        <f>IFERROR(__xludf.DUMMYFUNCTION("FILTER(SemEval_2025_T2!$E$3:$E$100, 
  REGEXMATCH(SemEval_2025_T2!$A$3:$A$100, ""(?i)"" &amp; $B$21 &amp;""_"" &amp; $A46)
)"),0.469)</f>
        <v>0.469</v>
      </c>
      <c r="C46" s="5">
        <f>IFERROR(__xludf.DUMMYFUNCTION("FILTER(SemEval_2025_T2!$F$3:$F$100, 
  REGEXMATCH(SemEval_2025_T2!$A$3:$A$100, ""(?i)"" &amp; $B$21 &amp;""_"" &amp; $A46)
)"),0.265399999999999)</f>
        <v>0.2654</v>
      </c>
      <c r="D46" s="5">
        <f>IFERROR(__xludf.DUMMYFUNCTION("FILTER(SemEval_2025_T2!$E$3:$E$100, 
  REGEXMATCH(SemEval_2025_T2!$A$3:$A$100, ""(?i)"" &amp; $D$21 &amp;""_"" &amp; $A46)
)"),0.342199999999999)</f>
        <v>0.3422</v>
      </c>
      <c r="E46" s="5">
        <f>IFERROR(__xludf.DUMMYFUNCTION("FILTER(SemEval_2025_T2!$F$3:$F$100, 
  REGEXMATCH(SemEval_2025_T2!$A$3:$A$100, ""(?i)"" &amp; $D$21 &amp;""_"" &amp; $A46)
)"),0.180399999999999)</f>
        <v>0.1804</v>
      </c>
      <c r="F46" s="5">
        <f>IFERROR(__xludf.DUMMYFUNCTION("FILTER(SemEval_2025_T2!$E$3:$E$100, 
  REGEXMATCH(SemEval_2025_T2!$A$3:$A$100, ""(?i)"" &amp; $F$21 &amp;""_"" &amp; $A46)
)"),0.2952)</f>
        <v>0.2952</v>
      </c>
      <c r="G46" s="5">
        <f>IFERROR(__xludf.DUMMYFUNCTION("FILTER(SemEval_2025_T2!$F$3:$F$100, 
  REGEXMATCH(SemEval_2025_T2!$A$3:$A$100, ""(?i)"" &amp; $F$21 &amp;""_"" &amp; $A46)
)"),0.1818)</f>
        <v>0.1818</v>
      </c>
      <c r="H46" s="5">
        <f>IFERROR(__xludf.DUMMYFUNCTION("FILTER(SemEval_2025_T2!$E$3:$E$100, 
  REGEXMATCH(SemEval_2025_T2!$A$3:$A$100, ""(?i)"" &amp; $H$21 &amp;""_"" &amp; $A46)
)"),0.1582)</f>
        <v>0.1582</v>
      </c>
      <c r="I46" s="5">
        <f>IFERROR(__xludf.DUMMYFUNCTION("FILTER(SemEval_2025_T2!$F$3:$F$100, 
  REGEXMATCH(SemEval_2025_T2!$A$3:$A$100, ""(?i)"" &amp; $H$21 &amp;""_"" &amp; $A46)
)"),0.0654)</f>
        <v>0.0654</v>
      </c>
      <c r="J46" s="19"/>
      <c r="K46" s="19"/>
      <c r="L46" s="19"/>
    </row>
    <row r="47">
      <c r="A47" s="12" t="s">
        <v>19</v>
      </c>
      <c r="B47" s="5">
        <f t="shared" ref="B47:I47" si="29">B41-B46</f>
        <v>0.0516</v>
      </c>
      <c r="C47" s="5">
        <f t="shared" si="29"/>
        <v>0.0562</v>
      </c>
      <c r="D47" s="5">
        <f t="shared" si="29"/>
        <v>-0.0524</v>
      </c>
      <c r="E47" s="5">
        <f t="shared" si="29"/>
        <v>0.1074</v>
      </c>
      <c r="F47" s="5">
        <f t="shared" si="29"/>
        <v>0.068</v>
      </c>
      <c r="G47" s="5">
        <f t="shared" si="29"/>
        <v>-0.0354</v>
      </c>
      <c r="H47" s="5">
        <f t="shared" si="29"/>
        <v>0.0368</v>
      </c>
      <c r="I47" s="5">
        <f t="shared" si="29"/>
        <v>0.0518</v>
      </c>
      <c r="J47" s="14">
        <f t="shared" ref="J47:K47" si="30">AVERAGE(B47,D47,F47,H47)</f>
        <v>0.026</v>
      </c>
      <c r="K47" s="14">
        <f t="shared" si="30"/>
        <v>0.045</v>
      </c>
      <c r="L47" s="14">
        <f>AVERAGE(J47,K47)</f>
        <v>0.0355</v>
      </c>
    </row>
    <row r="48">
      <c r="A48" s="4" t="s">
        <v>32</v>
      </c>
      <c r="B48" s="5">
        <f>IFERROR(__xludf.DUMMYFUNCTION("FILTER(SemEval_2025_T2!$E$3:$E$100, 
  REGEXMATCH(SemEval_2025_T2!$A$3:$A$100, ""(?i)"" &amp; $B$21 &amp;""_"" &amp; $A48), NOT(REGEXMATCH(SemEval_2025_T2!$A$3:$A$100, ""(?i)complete""))
)"),0.4682)</f>
        <v>0.4682</v>
      </c>
      <c r="C48" s="5">
        <f>IFERROR(__xludf.DUMMYFUNCTION("FILTER(SemEval_2025_T2!$F$3:$F$100, 
  REGEXMATCH(SemEval_2025_T2!$A$3:$A$100, ""(?i)"" &amp; $B$21 &amp;""_"" &amp; $A48), NOT(REGEXMATCH(SemEval_2025_T2!$A$3:$A$100, ""(?i)complete""))
)"),0.285599999999999)</f>
        <v>0.2856</v>
      </c>
      <c r="D48" s="5">
        <f>IFERROR(__xludf.DUMMYFUNCTION("FILTER(SemEval_2025_T2!$E$3:$E$100, 
  REGEXMATCH(SemEval_2025_T2!$A$3:$A$100, ""(?i)"" &amp; $D$21 &amp;""_"" &amp; $A48), NOT(REGEXMATCH(SemEval_2025_T2!$A$3:$A$100, ""(?i)complete""))
)"),0.3714)</f>
        <v>0.3714</v>
      </c>
      <c r="E48" s="5">
        <f>IFERROR(__xludf.DUMMYFUNCTION("FILTER(SemEval_2025_T2!$F$3:$F$100, 
  REGEXMATCH(SemEval_2025_T2!$A$3:$A$100, ""(?i)"" &amp; $D$21 &amp;""_"" &amp; $A48), NOT(REGEXMATCH(SemEval_2025_T2!$A$3:$A$100, ""(?i)complete""))
)"),0.204599999999999)</f>
        <v>0.2046</v>
      </c>
      <c r="F48" s="5">
        <f>IFERROR(__xludf.DUMMYFUNCTION("FILTER(SemEval_2025_T2!$E$3:$E$100, 
  REGEXMATCH(SemEval_2025_T2!$A$3:$A$100, ""(?i)"" &amp; $F$21 &amp;""_"" &amp; $A48), NOT(REGEXMATCH(SemEval_2025_T2!$A$3:$A$100, ""(?i)complete""))
)"),0.2814)</f>
        <v>0.2814</v>
      </c>
      <c r="G48" s="5">
        <f>IFERROR(__xludf.DUMMYFUNCTION("FILTER(SemEval_2025_T2!$F$3:$F$100, 
  REGEXMATCH(SemEval_2025_T2!$A$3:$A$100, ""(?i)"" &amp; $F$21 &amp;""_"" &amp; $A48), NOT(REGEXMATCH(SemEval_2025_T2!$A$3:$A$100, ""(?i)complete""))
)"),0.1774)</f>
        <v>0.1774</v>
      </c>
      <c r="H48" s="5">
        <f>IFERROR(__xludf.DUMMYFUNCTION("FILTER(SemEval_2025_T2!$E$3:$E$100, 
  REGEXMATCH(SemEval_2025_T2!$A$3:$A$100, ""(?i)"" &amp; $H$21 &amp;""_"" &amp; $A48), NOT(REGEXMATCH(SemEval_2025_T2!$A$3:$A$100, ""(?i)complete""))
)"),0.1878)</f>
        <v>0.1878</v>
      </c>
      <c r="I48" s="5">
        <f>IFERROR(__xludf.DUMMYFUNCTION("FILTER(SemEval_2025_T2!$F$3:$F$100, 
  REGEXMATCH(SemEval_2025_T2!$A$3:$A$100, ""(?i)"" &amp; $H$21 &amp;""_"" &amp; $A48), NOT(REGEXMATCH(SemEval_2025_T2!$A$3:$A$100, ""(?i)complete""))
)"),0.0782)</f>
        <v>0.0782</v>
      </c>
      <c r="J48" s="19"/>
      <c r="K48" s="19"/>
      <c r="L48" s="19"/>
    </row>
    <row r="49">
      <c r="A49" s="12" t="s">
        <v>21</v>
      </c>
      <c r="B49" s="5">
        <f t="shared" ref="B49:I49" si="31">B41-B48</f>
        <v>0.0524</v>
      </c>
      <c r="C49" s="5">
        <f t="shared" si="31"/>
        <v>0.036</v>
      </c>
      <c r="D49" s="5">
        <f t="shared" si="31"/>
        <v>-0.0816</v>
      </c>
      <c r="E49" s="5">
        <f t="shared" si="31"/>
        <v>0.0832</v>
      </c>
      <c r="F49" s="5">
        <f t="shared" si="31"/>
        <v>0.0818</v>
      </c>
      <c r="G49" s="5">
        <f t="shared" si="31"/>
        <v>-0.031</v>
      </c>
      <c r="H49" s="5">
        <f t="shared" si="31"/>
        <v>0.0072</v>
      </c>
      <c r="I49" s="5">
        <f t="shared" si="31"/>
        <v>0.039</v>
      </c>
      <c r="J49" s="14">
        <f t="shared" ref="J49:K49" si="32">AVERAGE(B49,D49,F49,H49)</f>
        <v>0.01495</v>
      </c>
      <c r="K49" s="14">
        <f t="shared" si="32"/>
        <v>0.0318</v>
      </c>
      <c r="L49" s="14">
        <f>AVERAGE(J49,K49)</f>
        <v>0.023375</v>
      </c>
    </row>
    <row r="50">
      <c r="A50" s="4" t="s">
        <v>33</v>
      </c>
      <c r="B50" s="5">
        <f>IFERROR(__xludf.DUMMYFUNCTION("FILTER(SemEval_2025_T2!$E$3:$E$100, 
  REGEXMATCH(SemEval_2025_T2!$A$3:$A$100, ""(?i)"" &amp; $B$21 &amp;""_"" &amp; $A50), NOT(REGEXMATCH(SemEval_2025_T2!$A$3:$A$100, ""(?i)complete""))
)"),0.4574)</f>
        <v>0.4574</v>
      </c>
      <c r="C50" s="5">
        <f>IFERROR(__xludf.DUMMYFUNCTION("FILTER(SemEval_2025_T2!$F$3:$F$100, 
  REGEXMATCH(SemEval_2025_T2!$A$3:$A$100, ""(?i)"" &amp; $B$21 &amp;""_"" &amp; $A50), NOT(REGEXMATCH(SemEval_2025_T2!$A$3:$A$100, ""(?i)complete""))
)"),0.267)</f>
        <v>0.267</v>
      </c>
      <c r="D50" s="5">
        <f>IFERROR(__xludf.DUMMYFUNCTION("FILTER(SemEval_2025_T2!$E$3:$E$100, 
  REGEXMATCH(SemEval_2025_T2!$A$3:$A$100, ""(?i)"" &amp; $D$21 &amp;""_"" &amp; $A50), NOT(REGEXMATCH(SemEval_2025_T2!$A$3:$A$100, ""(?i)complete""))
)"),0.3716)</f>
        <v>0.3716</v>
      </c>
      <c r="E50" s="5">
        <f>IFERROR(__xludf.DUMMYFUNCTION("FILTER(SemEval_2025_T2!$F$3:$F$100, 
  REGEXMATCH(SemEval_2025_T2!$A$3:$A$100, ""(?i)"" &amp; $D$21 &amp;""_"" &amp; $A50), NOT(REGEXMATCH(SemEval_2025_T2!$A$3:$A$100, ""(?i)complete""))
)"),0.2182)</f>
        <v>0.2182</v>
      </c>
      <c r="F50" s="5">
        <f>IFERROR(__xludf.DUMMYFUNCTION("FILTER(SemEval_2025_T2!$E$3:$E$100, 
  REGEXMATCH(SemEval_2025_T2!$A$3:$A$100, ""(?i)"" &amp; $F$21 &amp;""_"" &amp; $A50), NOT(REGEXMATCH(SemEval_2025_T2!$A$3:$A$100, ""(?i)complete""))
)"),0.2834)</f>
        <v>0.2834</v>
      </c>
      <c r="G50" s="5">
        <f>IFERROR(__xludf.DUMMYFUNCTION("FILTER(SemEval_2025_T2!$F$3:$F$100, 
  REGEXMATCH(SemEval_2025_T2!$A$3:$A$100, ""(?i)"" &amp; $F$21 &amp;""_"" &amp; $A50), NOT(REGEXMATCH(SemEval_2025_T2!$A$3:$A$100, ""(?i)complete""))
)"),0.1776)</f>
        <v>0.1776</v>
      </c>
      <c r="H50" s="5">
        <f>IFERROR(__xludf.DUMMYFUNCTION("FILTER(SemEval_2025_T2!$E$3:$E$100, 
  REGEXMATCH(SemEval_2025_T2!$A$3:$A$100, ""(?i)"" &amp; $H$21 &amp;""_"" &amp; $A50), NOT(REGEXMATCH(SemEval_2025_T2!$A$3:$A$100, ""(?i)complete""))
)"),0.175799999999999)</f>
        <v>0.1758</v>
      </c>
      <c r="I50" s="5">
        <f>IFERROR(__xludf.DUMMYFUNCTION("FILTER(SemEval_2025_T2!$F$3:$F$100, 
  REGEXMATCH(SemEval_2025_T2!$A$3:$A$100, ""(?i)"" &amp; $H$21 &amp;""_"" &amp; $A50), NOT(REGEXMATCH(SemEval_2025_T2!$A$3:$A$100, ""(?i)complete""))
)"),0.0826)</f>
        <v>0.0826</v>
      </c>
      <c r="J50" s="19"/>
      <c r="K50" s="19"/>
      <c r="L50" s="19"/>
    </row>
    <row r="51">
      <c r="A51" s="12" t="s">
        <v>24</v>
      </c>
      <c r="B51" s="5">
        <f t="shared" ref="B51:I51" si="33">B41-B50</f>
        <v>0.0632</v>
      </c>
      <c r="C51" s="5">
        <f t="shared" si="33"/>
        <v>0.0546</v>
      </c>
      <c r="D51" s="5">
        <f t="shared" si="33"/>
        <v>-0.0818</v>
      </c>
      <c r="E51" s="5">
        <f t="shared" si="33"/>
        <v>0.0696</v>
      </c>
      <c r="F51" s="5">
        <f t="shared" si="33"/>
        <v>0.0798</v>
      </c>
      <c r="G51" s="5">
        <f t="shared" si="33"/>
        <v>-0.0312</v>
      </c>
      <c r="H51" s="5">
        <f t="shared" si="33"/>
        <v>0.0192</v>
      </c>
      <c r="I51" s="5">
        <f t="shared" si="33"/>
        <v>0.0346</v>
      </c>
      <c r="J51" s="14">
        <f t="shared" ref="J51:K51" si="34">AVERAGE(B51,D51,F51,H51)</f>
        <v>0.0201</v>
      </c>
      <c r="K51" s="14">
        <f t="shared" si="34"/>
        <v>0.0319</v>
      </c>
      <c r="L51" s="14">
        <f>AVERAGE(J51,K51)</f>
        <v>0.026</v>
      </c>
    </row>
    <row r="52">
      <c r="A52" s="4" t="s">
        <v>34</v>
      </c>
      <c r="B52" s="5">
        <f>IFERROR(__xludf.DUMMYFUNCTION("FILTER(SemEval_2025_T2!$E$3:$E$100, 
  REGEXMATCH(SemEval_2025_T2!$A$3:$A$100, ""(?i)"" &amp; $B$21 &amp;""_"" &amp; $A52)
)"),0.453599999999999)</f>
        <v>0.4536</v>
      </c>
      <c r="C52" s="5">
        <f>IFERROR(__xludf.DUMMYFUNCTION("FILTER(SemEval_2025_T2!$F$3:$F$100, 
  REGEXMATCH(SemEval_2025_T2!$A$3:$A$100, ""(?i)"" &amp; $B$21 &amp;""_"" &amp; $A52)
)"),0.2698)</f>
        <v>0.2698</v>
      </c>
      <c r="D52" s="5">
        <f>IFERROR(__xludf.DUMMYFUNCTION("FILTER(SemEval_2025_T2!$E$3:$E$100, 
  REGEXMATCH(SemEval_2025_T2!$A$3:$A$100, ""(?i)"" &amp; $D$21 &amp;""_"" &amp; $A52)
)"),0.3854)</f>
        <v>0.3854</v>
      </c>
      <c r="E52" s="5">
        <f>IFERROR(__xludf.DUMMYFUNCTION("FILTER(SemEval_2025_T2!$F$3:$F$100, 
  REGEXMATCH(SemEval_2025_T2!$A$3:$A$100, ""(?i)"" &amp; $D$21 &amp;""_"" &amp; $A52)
)"),0.1814)</f>
        <v>0.1814</v>
      </c>
      <c r="F52" s="5">
        <f>IFERROR(__xludf.DUMMYFUNCTION("FILTER(SemEval_2025_T2!$E$3:$E$100, 
  REGEXMATCH(SemEval_2025_T2!$A$3:$A$100, ""(?i)"" &amp; $F$21 &amp;""_"" &amp; $A52)
)"),0.2652)</f>
        <v>0.2652</v>
      </c>
      <c r="G52" s="5">
        <f>IFERROR(__xludf.DUMMYFUNCTION("FILTER(SemEval_2025_T2!$F$3:$F$100, 
  REGEXMATCH(SemEval_2025_T2!$A$3:$A$100, ""(?i)"" &amp; $F$21 &amp;""_"" &amp; $A52)
)"),0.0809999999999999)</f>
        <v>0.081</v>
      </c>
      <c r="H52" s="5">
        <f>IFERROR(__xludf.DUMMYFUNCTION("FILTER(SemEval_2025_T2!$E$3:$E$100, 
  REGEXMATCH(SemEval_2025_T2!$A$3:$A$100, ""(?i)"" &amp; $H$21 &amp;""_"" &amp; $A52)
)"),0.089)</f>
        <v>0.089</v>
      </c>
      <c r="I52" s="5">
        <f>IFERROR(__xludf.DUMMYFUNCTION("FILTER(SemEval_2025_T2!$F$3:$F$100, 
  REGEXMATCH(SemEval_2025_T2!$A$3:$A$100, ""(?i)"" &amp; $H$21 &amp;""_"" &amp; $A52)
)"),0.0288)</f>
        <v>0.0288</v>
      </c>
      <c r="J52" s="19"/>
      <c r="K52" s="19"/>
      <c r="L52" s="19"/>
    </row>
    <row r="53">
      <c r="A53" s="12" t="s">
        <v>26</v>
      </c>
      <c r="B53" s="5">
        <f t="shared" ref="B53:I53" si="35">B41-B52</f>
        <v>0.067</v>
      </c>
      <c r="C53" s="5">
        <f t="shared" si="35"/>
        <v>0.0518</v>
      </c>
      <c r="D53" s="5">
        <f t="shared" si="35"/>
        <v>-0.0956</v>
      </c>
      <c r="E53" s="5">
        <f t="shared" si="35"/>
        <v>0.1064</v>
      </c>
      <c r="F53" s="5">
        <f t="shared" si="35"/>
        <v>0.098</v>
      </c>
      <c r="G53" s="5">
        <f t="shared" si="35"/>
        <v>0.0654</v>
      </c>
      <c r="H53" s="5">
        <f t="shared" si="35"/>
        <v>0.106</v>
      </c>
      <c r="I53" s="5">
        <f t="shared" si="35"/>
        <v>0.0884</v>
      </c>
      <c r="J53" s="14">
        <f t="shared" ref="J53:K53" si="36">AVERAGE(B53,D53,F53,H53)</f>
        <v>0.04385</v>
      </c>
      <c r="K53" s="14">
        <f t="shared" si="36"/>
        <v>0.078</v>
      </c>
      <c r="L53" s="14">
        <f>AVERAGE(J53,K53)</f>
        <v>0.060925</v>
      </c>
    </row>
    <row r="54">
      <c r="A54" s="4" t="s">
        <v>35</v>
      </c>
      <c r="B54" s="5">
        <f>IFERROR(__xludf.DUMMYFUNCTION("FILTER(SemEval_2025_T2!$E$3:$E$100, 
  REGEXMATCH(SemEval_2025_T2!$A$3:$A$100, ""(?i)"" &amp; $B$21 &amp;""_"" &amp; $A54)
)"),0.45)</f>
        <v>0.45</v>
      </c>
      <c r="C54" s="5">
        <f>IFERROR(__xludf.DUMMYFUNCTION("FILTER(SemEval_2025_T2!$F$3:$F$100, 
  REGEXMATCH(SemEval_2025_T2!$A$3:$A$100, ""(?i)"" &amp; $B$21 &amp;""_"" &amp; $A54)
)"),0.2692)</f>
        <v>0.2692</v>
      </c>
      <c r="D54" s="5">
        <f>IFERROR(__xludf.DUMMYFUNCTION("FILTER(SemEval_2025_T2!$E$3:$E$100, 
  REGEXMATCH(SemEval_2025_T2!$A$3:$A$100, ""(?i)"" &amp; $D$21 &amp;""_"" &amp; $A54)
)"),0.3804)</f>
        <v>0.3804</v>
      </c>
      <c r="E54" s="5">
        <f>IFERROR(__xludf.DUMMYFUNCTION("FILTER(SemEval_2025_T2!$F$3:$F$100, 
  REGEXMATCH(SemEval_2025_T2!$A$3:$A$100, ""(?i)"" &amp; $D$21 &amp;""_"" &amp; $A54)
)"),0.1926)</f>
        <v>0.1926</v>
      </c>
      <c r="F54" s="5">
        <f>IFERROR(__xludf.DUMMYFUNCTION("FILTER(SemEval_2025_T2!$E$3:$E$100, 
  REGEXMATCH(SemEval_2025_T2!$A$3:$A$100, ""(?i)"" &amp; $F$21 &amp;""_"" &amp; $A54)
)"),0.2804)</f>
        <v>0.2804</v>
      </c>
      <c r="G54" s="5">
        <f>IFERROR(__xludf.DUMMYFUNCTION("FILTER(SemEval_2025_T2!$F$3:$F$100, 
  REGEXMATCH(SemEval_2025_T2!$A$3:$A$100, ""(?i)"" &amp; $F$21 &amp;""_"" &amp; $A54)
)"),0.136)</f>
        <v>0.136</v>
      </c>
      <c r="H54" s="5">
        <f>IFERROR(__xludf.DUMMYFUNCTION("FILTER(SemEval_2025_T2!$E$3:$E$100, 
  REGEXMATCH(SemEval_2025_T2!$A$3:$A$100, ""(?i)"" &amp; $H$21 &amp;""_"" &amp; $A54)
)"),0.1236)</f>
        <v>0.1236</v>
      </c>
      <c r="I54" s="5">
        <f>IFERROR(__xludf.DUMMYFUNCTION("FILTER(SemEval_2025_T2!$F$3:$F$100, 
  REGEXMATCH(SemEval_2025_T2!$A$3:$A$100, ""(?i)"" &amp; $H$21 &amp;""_"" &amp; $A54)
)"),0.044)</f>
        <v>0.044</v>
      </c>
      <c r="J54" s="19"/>
      <c r="K54" s="19"/>
      <c r="L54" s="19"/>
    </row>
    <row r="55">
      <c r="A55" s="12" t="s">
        <v>28</v>
      </c>
      <c r="B55" s="5">
        <f t="shared" ref="B55:I55" si="37">B41-B54</f>
        <v>0.0706</v>
      </c>
      <c r="C55" s="5">
        <f t="shared" si="37"/>
        <v>0.0524</v>
      </c>
      <c r="D55" s="5">
        <f t="shared" si="37"/>
        <v>-0.0906</v>
      </c>
      <c r="E55" s="5">
        <f t="shared" si="37"/>
        <v>0.0952</v>
      </c>
      <c r="F55" s="5">
        <f t="shared" si="37"/>
        <v>0.0828</v>
      </c>
      <c r="G55" s="5">
        <f t="shared" si="37"/>
        <v>0.0104</v>
      </c>
      <c r="H55" s="5">
        <f t="shared" si="37"/>
        <v>0.0714</v>
      </c>
      <c r="I55" s="5">
        <f t="shared" si="37"/>
        <v>0.0732</v>
      </c>
      <c r="J55" s="14">
        <f t="shared" ref="J55:K55" si="38">AVERAGE(B55,D55,F55,H55)</f>
        <v>0.03355</v>
      </c>
      <c r="K55" s="14">
        <f t="shared" si="38"/>
        <v>0.0578</v>
      </c>
      <c r="L55" s="14">
        <f>AVERAGE(J55,K55)</f>
        <v>0.045675</v>
      </c>
    </row>
    <row r="56">
      <c r="B56" s="14">
        <f t="shared" ref="B56:I56" si="39">AVERAGE(B43,B45,B47,B49,B51,B53,B55)</f>
        <v>0.05837142857</v>
      </c>
      <c r="C56" s="14">
        <f t="shared" si="39"/>
        <v>0.04745714286</v>
      </c>
      <c r="D56" s="14">
        <f t="shared" si="39"/>
        <v>-0.08982857143</v>
      </c>
      <c r="E56" s="14">
        <f t="shared" si="39"/>
        <v>0.07082857143</v>
      </c>
      <c r="F56" s="14">
        <f t="shared" si="39"/>
        <v>0.0708</v>
      </c>
      <c r="G56" s="14">
        <f t="shared" si="39"/>
        <v>-0.007657142857</v>
      </c>
      <c r="H56" s="14">
        <f t="shared" si="39"/>
        <v>0.04277142857</v>
      </c>
      <c r="I56" s="14">
        <f t="shared" si="39"/>
        <v>0.05425714286</v>
      </c>
    </row>
    <row r="57">
      <c r="B57" s="14">
        <f>AVERAGE(B56,C56)</f>
        <v>0.05291428571</v>
      </c>
      <c r="C57" s="19"/>
      <c r="D57" s="14">
        <f>AVERAGE(D56,E56)</f>
        <v>-0.0095</v>
      </c>
      <c r="E57" s="19"/>
      <c r="F57" s="14">
        <f>AVERAGE(F56,G56)</f>
        <v>0.03157142857</v>
      </c>
      <c r="G57" s="19"/>
      <c r="H57" s="14">
        <f>AVERAGE(H56,I56)</f>
        <v>0.04851428571</v>
      </c>
      <c r="I57" s="19"/>
    </row>
    <row r="59">
      <c r="A59" s="1" t="s">
        <v>37</v>
      </c>
      <c r="B59" s="4" t="s">
        <v>4</v>
      </c>
      <c r="D59" s="1" t="s">
        <v>5</v>
      </c>
      <c r="E59" s="1"/>
      <c r="F59" s="1" t="s">
        <v>6</v>
      </c>
      <c r="G59" s="1"/>
      <c r="H59" s="4" t="s">
        <v>7</v>
      </c>
      <c r="I59" s="1"/>
    </row>
    <row r="60">
      <c r="A60" s="4" t="s">
        <v>9</v>
      </c>
      <c r="B60" s="5">
        <f>IFERROR(__xludf.DUMMYFUNCTION("FILTER(SemEval_2025_T2!$C$3:$C$100, 
  REGEXMATCH(SemEval_2025_T2!$A$3:$A$100, ""(?i)"" &amp; $B$21 &amp;""_"" &amp; $A60)
)"),0.4038)</f>
        <v>0.4038</v>
      </c>
      <c r="C60" s="5">
        <f>IFERROR(__xludf.DUMMYFUNCTION("FILTER(SemEval_2025_T2!$D$3:$D$100, 
  REGEXMATCH(SemEval_2025_T2!$A$3:$A$100, ""(?i)"" &amp; $B$21 &amp;""_"" &amp; $A60)
)"),0.2144)</f>
        <v>0.2144</v>
      </c>
      <c r="D60" s="5">
        <f>IFERROR(__xludf.DUMMYFUNCTION("FILTER(SemEval_2025_T2!$C$3:$C$100, 
  REGEXMATCH(SemEval_2025_T2!$A$3:$A$100, ""(?i)"" &amp; $D$21 &amp;""_"" &amp; $A60)
)"),0.285599999999999)</f>
        <v>0.2856</v>
      </c>
      <c r="E60" s="5">
        <f>IFERROR(__xludf.DUMMYFUNCTION("FILTER(SemEval_2025_T2!$D$3:$D$100, 
  REGEXMATCH(SemEval_2025_T2!$A$3:$A$100, ""(?i)"" &amp; $D$21 &amp;""_"" &amp; $A60)
)"),0.284199999999999)</f>
        <v>0.2842</v>
      </c>
      <c r="F60" s="5">
        <f>IFERROR(__xludf.DUMMYFUNCTION("FILTER(SemEval_2025_T2!$C$3:$C$100, 
  REGEXMATCH(SemEval_2025_T2!$A$3:$A$100, ""(?i)"" &amp; $F$21 &amp;""_"" &amp; $A60)
)"),0.2604)</f>
        <v>0.2604</v>
      </c>
      <c r="G60" s="5">
        <f>IFERROR(__xludf.DUMMYFUNCTION("FILTER(SemEval_2025_T2!$D$3:$D$100, 
  REGEXMATCH(SemEval_2025_T2!$A$3:$A$100, ""(?i)"" &amp; $F$21 &amp;""_"" &amp; $A60)
)"),0.1682)</f>
        <v>0.1682</v>
      </c>
      <c r="H60" s="5">
        <f>IFERROR(__xludf.DUMMYFUNCTION("FILTER(SemEval_2025_T2!$C$3:$C$100, 
  REGEXMATCH(SemEval_2025_T2!$A$3:$A$100, ""(?i)"" &amp; $H$21 &amp;""_"" &amp; $A60)
)"),0.1712)</f>
        <v>0.1712</v>
      </c>
      <c r="I60" s="5">
        <f>IFERROR(__xludf.DUMMYFUNCTION("FILTER(SemEval_2025_T2!$D$3:$D$100, 
  REGEXMATCH(SemEval_2025_T2!$A$3:$A$100, ""(?i)"" &amp; $H$21 &amp;""_"" &amp; $A60)
)"),0.1196)</f>
        <v>0.1196</v>
      </c>
    </row>
    <row r="61">
      <c r="A61" s="4" t="s">
        <v>11</v>
      </c>
      <c r="B61" s="5">
        <f>IFERROR(__xludf.DUMMYFUNCTION("FILTER(SemEval_2025_T2!$C$3:$C$100, 
  REGEXMATCH(SemEval_2025_T2!$A$3:$A$100, ""(?i)"" &amp; $B$21 &amp;""_"" &amp; $A61)
)"),0.3806)</f>
        <v>0.3806</v>
      </c>
      <c r="C61" s="5">
        <f>IFERROR(__xludf.DUMMYFUNCTION("FILTER(SemEval_2025_T2!$D$3:$D$100, 
  REGEXMATCH(SemEval_2025_T2!$A$3:$A$100, ""(?i)"" &amp; $B$21 &amp;""_"" &amp; $A61)
)"),0.2112)</f>
        <v>0.2112</v>
      </c>
      <c r="D61" s="5">
        <f>IFERROR(__xludf.DUMMYFUNCTION("FILTER(SemEval_2025_T2!$C$3:$C$100, 
  REGEXMATCH(SemEval_2025_T2!$A$3:$A$100, ""(?i)"" &amp; $D$21 &amp;""_"" &amp; $A61)
)"),0.291599999999999)</f>
        <v>0.2916</v>
      </c>
      <c r="E61" s="5">
        <f>IFERROR(__xludf.DUMMYFUNCTION("FILTER(SemEval_2025_T2!$D$3:$D$100, 
  REGEXMATCH(SemEval_2025_T2!$A$3:$A$100, ""(?i)"" &amp; $D$21 &amp;""_"" &amp; $A61)
)"),0.2844)</f>
        <v>0.2844</v>
      </c>
      <c r="F61" s="5">
        <f>IFERROR(__xludf.DUMMYFUNCTION("FILTER(SemEval_2025_T2!$C$3:$C$100, 
  REGEXMATCH(SemEval_2025_T2!$A$3:$A$100, ""(?i)"" &amp; $F$21 &amp;""_"" &amp; $A61)
)"),0.2748)</f>
        <v>0.2748</v>
      </c>
      <c r="G61" s="5">
        <f>IFERROR(__xludf.DUMMYFUNCTION("FILTER(SemEval_2025_T2!$D$3:$D$100, 
  REGEXMATCH(SemEval_2025_T2!$A$3:$A$100, ""(?i)"" &amp; $F$21 &amp;""_"" &amp; $A61)
)"),0.187199999999999)</f>
        <v>0.1872</v>
      </c>
      <c r="H61" s="5">
        <f>IFERROR(__xludf.DUMMYFUNCTION("FILTER(SemEval_2025_T2!$C$3:$C$100, 
  REGEXMATCH(SemEval_2025_T2!$A$3:$A$100, ""(?i)"" &amp; $H$21 &amp;""_"" &amp; $A61)
)"),0.1846)</f>
        <v>0.1846</v>
      </c>
      <c r="I61" s="5">
        <f>IFERROR(__xludf.DUMMYFUNCTION("FILTER(SemEval_2025_T2!$D$3:$D$100, 
  REGEXMATCH(SemEval_2025_T2!$A$3:$A$100, ""(?i)"" &amp; $H$21 &amp;""_"" &amp; $A61)
)"),0.1186)</f>
        <v>0.1186</v>
      </c>
    </row>
    <row r="62">
      <c r="A62" s="12" t="s">
        <v>13</v>
      </c>
      <c r="B62" s="5">
        <f t="shared" ref="B62:I62" si="40">B60-B61</f>
        <v>0.0232</v>
      </c>
      <c r="C62" s="5">
        <f t="shared" si="40"/>
        <v>0.0032</v>
      </c>
      <c r="D62" s="5">
        <f t="shared" si="40"/>
        <v>-0.006</v>
      </c>
      <c r="E62" s="5">
        <f t="shared" si="40"/>
        <v>-0.0002</v>
      </c>
      <c r="F62" s="5">
        <f t="shared" si="40"/>
        <v>-0.0144</v>
      </c>
      <c r="G62" s="5">
        <f t="shared" si="40"/>
        <v>-0.019</v>
      </c>
      <c r="H62" s="5">
        <f t="shared" si="40"/>
        <v>-0.0134</v>
      </c>
      <c r="I62" s="5">
        <f t="shared" si="40"/>
        <v>0.001</v>
      </c>
      <c r="J62" s="14">
        <f t="shared" ref="J62:K62" si="41">AVERAGE(B62,D62,F62,H62)</f>
        <v>-0.00265</v>
      </c>
      <c r="K62" s="14">
        <f t="shared" si="41"/>
        <v>-0.00375</v>
      </c>
      <c r="L62" s="14">
        <f>AVERAGE(J62,K62)</f>
        <v>-0.0032</v>
      </c>
    </row>
    <row r="63">
      <c r="A63" s="4" t="s">
        <v>30</v>
      </c>
      <c r="B63" s="5">
        <f>IFERROR(__xludf.DUMMYFUNCTION("FILTER(SemEval_2025_T2!$C$3:$C$100, 
  REGEXMATCH(SemEval_2025_T2!$A$3:$A$100, ""(?i)"" &amp; $B$21 &amp;""_"" &amp; $A63)
)"),0.3578)</f>
        <v>0.3578</v>
      </c>
      <c r="C63" s="5">
        <f>IFERROR(__xludf.DUMMYFUNCTION("FILTER(SemEval_2025_T2!$D$3:$D$100, 
  REGEXMATCH(SemEval_2025_T2!$A$3:$A$100, ""(?i)"" &amp; $B$21 &amp;""_"" &amp; $A63)
)"),0.188)</f>
        <v>0.188</v>
      </c>
      <c r="D63" s="5">
        <f>IFERROR(__xludf.DUMMYFUNCTION("FILTER(SemEval_2025_T2!$C$3:$C$100, 
  REGEXMATCH(SemEval_2025_T2!$A$3:$A$100, ""(?i)"" &amp; $D$21 &amp;""_"" &amp; $A63)
)"),0.2704)</f>
        <v>0.2704</v>
      </c>
      <c r="E63" s="5">
        <f>IFERROR(__xludf.DUMMYFUNCTION("FILTER(SemEval_2025_T2!$D$3:$D$100, 
  REGEXMATCH(SemEval_2025_T2!$A$3:$A$100, ""(?i)"" &amp; $D$21 &amp;""_"" &amp; $A63)
)"),0.2434)</f>
        <v>0.2434</v>
      </c>
      <c r="F63" s="5">
        <f>IFERROR(__xludf.DUMMYFUNCTION("FILTER(SemEval_2025_T2!$C$3:$C$100, 
  REGEXMATCH(SemEval_2025_T2!$A$3:$A$100, ""(?i)"" &amp; $F$21 &amp;""_"" &amp; $A63)
)"),0.1898)</f>
        <v>0.1898</v>
      </c>
      <c r="G63" s="5">
        <f>IFERROR(__xludf.DUMMYFUNCTION("FILTER(SemEval_2025_T2!$D$3:$D$100, 
  REGEXMATCH(SemEval_2025_T2!$A$3:$A$100, ""(?i)"" &amp; $F$21 &amp;""_"" &amp; $A63)
)"),0.1254)</f>
        <v>0.1254</v>
      </c>
      <c r="H63" s="5">
        <f>IFERROR(__xludf.DUMMYFUNCTION("FILTER(SemEval_2025_T2!$C$3:$C$100, 
  REGEXMATCH(SemEval_2025_T2!$A$3:$A$100, ""(?i)"" &amp; $H$21 &amp;""_"" &amp; $A63)
)"),0.1968)</f>
        <v>0.1968</v>
      </c>
      <c r="I63" s="5">
        <f>IFERROR(__xludf.DUMMYFUNCTION("FILTER(SemEval_2025_T2!$D$3:$D$100, 
  REGEXMATCH(SemEval_2025_T2!$A$3:$A$100, ""(?i)"" &amp; $H$21 &amp;""_"" &amp; $A63)
)"),0.161199999999999)</f>
        <v>0.1612</v>
      </c>
      <c r="J63" s="19"/>
      <c r="K63" s="19"/>
      <c r="L63" s="19"/>
    </row>
    <row r="64">
      <c r="A64" s="12" t="s">
        <v>17</v>
      </c>
      <c r="B64" s="5">
        <f t="shared" ref="B64:I64" si="42">B60-B63</f>
        <v>0.046</v>
      </c>
      <c r="C64" s="5">
        <f t="shared" si="42"/>
        <v>0.0264</v>
      </c>
      <c r="D64" s="5">
        <f t="shared" si="42"/>
        <v>0.0152</v>
      </c>
      <c r="E64" s="5">
        <f t="shared" si="42"/>
        <v>0.0408</v>
      </c>
      <c r="F64" s="5">
        <f t="shared" si="42"/>
        <v>0.0706</v>
      </c>
      <c r="G64" s="5">
        <f t="shared" si="42"/>
        <v>0.0428</v>
      </c>
      <c r="H64" s="5">
        <f t="shared" si="42"/>
        <v>-0.0256</v>
      </c>
      <c r="I64" s="5">
        <f t="shared" si="42"/>
        <v>-0.0416</v>
      </c>
      <c r="J64" s="14">
        <f t="shared" ref="J64:K64" si="43">AVERAGE(B64,D64,F64,H64)</f>
        <v>0.02655</v>
      </c>
      <c r="K64" s="14">
        <f t="shared" si="43"/>
        <v>0.0171</v>
      </c>
      <c r="L64" s="14">
        <f>AVERAGE(J64,K64)</f>
        <v>0.021825</v>
      </c>
    </row>
    <row r="65">
      <c r="A65" s="4" t="s">
        <v>31</v>
      </c>
      <c r="B65" s="5">
        <f>IFERROR(__xludf.DUMMYFUNCTION("FILTER(SemEval_2025_T2!$C$3:$C$100, 
  REGEXMATCH(SemEval_2025_T2!$A$3:$A$100, ""(?i)"" &amp; $B$21 &amp;""_"" &amp; $A65)
)"),0.3814)</f>
        <v>0.3814</v>
      </c>
      <c r="C65" s="5">
        <f>IFERROR(__xludf.DUMMYFUNCTION("FILTER(SemEval_2025_T2!$D$3:$D$100, 
  REGEXMATCH(SemEval_2025_T2!$A$3:$A$100, ""(?i)"" &amp; $B$21 &amp;""_"" &amp; $A65)
)"),0.2058)</f>
        <v>0.2058</v>
      </c>
      <c r="D65" s="5">
        <f>IFERROR(__xludf.DUMMYFUNCTION("FILTER(SemEval_2025_T2!$C$3:$C$100, 
  REGEXMATCH(SemEval_2025_T2!$A$3:$A$100, ""(?i)"" &amp; $D$21 &amp;""_"" &amp; $A65)
)"),0.2782)</f>
        <v>0.2782</v>
      </c>
      <c r="E65" s="5">
        <f>IFERROR(__xludf.DUMMYFUNCTION("FILTER(SemEval_2025_T2!$D$3:$D$100, 
  REGEXMATCH(SemEval_2025_T2!$A$3:$A$100, ""(?i)"" &amp; $D$21 &amp;""_"" &amp; $A65)
)"),0.2544)</f>
        <v>0.2544</v>
      </c>
      <c r="F65" s="5">
        <f>IFERROR(__xludf.DUMMYFUNCTION("FILTER(SemEval_2025_T2!$C$3:$C$100, 
  REGEXMATCH(SemEval_2025_T2!$A$3:$A$100, ""(?i)"" &amp; $F$21 &amp;""_"" &amp; $A65)
)"),0.1596)</f>
        <v>0.1596</v>
      </c>
      <c r="G65" s="5">
        <f>IFERROR(__xludf.DUMMYFUNCTION("FILTER(SemEval_2025_T2!$D$3:$D$100, 
  REGEXMATCH(SemEval_2025_T2!$A$3:$A$100, ""(?i)"" &amp; $F$21 &amp;""_"" &amp; $A65)
)"),0.0998)</f>
        <v>0.0998</v>
      </c>
      <c r="H65" s="5">
        <f>IFERROR(__xludf.DUMMYFUNCTION("FILTER(SemEval_2025_T2!$C$3:$C$100, 
  REGEXMATCH(SemEval_2025_T2!$A$3:$A$100, ""(?i)"" &amp; $H$21 &amp;""_"" &amp; $A65)
)"),0.1936)</f>
        <v>0.1936</v>
      </c>
      <c r="I65" s="5">
        <f>IFERROR(__xludf.DUMMYFUNCTION("FILTER(SemEval_2025_T2!$D$3:$D$100, 
  REGEXMATCH(SemEval_2025_T2!$A$3:$A$100, ""(?i)"" &amp; $H$21 &amp;""_"" &amp; $A65)
)"),0.1488)</f>
        <v>0.1488</v>
      </c>
      <c r="J65" s="19"/>
      <c r="K65" s="19"/>
      <c r="L65" s="19"/>
    </row>
    <row r="66">
      <c r="A66" s="12" t="s">
        <v>19</v>
      </c>
      <c r="B66" s="5">
        <f t="shared" ref="B66:I66" si="44">B60-B65</f>
        <v>0.0224</v>
      </c>
      <c r="C66" s="5">
        <f t="shared" si="44"/>
        <v>0.0086</v>
      </c>
      <c r="D66" s="5">
        <f t="shared" si="44"/>
        <v>0.0074</v>
      </c>
      <c r="E66" s="5">
        <f t="shared" si="44"/>
        <v>0.0298</v>
      </c>
      <c r="F66" s="5">
        <f t="shared" si="44"/>
        <v>0.1008</v>
      </c>
      <c r="G66" s="5">
        <f t="shared" si="44"/>
        <v>0.0684</v>
      </c>
      <c r="H66" s="5">
        <f t="shared" si="44"/>
        <v>-0.0224</v>
      </c>
      <c r="I66" s="5">
        <f t="shared" si="44"/>
        <v>-0.0292</v>
      </c>
      <c r="J66" s="14">
        <f t="shared" ref="J66:K66" si="45">AVERAGE(B66,D66,F66,H66)</f>
        <v>0.02705</v>
      </c>
      <c r="K66" s="14">
        <f t="shared" si="45"/>
        <v>0.0194</v>
      </c>
      <c r="L66" s="14">
        <f>AVERAGE(J66,K66)</f>
        <v>0.023225</v>
      </c>
    </row>
    <row r="67">
      <c r="A67" s="4" t="s">
        <v>32</v>
      </c>
      <c r="B67" s="5"/>
      <c r="C67" s="5"/>
      <c r="D67" s="5">
        <f>IFERROR(__xludf.DUMMYFUNCTION("FILTER(SemEval_2025_T2!$C$3:$C$100, 
  REGEXMATCH(SemEval_2025_T2!$A$3:$A$100, ""(?i)"" &amp; $D$21 &amp;""_"" &amp; $A67), NOT(REGEXMATCH(SemEval_2025_T2!$A$3:$A$100, ""(?i)complete""))
)"),0.2542)</f>
        <v>0.2542</v>
      </c>
      <c r="E67" s="5">
        <f>IFERROR(__xludf.DUMMYFUNCTION("FILTER(SemEval_2025_T2!$D$3:$D$100, 
  REGEXMATCH(SemEval_2025_T2!$A$3:$A$100, ""(?i)"" &amp; $D$21 &amp;""_"" &amp; $A67), NOT(REGEXMATCH(SemEval_2025_T2!$A$3:$A$100, ""(?i)complete""))
)"),0.242)</f>
        <v>0.242</v>
      </c>
      <c r="F67" s="5">
        <f>IFERROR(__xludf.DUMMYFUNCTION("FILTER(SemEval_2025_T2!$C$3:$C$100, 
  REGEXMATCH(SemEval_2025_T2!$A$3:$A$100, ""(?i)"" &amp; $F$21 &amp;""_"" &amp; $A67), NOT(REGEXMATCH(SemEval_2025_T2!$A$3:$A$100, ""(?i)complete""))
)"),0.1898)</f>
        <v>0.1898</v>
      </c>
      <c r="G67" s="5">
        <f>IFERROR(__xludf.DUMMYFUNCTION("FILTER(SemEval_2025_T2!$D$3:$D$100, 
  REGEXMATCH(SemEval_2025_T2!$A$3:$A$100, ""(?i)"" &amp; $F$21 &amp;""_"" &amp; $A67), NOT(REGEXMATCH(SemEval_2025_T2!$A$3:$A$100, ""(?i)complete""))
)"),0.118799999999999)</f>
        <v>0.1188</v>
      </c>
      <c r="H67" s="5">
        <f>IFERROR(__xludf.DUMMYFUNCTION("FILTER(SemEval_2025_T2!$C$3:$C$100, 
  REGEXMATCH(SemEval_2025_T2!$A$3:$A$100, ""(?i)"" &amp; $H$21 &amp;""_"" &amp; $A67), NOT(REGEXMATCH(SemEval_2025_T2!$A$3:$A$100, ""(?i)complete""))
)"),0.1724)</f>
        <v>0.1724</v>
      </c>
      <c r="I67" s="5">
        <f>IFERROR(__xludf.DUMMYFUNCTION("FILTER(SemEval_2025_T2!$D$3:$D$100, 
  REGEXMATCH(SemEval_2025_T2!$A$3:$A$100, ""(?i)"" &amp; $H$21 &amp;""_"" &amp; $A67), NOT(REGEXMATCH(SemEval_2025_T2!$A$3:$A$100, ""(?i)complete""))
)"),0.1396)</f>
        <v>0.1396</v>
      </c>
      <c r="J67" s="19"/>
      <c r="K67" s="19"/>
      <c r="L67" s="19"/>
    </row>
    <row r="68">
      <c r="A68" s="12" t="s">
        <v>21</v>
      </c>
      <c r="B68" s="5"/>
      <c r="C68" s="5"/>
      <c r="D68" s="5">
        <f t="shared" ref="D68:I68" si="46">D60-D67</f>
        <v>0.0314</v>
      </c>
      <c r="E68" s="5">
        <f t="shared" si="46"/>
        <v>0.0422</v>
      </c>
      <c r="F68" s="5">
        <f t="shared" si="46"/>
        <v>0.0706</v>
      </c>
      <c r="G68" s="5">
        <f t="shared" si="46"/>
        <v>0.0494</v>
      </c>
      <c r="H68" s="5">
        <f t="shared" si="46"/>
        <v>-0.0012</v>
      </c>
      <c r="I68" s="5">
        <f t="shared" si="46"/>
        <v>-0.02</v>
      </c>
      <c r="J68" s="14">
        <f t="shared" ref="J68:K68" si="47">AVERAGE(B68,D68,F68,H68)</f>
        <v>0.0336</v>
      </c>
      <c r="K68" s="14">
        <f t="shared" si="47"/>
        <v>0.02386666667</v>
      </c>
      <c r="L68" s="14">
        <f>AVERAGE(J68,K68)</f>
        <v>0.02873333333</v>
      </c>
    </row>
    <row r="69">
      <c r="A69" s="4" t="s">
        <v>33</v>
      </c>
      <c r="B69" s="5">
        <f>IFERROR(__xludf.DUMMYFUNCTION("FILTER(SemEval_2025_T2!$C$3:$C$100, 
  REGEXMATCH(SemEval_2025_T2!$A$3:$A$100, ""(?i)"" &amp; $B$21 &amp;""_"" &amp; $A69), NOT(REGEXMATCH(SemEval_2025_T2!$A$3:$A$100, ""(?i)complete""))
)"),0.372)</f>
        <v>0.372</v>
      </c>
      <c r="C69" s="5">
        <f>IFERROR(__xludf.DUMMYFUNCTION("FILTER(SemEval_2025_T2!$D$3:$D$100, 
  REGEXMATCH(SemEval_2025_T2!$A$3:$A$100, ""(?i)"" &amp; $B$21 &amp;""_"" &amp; $A69), NOT(REGEXMATCH(SemEval_2025_T2!$A$3:$A$100, ""(?i)complete""))
)"),0.2172)</f>
        <v>0.2172</v>
      </c>
      <c r="D69" s="5">
        <f>IFERROR(__xludf.DUMMYFUNCTION("FILTER(SemEval_2025_T2!$C$3:$C$100, 
  REGEXMATCH(SemEval_2025_T2!$A$3:$A$100, ""(?i)"" &amp; $D$21 &amp;""_"" &amp; $A69), NOT(REGEXMATCH(SemEval_2025_T2!$A$3:$A$100, ""(?i)complete""))
)"),0.2652)</f>
        <v>0.2652</v>
      </c>
      <c r="E69" s="5">
        <f>IFERROR(__xludf.DUMMYFUNCTION("FILTER(SemEval_2025_T2!$D$3:$D$100, 
  REGEXMATCH(SemEval_2025_T2!$A$3:$A$100, ""(?i)"" &amp; $D$21 &amp;""_"" &amp; $A69), NOT(REGEXMATCH(SemEval_2025_T2!$A$3:$A$100, ""(?i)complete""))
)"),0.2544)</f>
        <v>0.2544</v>
      </c>
      <c r="F69" s="5">
        <f>IFERROR(__xludf.DUMMYFUNCTION("FILTER(SemEval_2025_T2!$C$3:$C$100, 
  REGEXMATCH(SemEval_2025_T2!$A$3:$A$100, ""(?i)"" &amp; $F$21 &amp;""_"" &amp; $A69), NOT(REGEXMATCH(SemEval_2025_T2!$A$3:$A$100, ""(?i)complete""))
)"),0.1788)</f>
        <v>0.1788</v>
      </c>
      <c r="G69" s="5">
        <f>IFERROR(__xludf.DUMMYFUNCTION("FILTER(SemEval_2025_T2!$D$3:$D$100, 
  REGEXMATCH(SemEval_2025_T2!$A$3:$A$100, ""(?i)"" &amp; $F$21 &amp;""_"" &amp; $A69), NOT(REGEXMATCH(SemEval_2025_T2!$A$3:$A$100, ""(?i)complete""))
)"),0.0958)</f>
        <v>0.0958</v>
      </c>
      <c r="H69" s="5">
        <f>IFERROR(__xludf.DUMMYFUNCTION("FILTER(SemEval_2025_T2!$C$3:$C$100, 
  REGEXMATCH(SemEval_2025_T2!$A$3:$A$100, ""(?i)"" &amp; $H$21 &amp;""_"" &amp; $A69), NOT(REGEXMATCH(SemEval_2025_T2!$A$3:$A$100, ""(?i)complete""))
)"),0.1888)</f>
        <v>0.1888</v>
      </c>
      <c r="I69" s="5">
        <f>IFERROR(__xludf.DUMMYFUNCTION("FILTER(SemEval_2025_T2!$D$3:$D$100, 
  REGEXMATCH(SemEval_2025_T2!$A$3:$A$100, ""(?i)"" &amp; $H$21 &amp;""_"" &amp; $A69), NOT(REGEXMATCH(SemEval_2025_T2!$A$3:$A$100, ""(?i)complete""))
)"),0.1394)</f>
        <v>0.1394</v>
      </c>
      <c r="J69" s="19"/>
      <c r="K69" s="19"/>
      <c r="L69" s="19"/>
    </row>
    <row r="70">
      <c r="A70" s="12" t="s">
        <v>24</v>
      </c>
      <c r="B70" s="5">
        <f t="shared" ref="B70:I70" si="48">B60-B69</f>
        <v>0.0318</v>
      </c>
      <c r="C70" s="5">
        <f t="shared" si="48"/>
        <v>-0.0028</v>
      </c>
      <c r="D70" s="5">
        <f t="shared" si="48"/>
        <v>0.0204</v>
      </c>
      <c r="E70" s="5">
        <f t="shared" si="48"/>
        <v>0.0298</v>
      </c>
      <c r="F70" s="5">
        <f t="shared" si="48"/>
        <v>0.0816</v>
      </c>
      <c r="G70" s="5">
        <f t="shared" si="48"/>
        <v>0.0724</v>
      </c>
      <c r="H70" s="5">
        <f t="shared" si="48"/>
        <v>-0.0176</v>
      </c>
      <c r="I70" s="5">
        <f t="shared" si="48"/>
        <v>-0.0198</v>
      </c>
      <c r="J70" s="14">
        <f t="shared" ref="J70:K70" si="49">AVERAGE(B70,D70,F70,H70)</f>
        <v>0.02905</v>
      </c>
      <c r="K70" s="14">
        <f t="shared" si="49"/>
        <v>0.0199</v>
      </c>
      <c r="L70" s="14">
        <f>AVERAGE(J70,K70)</f>
        <v>0.024475</v>
      </c>
    </row>
    <row r="71">
      <c r="A71" s="4" t="s">
        <v>34</v>
      </c>
      <c r="B71" s="5"/>
      <c r="C71" s="5"/>
      <c r="D71" s="5"/>
      <c r="E71" s="5"/>
      <c r="F71" s="5"/>
      <c r="G71" s="5"/>
      <c r="H71" s="5">
        <f>IFERROR(__xludf.DUMMYFUNCTION("FILTER(SemEval_2025_T2!$C$3:$C$100, 
  REGEXMATCH(SemEval_2025_T2!$A$3:$A$100, ""(?i)"" &amp; $H$21 &amp;""_"" &amp; $A71)
)"),0.1444)</f>
        <v>0.1444</v>
      </c>
      <c r="I71" s="5">
        <f>IFERROR(__xludf.DUMMYFUNCTION("FILTER(SemEval_2025_T2!$D$3:$D$100, 
  REGEXMATCH(SemEval_2025_T2!$A$3:$A$100, ""(?i)"" &amp; $H$21 &amp;""_"" &amp; $A71)
)"),0.1102)</f>
        <v>0.1102</v>
      </c>
      <c r="J71" s="19"/>
      <c r="K71" s="19"/>
      <c r="L71" s="19"/>
    </row>
    <row r="72">
      <c r="A72" s="12" t="s">
        <v>26</v>
      </c>
      <c r="B72" s="5"/>
      <c r="C72" s="5"/>
      <c r="D72" s="5"/>
      <c r="E72" s="5"/>
      <c r="F72" s="5"/>
      <c r="G72" s="5"/>
      <c r="H72" s="5">
        <f t="shared" ref="H72:I72" si="50">H60-H71</f>
        <v>0.0268</v>
      </c>
      <c r="I72" s="5">
        <f t="shared" si="50"/>
        <v>0.0094</v>
      </c>
      <c r="J72" s="14">
        <f t="shared" ref="J72:K72" si="51">AVERAGE(B72,D72,F72,H72)</f>
        <v>0.0268</v>
      </c>
      <c r="K72" s="14">
        <f t="shared" si="51"/>
        <v>0.0094</v>
      </c>
      <c r="L72" s="14">
        <f>AVERAGE(J72,K72)</f>
        <v>0.0181</v>
      </c>
    </row>
    <row r="73">
      <c r="A73" s="4" t="s">
        <v>35</v>
      </c>
      <c r="B73" s="5"/>
      <c r="C73" s="5"/>
      <c r="D73" s="5"/>
      <c r="E73" s="5"/>
      <c r="F73" s="5"/>
      <c r="G73" s="5"/>
      <c r="H73" s="5">
        <f>IFERROR(__xludf.DUMMYFUNCTION("FILTER(SemEval_2025_T2!$C$3:$C$100, 
  REGEXMATCH(SemEval_2025_T2!$A$3:$A$100, ""(?i)"" &amp; $H$21 &amp;""_"" &amp; $A73)
)"),0.2008)</f>
        <v>0.2008</v>
      </c>
      <c r="I73" s="5">
        <f>IFERROR(__xludf.DUMMYFUNCTION("FILTER(SemEval_2025_T2!$D$3:$D$100, 
  REGEXMATCH(SemEval_2025_T2!$A$3:$A$100, ""(?i)"" &amp; $H$21 &amp;""_"" &amp; $A73)
)"),0.1686)</f>
        <v>0.1686</v>
      </c>
      <c r="J73" s="19"/>
      <c r="K73" s="19"/>
      <c r="L73" s="19"/>
    </row>
    <row r="74">
      <c r="A74" s="12" t="s">
        <v>28</v>
      </c>
      <c r="B74" s="5"/>
      <c r="C74" s="5"/>
      <c r="D74" s="5"/>
      <c r="E74" s="5"/>
      <c r="F74" s="5"/>
      <c r="G74" s="5"/>
      <c r="H74" s="5">
        <f t="shared" ref="H74:I74" si="52">H60-H73</f>
        <v>-0.0296</v>
      </c>
      <c r="I74" s="5">
        <f t="shared" si="52"/>
        <v>-0.049</v>
      </c>
      <c r="J74" s="14">
        <f t="shared" ref="J74:K74" si="53">AVERAGE(B74,D74,F74,H74)</f>
        <v>-0.0296</v>
      </c>
      <c r="K74" s="14">
        <f t="shared" si="53"/>
        <v>-0.049</v>
      </c>
      <c r="L74" s="14">
        <f>AVERAGE(J74,K74)</f>
        <v>-0.0393</v>
      </c>
    </row>
    <row r="75">
      <c r="B75" s="14">
        <f t="shared" ref="B75:I75" si="54">AVERAGE(B62,B64,B66,B68,B70,B72,B74)</f>
        <v>0.03085</v>
      </c>
      <c r="C75" s="14">
        <f t="shared" si="54"/>
        <v>0.00885</v>
      </c>
      <c r="D75" s="14">
        <f t="shared" si="54"/>
        <v>0.01368</v>
      </c>
      <c r="E75" s="14">
        <f t="shared" si="54"/>
        <v>0.02848</v>
      </c>
      <c r="F75" s="14">
        <f t="shared" si="54"/>
        <v>0.06184</v>
      </c>
      <c r="G75" s="14">
        <f t="shared" si="54"/>
        <v>0.0428</v>
      </c>
      <c r="H75" s="14">
        <f t="shared" si="54"/>
        <v>-0.01185714286</v>
      </c>
      <c r="I75" s="14">
        <f t="shared" si="54"/>
        <v>-0.02131428571</v>
      </c>
    </row>
    <row r="76">
      <c r="B76" s="14">
        <f>AVERAGE(B75,C75)</f>
        <v>0.01985</v>
      </c>
      <c r="C76" s="19"/>
      <c r="D76" s="14">
        <f>AVERAGE(D75,E75)</f>
        <v>0.02108</v>
      </c>
      <c r="E76" s="19"/>
      <c r="F76" s="14">
        <f>AVERAGE(F75,G75)</f>
        <v>0.05232</v>
      </c>
      <c r="G76" s="19"/>
      <c r="H76" s="14">
        <f>AVERAGE(H75,I75)</f>
        <v>-0.01658571429</v>
      </c>
      <c r="I76" s="19"/>
    </row>
    <row r="80">
      <c r="H80" s="4">
        <v>2.96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1" t="s">
        <v>38</v>
      </c>
      <c r="B1" s="2" t="s">
        <v>39</v>
      </c>
      <c r="M1" s="22" t="s">
        <v>2</v>
      </c>
    </row>
    <row r="2">
      <c r="A2" s="1" t="s">
        <v>3</v>
      </c>
      <c r="B2" s="4" t="s">
        <v>4</v>
      </c>
      <c r="D2" s="1" t="s">
        <v>5</v>
      </c>
      <c r="E2" s="5"/>
      <c r="F2" s="1" t="s">
        <v>6</v>
      </c>
      <c r="G2" s="5"/>
      <c r="H2" s="4" t="s">
        <v>7</v>
      </c>
      <c r="I2" s="5"/>
      <c r="L2" s="20" t="s">
        <v>40</v>
      </c>
      <c r="M2" s="7"/>
      <c r="N2" s="7"/>
      <c r="O2" s="8">
        <f>COUNTIF(B5:I5,"&lt;0") + COUNTIF(B7:I7,"&lt;0") + COUNTIF(B9:I9,"&lt;0") + COUNTIF(B11:I11,"&lt;0") + COUNTIF(B13:I13,"&lt;0") + COUNTIF(B15:I15,"&lt;0") + COUNTIF(B22:I22,"&lt;0") + COUNTIF(B24:I24,"&lt;0") + COUNTIF(B26:I26,"&lt;0") + COUNTIF(B28:I28,"&lt;0") + COUNTIF(B30:I30,"&lt;0") + COUNTIF(B32:I32,"&lt;0") + COUNTIF(B39:I39,"&lt;0") + COUNTIF(B41:I41,"&lt;0") + COUNTIF(B43:I43,"&lt;0") + COUNTIF(B45:I45,"&lt;0") + COUNTIF(B47:I47,"&lt;0") + COUNTIF(B49:I49,"&lt;0") + COUNTIF(B56:I56,"&lt;0") + COUNTIF(B58:I58,"&lt;0") + COUNTIF(B60:I60,"&lt;0") + COUNTIF(B61:I61,"&lt;0") + COUNTIF(B62:I62,"&lt;0") + COUNTIF(B64:I64,"&lt;0") + COUNTIF(B66:I66,"&lt;0")</f>
        <v>24</v>
      </c>
    </row>
    <row r="3">
      <c r="A3" s="4" t="s">
        <v>11</v>
      </c>
      <c r="B3" s="5">
        <f>IFERROR(__xludf.DUMMYFUNCTION("FILTER(Dipromats!C$3:C$101, 
  REGEXMATCH(Dipromats!$A$3:$A$101, ""(?i)"" &amp; $A3)
)"),0.638654812715595)</f>
        <v>0.6386548127</v>
      </c>
      <c r="C3" s="5">
        <f>IFERROR(__xludf.DUMMYFUNCTION("FILTER(Dipromats!D$3:D$101, 
  REGEXMATCH(Dipromats!$A$3:$A$101, ""(?i)"" &amp; $A3)
)"),0.613462791622532)</f>
        <v>0.6134627916</v>
      </c>
      <c r="D3" s="5">
        <f>IFERROR(__xludf.DUMMYFUNCTION("FILTER(Dipromats!E$3:E$101, 
  REGEXMATCH(Dipromats!$A$3:$A$101, ""(?i)"" &amp; $A3)
)"),0.624175131263906)</f>
        <v>0.6241751313</v>
      </c>
      <c r="E3" s="5">
        <f>IFERROR(__xludf.DUMMYFUNCTION("FILTER(Dipromats!F$3:F$101, 
  REGEXMATCH(Dipromats!$A$3:$A$101, ""(?i)"" &amp; $A3)
)"),0.593223331315557)</f>
        <v>0.5932233313</v>
      </c>
      <c r="F3" s="5">
        <f>IFERROR(__xludf.DUMMYFUNCTION("FILTER(Dipromats!G$3:G$101, 
  REGEXMATCH(Dipromats!$A$3:$A$101, ""(?i)"" &amp; $A3)
)"),0.572478446675392)</f>
        <v>0.5724784467</v>
      </c>
      <c r="G3" s="5">
        <f>IFERROR(__xludf.DUMMYFUNCTION("FILTER(Dipromats!H$3:H$101, 
  REGEXMATCH(Dipromats!$A$3:$A$101, ""(?i)"" &amp; $A3)
)"),0.534765902917699)</f>
        <v>0.5347659029</v>
      </c>
      <c r="H3" s="5">
        <f>IFERROR(__xludf.DUMMYFUNCTION("FILTER(Dipromats!I$3:I$101, 
  REGEXMATCH(Dipromats!$A$3:$A$101, ""(?i)"" &amp; $A3)
)"),0.335225441305954)</f>
        <v>0.3352254413</v>
      </c>
      <c r="I3" s="5">
        <f>IFERROR(__xludf.DUMMYFUNCTION("FILTER(Dipromats!J$3:J$101, 
  REGEXMATCH(Dipromats!$A$3:$A$101, ""(?i)"" &amp; $A3)
)"),0.352567599779278)</f>
        <v>0.3525675998</v>
      </c>
      <c r="L3" s="9" t="s">
        <v>41</v>
      </c>
      <c r="M3" s="10"/>
      <c r="N3" s="10"/>
      <c r="O3" s="11">
        <f>COUNTIF(B5:I5,"&gt;0") + COUNTIF(B7:I7,"&gt;0") + COUNTIF(B9:I9,"&gt;0") + COUNTIF(B11:I11,"&gt;0") + COUNTIF(B13:I13,"&gt;0") + COUNTIF(B15:I15,"&gt;0") + COUNTIF(B22:I22,"&gt;0") + COUNTIF(B24:I24,"&gt;0") + COUNTIF(B26:I26,"&gt;0") + COUNTIF(B28:I28,"&gt;0") + COUNTIF(B30:I30,"&gt;0") + COUNTIF(B32:I32,"&gt;0") + COUNTIF(B39:I39,"&gt;0") + COUNTIF(B41:I41,"&gt;0") + COUNTIF(B43:I43,"&gt;0") + COUNTIF(B45:I45,"&gt;0") + COUNTIF(B47:I47,"&gt;0") + COUNTIF(B49:I49,"&gt;0") + COUNTIF(B56:I56,"&gt;0") + COUNTIF(B58:I58,"&gt;0") + COUNTIF(B60:I60,"&gt;0") + COUNTIF(B61:I61,"&gt;0") + COUNTIF(B62:I62,"&gt;0") + COUNTIF(B64:I64,"&gt;0") + COUNTIF(B66:I66,"&gt;0")</f>
        <v>162</v>
      </c>
    </row>
    <row r="4">
      <c r="A4" s="4" t="s">
        <v>15</v>
      </c>
      <c r="B4" s="5">
        <f>IFERROR(__xludf.DUMMYFUNCTION("FILTER(Dipromats!C$3:C$101, 
  REGEXMATCH(Dipromats!$A$3:$A$101, ""(?i)"" &amp; $A4)
)"),0.621040280030557)</f>
        <v>0.62104028</v>
      </c>
      <c r="C4" s="5">
        <f>IFERROR(__xludf.DUMMYFUNCTION("FILTER(Dipromats!D$3:D$101, 
  REGEXMATCH(Dipromats!$A$3:$A$101, ""(?i)"" &amp; $A4)
)"),0.571358654012934)</f>
        <v>0.571358654</v>
      </c>
      <c r="D4" s="5">
        <f>IFERROR(__xludf.DUMMYFUNCTION("FILTER(Dipromats!E$3:E$101, 
  REGEXMATCH(Dipromats!$A$3:$A$101, ""(?i)"" &amp; $A4)
)"),0.57620875615112)</f>
        <v>0.5762087562</v>
      </c>
      <c r="E4" s="5">
        <f>IFERROR(__xludf.DUMMYFUNCTION("FILTER(Dipromats!F$3:F$101, 
  REGEXMATCH(Dipromats!$A$3:$A$101, ""(?i)"" &amp; $A4)
)"),0.531274741257453)</f>
        <v>0.5312747413</v>
      </c>
      <c r="F4" s="5">
        <f>IFERROR(__xludf.DUMMYFUNCTION("FILTER(Dipromats!G$3:G$101, 
  REGEXMATCH(Dipromats!$A$3:$A$101, ""(?i)"" &amp; $A4)
)"),0.506150051999198)</f>
        <v>0.506150052</v>
      </c>
      <c r="G4" s="5">
        <f>IFERROR(__xludf.DUMMYFUNCTION("FILTER(Dipromats!H$3:H$101, 
  REGEXMATCH(Dipromats!$A$3:$A$101, ""(?i)"" &amp; $A4)
)"),0.483697863941618)</f>
        <v>0.4836978639</v>
      </c>
      <c r="H4" s="5">
        <f>IFERROR(__xludf.DUMMYFUNCTION("FILTER(Dipromats!I$3:I$101, 
  REGEXMATCH(Dipromats!$A$3:$A$101, ""(?i)"" &amp; $A4)
)"),0.286129356930116)</f>
        <v>0.2861293569</v>
      </c>
      <c r="I4" s="5">
        <f>IFERROR(__xludf.DUMMYFUNCTION("FILTER(Dipromats!J$3:J$101, 
  REGEXMATCH(Dipromats!$A$3:$A$101, ""(?i)"" &amp; $A4)
)"),0.29837198245895)</f>
        <v>0.2983719825</v>
      </c>
      <c r="L4" s="9" t="s">
        <v>12</v>
      </c>
      <c r="M4" s="10"/>
      <c r="N4" s="10"/>
      <c r="O4" s="11">
        <f>100*O2/(O3+O2)</f>
        <v>12.90322581</v>
      </c>
    </row>
    <row r="5">
      <c r="A5" s="12" t="s">
        <v>17</v>
      </c>
      <c r="B5" s="13">
        <f t="shared" ref="B5:I5" si="1">B3-B4</f>
        <v>0.01761453269</v>
      </c>
      <c r="C5" s="13">
        <f t="shared" si="1"/>
        <v>0.04210413761</v>
      </c>
      <c r="D5" s="13">
        <f t="shared" si="1"/>
        <v>0.04796637511</v>
      </c>
      <c r="E5" s="13">
        <f t="shared" si="1"/>
        <v>0.06194859006</v>
      </c>
      <c r="F5" s="13">
        <f t="shared" si="1"/>
        <v>0.06632839468</v>
      </c>
      <c r="G5" s="13">
        <f t="shared" si="1"/>
        <v>0.05106803898</v>
      </c>
      <c r="H5" s="13">
        <f t="shared" si="1"/>
        <v>0.04909608438</v>
      </c>
      <c r="I5" s="13">
        <f t="shared" si="1"/>
        <v>0.05419561732</v>
      </c>
      <c r="J5" s="14">
        <f>AVERAGE(B5:I5)</f>
        <v>0.04879022135</v>
      </c>
      <c r="K5" s="15"/>
      <c r="L5" s="16" t="s">
        <v>14</v>
      </c>
      <c r="M5" s="17"/>
      <c r="N5" s="17"/>
      <c r="O5" s="18">
        <f>100*O3/(O2+O3)</f>
        <v>87.09677419</v>
      </c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4" t="s">
        <v>18</v>
      </c>
      <c r="B6" s="5">
        <f>IFERROR(__xludf.DUMMYFUNCTION("FILTER(Dipromats!C$3:C$101, 
  REGEXMATCH(Dipromats!$A$3:$A$101, ""(?i)"" &amp; $A6)
)"),0.608500522443986)</f>
        <v>0.6085005224</v>
      </c>
      <c r="C6" s="5">
        <f>IFERROR(__xludf.DUMMYFUNCTION("FILTER(Dipromats!D$3:D$101, 
  REGEXMATCH(Dipromats!$A$3:$A$101, ""(?i)"" &amp; $A6)
)"),0.565727300132339)</f>
        <v>0.5657273001</v>
      </c>
      <c r="D6" s="5">
        <f>IFERROR(__xludf.DUMMYFUNCTION("FILTER(Dipromats!E$3:E$101, 
  REGEXMATCH(Dipromats!$A$3:$A$101, ""(?i)"" &amp; $A6)
)"),0.583927636565709)</f>
        <v>0.5839276366</v>
      </c>
      <c r="E6" s="5">
        <f>IFERROR(__xludf.DUMMYFUNCTION("FILTER(Dipromats!F$3:F$101, 
  REGEXMATCH(Dipromats!$A$3:$A$101, ""(?i)"" &amp; $A6)
)"),0.523712547832867)</f>
        <v>0.5237125478</v>
      </c>
      <c r="F6" s="5">
        <f>IFERROR(__xludf.DUMMYFUNCTION("FILTER(Dipromats!G$3:G$101, 
  REGEXMATCH(Dipromats!$A$3:$A$101, ""(?i)"" &amp; $A6)
)"),0.524902705155418)</f>
        <v>0.5249027052</v>
      </c>
      <c r="G6" s="5">
        <f>IFERROR(__xludf.DUMMYFUNCTION("FILTER(Dipromats!H$3:H$101, 
  REGEXMATCH(Dipromats!$A$3:$A$101, ""(?i)"" &amp; $A6)
)"),0.490732657736496)</f>
        <v>0.4907326577</v>
      </c>
      <c r="H6" s="5">
        <f>IFERROR(__xludf.DUMMYFUNCTION("FILTER(Dipromats!I$3:I$101, 
  REGEXMATCH(Dipromats!$A$3:$A$101, ""(?i)"" &amp; $A6)
)"),0.267289569310955)</f>
        <v>0.2672895693</v>
      </c>
      <c r="I6" s="5">
        <f>IFERROR(__xludf.DUMMYFUNCTION("FILTER(Dipromats!J$3:J$101, 
  REGEXMATCH(Dipromats!$A$3:$A$101, ""(?i)"" &amp; $A6)
)"),0.297865824391553)</f>
        <v>0.2978658244</v>
      </c>
      <c r="J6" s="19"/>
    </row>
    <row r="7">
      <c r="A7" s="12" t="s">
        <v>19</v>
      </c>
      <c r="B7" s="13">
        <f t="shared" ref="B7:I7" si="2">B3-B6</f>
        <v>0.03015429027</v>
      </c>
      <c r="C7" s="13">
        <f t="shared" si="2"/>
        <v>0.04773549149</v>
      </c>
      <c r="D7" s="13">
        <f t="shared" si="2"/>
        <v>0.0402474947</v>
      </c>
      <c r="E7" s="13">
        <f t="shared" si="2"/>
        <v>0.06951078348</v>
      </c>
      <c r="F7" s="13">
        <f t="shared" si="2"/>
        <v>0.04757574152</v>
      </c>
      <c r="G7" s="13">
        <f t="shared" si="2"/>
        <v>0.04403324518</v>
      </c>
      <c r="H7" s="13">
        <f t="shared" si="2"/>
        <v>0.06793587199</v>
      </c>
      <c r="I7" s="13">
        <f t="shared" si="2"/>
        <v>0.05470177539</v>
      </c>
      <c r="J7" s="14">
        <f>AVERAGE(B7:I7)</f>
        <v>0.05023683675</v>
      </c>
      <c r="K7" s="15"/>
      <c r="L7" s="4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21" t="s">
        <v>20</v>
      </c>
      <c r="B8" s="5">
        <f>IFERROR(__xludf.DUMMYFUNCTION("FILTER(Dipromats!C$3:C$101, 
  REGEXMATCH(Dipromats!$A$3:$A$101, ""(?i)"" &amp; $A8), NOT(REGEXMATCH(Dipromats!$A$3:$A$101, ""(?i)complete""))
)"),0.631787462260468)</f>
        <v>0.6317874623</v>
      </c>
      <c r="C8" s="5">
        <f>IFERROR(__xludf.DUMMYFUNCTION("FILTER(Dipromats!D$3:D$101, 
  REGEXMATCH(Dipromats!$A$3:$A$101, ""(?i)"" &amp; $A8), NOT(REGEXMATCH(Dipromats!$A$3:$A$101, ""(?i)complete""))
)"),0.618216042484733)</f>
        <v>0.6182160425</v>
      </c>
      <c r="D8" s="5">
        <f>IFERROR(__xludf.DUMMYFUNCTION("FILTER(Dipromats!E$3:E$101, 
  REGEXMATCH(Dipromats!$A$3:$A$101, ""(?i)"" &amp; $A8), NOT(REGEXMATCH(Dipromats!$A$3:$A$101, ""(?i)complete""))
)"),0.586439666342686)</f>
        <v>0.5864396663</v>
      </c>
      <c r="E8" s="5">
        <f>IFERROR(__xludf.DUMMYFUNCTION("FILTER(Dipromats!F$3:F$101, 
  REGEXMATCH(Dipromats!$A$3:$A$101, ""(?i)"" &amp; $A8), NOT(REGEXMATCH(Dipromats!$A$3:$A$101, ""(?i)complete""))
)"),0.569895182181278)</f>
        <v>0.5698951822</v>
      </c>
      <c r="F8" s="5">
        <f>IFERROR(__xludf.DUMMYFUNCTION("FILTER(Dipromats!G$3:G$101, 
  REGEXMATCH(Dipromats!$A$3:$A$101, ""(?i)"" &amp; $A8), NOT(REGEXMATCH(Dipromats!$A$3:$A$101, ""(?i)complete""))
)"),0.546258468663482)</f>
        <v>0.5462584687</v>
      </c>
      <c r="G8" s="5">
        <f>IFERROR(__xludf.DUMMYFUNCTION("FILTER(Dipromats!H$3:H$101, 
  REGEXMATCH(Dipromats!$A$3:$A$101, ""(?i)"" &amp; $A8), NOT(REGEXMATCH(Dipromats!$A$3:$A$101, ""(?i)complete""))
)"),0.512012998082786)</f>
        <v>0.5120129981</v>
      </c>
      <c r="H8" s="5">
        <f>IFERROR(__xludf.DUMMYFUNCTION("FILTER(Dipromats!I$3:I$101, 
  REGEXMATCH(Dipromats!$A$3:$A$101, ""(?i)"" &amp; $A8), NOT(REGEXMATCH(Dipromats!$A$3:$A$101, ""(?i)complete""))
)"),0.288938661231155)</f>
        <v>0.2889386612</v>
      </c>
      <c r="I8" s="5">
        <f>IFERROR(__xludf.DUMMYFUNCTION("FILTER(Dipromats!J$3:J$101, 
  REGEXMATCH(Dipromats!$A$3:$A$101, ""(?i)"" &amp; $A8), NOT(REGEXMATCH(Dipromats!$A$3:$A$101, ""(?i)complete""))
)"),0.329512617172151)</f>
        <v>0.3295126172</v>
      </c>
      <c r="J8" s="19"/>
      <c r="L8" s="4"/>
    </row>
    <row r="9">
      <c r="A9" s="12" t="s">
        <v>21</v>
      </c>
      <c r="B9" s="13">
        <f t="shared" ref="B9:I9" si="3">B3-B8</f>
        <v>0.006867350455</v>
      </c>
      <c r="C9" s="13">
        <f t="shared" si="3"/>
        <v>-0.004753250862</v>
      </c>
      <c r="D9" s="13">
        <f t="shared" si="3"/>
        <v>0.03773546492</v>
      </c>
      <c r="E9" s="13">
        <f t="shared" si="3"/>
        <v>0.02332814913</v>
      </c>
      <c r="F9" s="13">
        <f t="shared" si="3"/>
        <v>0.02621997801</v>
      </c>
      <c r="G9" s="13">
        <f t="shared" si="3"/>
        <v>0.02275290483</v>
      </c>
      <c r="H9" s="13">
        <f t="shared" si="3"/>
        <v>0.04628678007</v>
      </c>
      <c r="I9" s="13">
        <f t="shared" si="3"/>
        <v>0.02305498261</v>
      </c>
      <c r="J9" s="14">
        <f>AVERAGE(B9:I9)</f>
        <v>0.0226865449</v>
      </c>
      <c r="K9" s="15"/>
      <c r="L9" s="4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21" t="s">
        <v>22</v>
      </c>
      <c r="B10" s="5">
        <f>IFERROR(__xludf.DUMMYFUNCTION("FILTER(Dipromats!C$3:C$101, 
  REGEXMATCH(Dipromats!$A$3:$A$101, ""(?i)"" &amp; $A10), NOT(REGEXMATCH(Dipromats!$A$3:$A$101, ""(?i)complete""))
)"),0.640317661477475)</f>
        <v>0.6403176615</v>
      </c>
      <c r="C10" s="5">
        <f>IFERROR(__xludf.DUMMYFUNCTION("FILTER(Dipromats!D$3:D$101, 
  REGEXMATCH(Dipromats!$A$3:$A$101, ""(?i)"" &amp; $A10), NOT(REGEXMATCH(Dipromats!$A$3:$A$101, ""(?i)complete""))
)"),0.61354665612827)</f>
        <v>0.6135466561</v>
      </c>
      <c r="D10" s="5">
        <f>IFERROR(__xludf.DUMMYFUNCTION("FILTER(Dipromats!E$3:E$101, 
  REGEXMATCH(Dipromats!$A$3:$A$101, ""(?i)"" &amp; $A10), NOT(REGEXMATCH(Dipromats!$A$3:$A$101, ""(?i)complete""))
)"),0.613750839783722)</f>
        <v>0.6137508398</v>
      </c>
      <c r="E10" s="5">
        <f>IFERROR(__xludf.DUMMYFUNCTION("FILTER(Dipromats!F$3:F$101, 
  REGEXMATCH(Dipromats!$A$3:$A$101, ""(?i)"" &amp; $A10), NOT(REGEXMATCH(Dipromats!$A$3:$A$101, ""(?i)complete""))
)"),0.578681917130575)</f>
        <v>0.5786819171</v>
      </c>
      <c r="F10" s="5">
        <f>IFERROR(__xludf.DUMMYFUNCTION("FILTER(Dipromats!G$3:G$101, 
  REGEXMATCH(Dipromats!$A$3:$A$101, ""(?i)"" &amp; $A10), NOT(REGEXMATCH(Dipromats!$A$3:$A$101, ""(?i)complete""))
)"),0.545763744390765)</f>
        <v>0.5457637444</v>
      </c>
      <c r="G10" s="5">
        <f>IFERROR(__xludf.DUMMYFUNCTION("FILTER(Dipromats!H$3:H$101, 
  REGEXMATCH(Dipromats!$A$3:$A$101, ""(?i)"" &amp; $A10), NOT(REGEXMATCH(Dipromats!$A$3:$A$101, ""(?i)complete""))
)"),0.524262991587101)</f>
        <v>0.5242629916</v>
      </c>
      <c r="H10" s="5">
        <f>IFERROR(__xludf.DUMMYFUNCTION("FILTER(Dipromats!I$3:I$101, 
  REGEXMATCH(Dipromats!$A$3:$A$101, ""(?i)"" &amp; $A10), NOT(REGEXMATCH(Dipromats!$A$3:$A$101, ""(?i)complete""))
)"),0.284838731621514)</f>
        <v>0.2848387316</v>
      </c>
      <c r="I10" s="5">
        <f>IFERROR(__xludf.DUMMYFUNCTION("FILTER(Dipromats!J$3:J$101, 
  REGEXMATCH(Dipromats!$A$3:$A$101, ""(?i)"" &amp; $A10), NOT(REGEXMATCH(Dipromats!$A$3:$A$101, ""(?i)complete""))
)"),0.300772443809359)</f>
        <v>0.3007724438</v>
      </c>
      <c r="J10" s="19"/>
      <c r="L10" s="4"/>
    </row>
    <row r="11">
      <c r="A11" s="12" t="s">
        <v>24</v>
      </c>
      <c r="B11" s="13">
        <f t="shared" ref="B11:I11" si="4">B3-B10</f>
        <v>-0.001662848762</v>
      </c>
      <c r="C11" s="13">
        <f t="shared" si="4"/>
        <v>-0.00008386450574</v>
      </c>
      <c r="D11" s="13">
        <f t="shared" si="4"/>
        <v>0.01042429148</v>
      </c>
      <c r="E11" s="13">
        <f t="shared" si="4"/>
        <v>0.01454141418</v>
      </c>
      <c r="F11" s="13">
        <f t="shared" si="4"/>
        <v>0.02671470228</v>
      </c>
      <c r="G11" s="13">
        <f t="shared" si="4"/>
        <v>0.01050291133</v>
      </c>
      <c r="H11" s="13">
        <f t="shared" si="4"/>
        <v>0.05038670968</v>
      </c>
      <c r="I11" s="13">
        <f t="shared" si="4"/>
        <v>0.05179515597</v>
      </c>
      <c r="J11" s="14">
        <f>AVERAGE(B11:I11)</f>
        <v>0.02032730896</v>
      </c>
      <c r="K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21" t="s">
        <v>25</v>
      </c>
      <c r="B12" s="5">
        <f>IFERROR(__xludf.DUMMYFUNCTION("FILTER(Dipromats!C$3:C$101, 
  REGEXMATCH(Dipromats!$A$3:$A$101, ""(?i)"" &amp; $A12)
)"),0.632355163340107)</f>
        <v>0.6323551633</v>
      </c>
      <c r="C12" s="5">
        <f>IFERROR(__xludf.DUMMYFUNCTION("FILTER(Dipromats!D$3:D$101, 
  REGEXMATCH(Dipromats!$A$3:$A$101, ""(?i)"" &amp; $A12)
)"),0.606225827187698)</f>
        <v>0.6062258272</v>
      </c>
      <c r="D12" s="5">
        <f>IFERROR(__xludf.DUMMYFUNCTION("FILTER(Dipromats!E$3:E$101, 
  REGEXMATCH(Dipromats!$A$3:$A$101, ""(?i)"" &amp; $A12)
)"),0.535090217689681)</f>
        <v>0.5350902177</v>
      </c>
      <c r="E12" s="5">
        <f>IFERROR(__xludf.DUMMYFUNCTION("FILTER(Dipromats!F$3:F$101, 
  REGEXMATCH(Dipromats!$A$3:$A$101, ""(?i)"" &amp; $A12)
)"),0.477750371254548)</f>
        <v>0.4777503713</v>
      </c>
      <c r="F12" s="5">
        <f>IFERROR(__xludf.DUMMYFUNCTION("FILTER(Dipromats!G$3:G$101, 
  REGEXMATCH(Dipromats!$A$3:$A$101, ""(?i)"" &amp; $A12)
)"),0.457442229094388)</f>
        <v>0.4574422291</v>
      </c>
      <c r="G12" s="5">
        <f>IFERROR(__xludf.DUMMYFUNCTION("FILTER(Dipromats!H$3:H$101, 
  REGEXMATCH(Dipromats!$A$3:$A$101, ""(?i)"" &amp; $A12)
)"),0.427462251024684)</f>
        <v>0.427462251</v>
      </c>
      <c r="H12" s="5">
        <f>IFERROR(__xludf.DUMMYFUNCTION("FILTER(Dipromats!I$3:I$101, 
  REGEXMATCH(Dipromats!$A$3:$A$101, ""(?i)"" &amp; $A12)
)"),0.245367655632764)</f>
        <v>0.2453676556</v>
      </c>
      <c r="I12" s="5">
        <f>IFERROR(__xludf.DUMMYFUNCTION("FILTER(Dipromats!J$3:J$101, 
  REGEXMATCH(Dipromats!$A$3:$A$101, ""(?i)"" &amp; $A12)
)"),0.282654794342775)</f>
        <v>0.2826547943</v>
      </c>
      <c r="J12" s="19"/>
    </row>
    <row r="13">
      <c r="A13" s="12" t="s">
        <v>26</v>
      </c>
      <c r="B13" s="13">
        <f t="shared" ref="B13:I13" si="5">B3-B12</f>
        <v>0.006299649375</v>
      </c>
      <c r="C13" s="13">
        <f t="shared" si="5"/>
        <v>0.007236964435</v>
      </c>
      <c r="D13" s="13">
        <f t="shared" si="5"/>
        <v>0.08908491357</v>
      </c>
      <c r="E13" s="13">
        <f t="shared" si="5"/>
        <v>0.1154729601</v>
      </c>
      <c r="F13" s="13">
        <f t="shared" si="5"/>
        <v>0.1150362176</v>
      </c>
      <c r="G13" s="13">
        <f t="shared" si="5"/>
        <v>0.1073036519</v>
      </c>
      <c r="H13" s="13">
        <f t="shared" si="5"/>
        <v>0.08985778567</v>
      </c>
      <c r="I13" s="13">
        <f t="shared" si="5"/>
        <v>0.06991280544</v>
      </c>
      <c r="J13" s="14">
        <f>AVERAGE(B13:I13)</f>
        <v>0.0750256185</v>
      </c>
      <c r="K13" s="15"/>
      <c r="L13" s="4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21" t="s">
        <v>27</v>
      </c>
      <c r="B14" s="5">
        <f>IFERROR(__xludf.DUMMYFUNCTION("FILTER(Dipromats!C$3:C$101, 
  REGEXMATCH(Dipromats!$A$3:$A$101, ""(?i)"" &amp; $A14)
)"),0.626620634285161)</f>
        <v>0.6266206343</v>
      </c>
      <c r="C14" s="5">
        <f>IFERROR(__xludf.DUMMYFUNCTION("FILTER(Dipromats!D$3:D$101, 
  REGEXMATCH(Dipromats!$A$3:$A$101, ""(?i)"" &amp; $A14)
)"),0.604801060798369)</f>
        <v>0.6048010608</v>
      </c>
      <c r="D14" s="5">
        <f>IFERROR(__xludf.DUMMYFUNCTION("FILTER(Dipromats!E$3:E$101, 
  REGEXMATCH(Dipromats!$A$3:$A$101, ""(?i)"" &amp; $A14)
)"),0.274748595417237)</f>
        <v>0.2747485954</v>
      </c>
      <c r="E14" s="5">
        <f>IFERROR(__xludf.DUMMYFUNCTION("FILTER(Dipromats!F$3:F$101, 
  REGEXMATCH(Dipromats!$A$3:$A$101, ""(?i)"" &amp; $A14)
)"),0.380177808740426)</f>
        <v>0.3801778087</v>
      </c>
      <c r="F14" s="5">
        <f>IFERROR(__xludf.DUMMYFUNCTION("FILTER(Dipromats!G$3:G$101, 
  REGEXMATCH(Dipromats!$A$3:$A$101, ""(?i)"" &amp; $A14)
)"),0.484593915089339)</f>
        <v>0.4845939151</v>
      </c>
      <c r="G14" s="5">
        <f>IFERROR(__xludf.DUMMYFUNCTION("FILTER(Dipromats!H$3:H$101, 
  REGEXMATCH(Dipromats!$A$3:$A$101, ""(?i)"" &amp; $A14)
)"),0.437797137788191)</f>
        <v>0.4377971378</v>
      </c>
      <c r="H14" s="5">
        <f>IFERROR(__xludf.DUMMYFUNCTION("FILTER(Dipromats!I$3:I$101, 
  REGEXMATCH(Dipromats!$A$3:$A$101, ""(?i)"" &amp; $A14)
)"),0.220620940157727)</f>
        <v>0.2206209402</v>
      </c>
      <c r="I14" s="5">
        <f>IFERROR(__xludf.DUMMYFUNCTION("FILTER(Dipromats!J$3:J$101, 
  REGEXMATCH(Dipromats!$A$3:$A$101, ""(?i)"" &amp; $A14)
)"),0.271705614091627)</f>
        <v>0.2717056141</v>
      </c>
      <c r="J14" s="19"/>
      <c r="L14" s="4"/>
    </row>
    <row r="15">
      <c r="A15" s="12" t="s">
        <v>28</v>
      </c>
      <c r="B15" s="13">
        <f t="shared" ref="B15:I15" si="6">B3-B14</f>
        <v>0.01203417843</v>
      </c>
      <c r="C15" s="13">
        <f t="shared" si="6"/>
        <v>0.008661730824</v>
      </c>
      <c r="D15" s="13">
        <f t="shared" si="6"/>
        <v>0.3494265358</v>
      </c>
      <c r="E15" s="13">
        <f t="shared" si="6"/>
        <v>0.2130455226</v>
      </c>
      <c r="F15" s="13">
        <f t="shared" si="6"/>
        <v>0.08788453159</v>
      </c>
      <c r="G15" s="13">
        <f t="shared" si="6"/>
        <v>0.09696876513</v>
      </c>
      <c r="H15" s="13">
        <f t="shared" si="6"/>
        <v>0.1146045011</v>
      </c>
      <c r="I15" s="13">
        <f t="shared" si="6"/>
        <v>0.08086198569</v>
      </c>
      <c r="J15" s="14">
        <f>AVERAGE(B15:I15)</f>
        <v>0.1204359689</v>
      </c>
      <c r="K15" s="15"/>
      <c r="L15" s="4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B16" s="14">
        <f t="shared" ref="B16:I16" si="7">AVERAGE(B5,B7,B9,B11,B13,B15)</f>
        <v>0.01188452541</v>
      </c>
      <c r="C16" s="14">
        <f t="shared" si="7"/>
        <v>0.01681686817</v>
      </c>
      <c r="D16" s="14">
        <f t="shared" si="7"/>
        <v>0.09581417927</v>
      </c>
      <c r="E16" s="14">
        <f t="shared" si="7"/>
        <v>0.08297456992</v>
      </c>
      <c r="F16" s="14">
        <f t="shared" si="7"/>
        <v>0.06162659428</v>
      </c>
      <c r="G16" s="14">
        <f t="shared" si="7"/>
        <v>0.05543825289</v>
      </c>
      <c r="H16" s="14">
        <f t="shared" si="7"/>
        <v>0.06969462216</v>
      </c>
      <c r="I16" s="14">
        <f t="shared" si="7"/>
        <v>0.0557537204</v>
      </c>
      <c r="L16" s="4"/>
    </row>
    <row r="17">
      <c r="B17" s="14">
        <f>AVERAGE(B16:C16)</f>
        <v>0.01435069679</v>
      </c>
      <c r="C17" s="19"/>
      <c r="D17" s="14">
        <f>AVERAGE(D16:E16)</f>
        <v>0.08939437459</v>
      </c>
      <c r="E17" s="19"/>
      <c r="F17" s="14">
        <f>AVERAGE(F16:G16)</f>
        <v>0.05853242358</v>
      </c>
      <c r="G17" s="19"/>
      <c r="H17" s="14">
        <f>AVERAGE(H16:I16)</f>
        <v>0.06272417128</v>
      </c>
      <c r="I17" s="19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9">
      <c r="A19" s="1" t="s">
        <v>29</v>
      </c>
      <c r="B19" s="4" t="s">
        <v>4</v>
      </c>
      <c r="D19" s="1" t="s">
        <v>5</v>
      </c>
      <c r="E19" s="1"/>
      <c r="F19" s="1" t="s">
        <v>6</v>
      </c>
      <c r="G19" s="1"/>
      <c r="H19" s="4" t="s">
        <v>7</v>
      </c>
      <c r="I19" s="1"/>
    </row>
    <row r="20">
      <c r="A20" s="4" t="s">
        <v>11</v>
      </c>
      <c r="B20" s="5">
        <f>IFERROR(__xludf.DUMMYFUNCTION("FILTER(SemEval_2025_T2!$G$3:$G$100, 
  REGEXMATCH(SemEval_2025_T2!$A$3:$A$100, ""(?i)"" &amp; $B$19 &amp;""_"" &amp; $A20)
)"),0.4884)</f>
        <v>0.4884</v>
      </c>
      <c r="C20" s="5">
        <f>IFERROR(__xludf.DUMMYFUNCTION("FILTER(SemEval_2025_T2!$H$3:$H$100, 
  REGEXMATCH(SemEval_2025_T2!$A$3:$A$100, ""(?i)"" &amp; $B$19 &amp;""_"" &amp; $A20)
)"),0.309799999999999)</f>
        <v>0.3098</v>
      </c>
      <c r="D20" s="5">
        <f>IFERROR(__xludf.DUMMYFUNCTION("FILTER(SemEval_2025_T2!$G$3:$G$100, 
  REGEXMATCH(SemEval_2025_T2!$A$3:$A$100, ""(?i)"" &amp; $D$19 &amp;""_"" &amp; $A20)
)"),0.4214)</f>
        <v>0.4214</v>
      </c>
      <c r="E20" s="5">
        <f>IFERROR(__xludf.DUMMYFUNCTION("FILTER(SemEval_2025_T2!$H$3:$H$100, 
  REGEXMATCH(SemEval_2025_T2!$A$3:$A$100, ""(?i)"" &amp; $D$19 &amp;""_"" &amp; $A20)
)"),0.2862)</f>
        <v>0.2862</v>
      </c>
      <c r="F20" s="5">
        <f>IFERROR(__xludf.DUMMYFUNCTION("FILTER(SemEval_2025_T2!$G$3:$G$100, 
  REGEXMATCH(SemEval_2025_T2!$A$3:$A$100, ""(?i)"" &amp; $F$19 &amp;""_"" &amp; $A20)
)"),0.3434)</f>
        <v>0.3434</v>
      </c>
      <c r="G20" s="5">
        <f>IFERROR(__xludf.DUMMYFUNCTION("FILTER(SemEval_2025_T2!$H$3:$H$100, 
  REGEXMATCH(SemEval_2025_T2!$A$3:$A$100, ""(?i)"" &amp; $F$19 &amp;""_"" &amp; $A20)
)"),0.2124)</f>
        <v>0.2124</v>
      </c>
      <c r="H20" s="5">
        <f>IFERROR(__xludf.DUMMYFUNCTION("FILTER(SemEval_2025_T2!$G$3:$G$100, 
  REGEXMATCH(SemEval_2025_T2!$A$3:$A$100, ""(?i)"" &amp; $H$19 &amp;""_"" &amp; $A20)
)"),0.1666)</f>
        <v>0.1666</v>
      </c>
      <c r="I20" s="5">
        <f>IFERROR(__xludf.DUMMYFUNCTION("FILTER(SemEval_2025_T2!$H$3:$H$100, 
  REGEXMATCH(SemEval_2025_T2!$A$3:$A$100, ""(?i)"" &amp; $H$19 &amp;""_"" &amp; $A20)
)"),0.1056)</f>
        <v>0.1056</v>
      </c>
    </row>
    <row r="21">
      <c r="A21" s="4" t="s">
        <v>30</v>
      </c>
      <c r="B21" s="5">
        <f>IFERROR(__xludf.DUMMYFUNCTION("FILTER(SemEval_2025_T2!$G$3:$G$100, 
  REGEXMATCH(SemEval_2025_T2!$A$3:$A$100, ""(?i)"" &amp; $B$19 &amp;""_"" &amp; $A21)
)"),0.4362)</f>
        <v>0.4362</v>
      </c>
      <c r="C21" s="5">
        <f>IFERROR(__xludf.DUMMYFUNCTION("FILTER(SemEval_2025_T2!$H$3:$H$100, 
  REGEXMATCH(SemEval_2025_T2!$A$3:$A$100, ""(?i)"" &amp; $B$19 &amp;""_"" &amp; $A21)
)"),0.3042)</f>
        <v>0.3042</v>
      </c>
      <c r="D21" s="5">
        <f>IFERROR(__xludf.DUMMYFUNCTION("FILTER(SemEval_2025_T2!$G$3:$G$100, 
  REGEXMATCH(SemEval_2025_T2!$A$3:$A$100, ""(?i)"" &amp; $D$19 &amp;""_"" &amp; $A21)
)"),0.3392)</f>
        <v>0.3392</v>
      </c>
      <c r="E21" s="5">
        <f>IFERROR(__xludf.DUMMYFUNCTION("FILTER(SemEval_2025_T2!$H$3:$H$100, 
  REGEXMATCH(SemEval_2025_T2!$A$3:$A$100, ""(?i)"" &amp; $D$19 &amp;""_"" &amp; $A21)
)"),0.2208)</f>
        <v>0.2208</v>
      </c>
      <c r="F21" s="5">
        <f>IFERROR(__xludf.DUMMYFUNCTION("FILTER(SemEval_2025_T2!$G$3:$G$100, 
  REGEXMATCH(SemEval_2025_T2!$A$3:$A$100, ""(?i)"" &amp; $F$19 &amp;""_"" &amp; $A21)
)"),0.3016)</f>
        <v>0.3016</v>
      </c>
      <c r="G21" s="5">
        <f>IFERROR(__xludf.DUMMYFUNCTION("FILTER(SemEval_2025_T2!$H$3:$H$100, 
  REGEXMATCH(SemEval_2025_T2!$A$3:$A$100, ""(?i)"" &amp; $F$19 &amp;""_"" &amp; $A21)
)"),0.1792)</f>
        <v>0.1792</v>
      </c>
      <c r="H21" s="5">
        <f>IFERROR(__xludf.DUMMYFUNCTION("FILTER(SemEval_2025_T2!$G$3:$G$100, 
  REGEXMATCH(SemEval_2025_T2!$A$3:$A$100, ""(?i)"" &amp; $H$19 &amp;""_"" &amp; $A21)
)"),0.1424)</f>
        <v>0.1424</v>
      </c>
      <c r="I21" s="5">
        <f>IFERROR(__xludf.DUMMYFUNCTION("FILTER(SemEval_2025_T2!$H$3:$H$100, 
  REGEXMATCH(SemEval_2025_T2!$A$3:$A$100, ""(?i)"" &amp; $H$19 &amp;""_"" &amp; $A21)
)"),0.0802)</f>
        <v>0.0802</v>
      </c>
    </row>
    <row r="22">
      <c r="A22" s="12" t="s">
        <v>17</v>
      </c>
      <c r="B22" s="13">
        <f t="shared" ref="B22:I22" si="8">B20-B21</f>
        <v>0.0522</v>
      </c>
      <c r="C22" s="13">
        <f t="shared" si="8"/>
        <v>0.0056</v>
      </c>
      <c r="D22" s="13">
        <f t="shared" si="8"/>
        <v>0.0822</v>
      </c>
      <c r="E22" s="13">
        <f t="shared" si="8"/>
        <v>0.0654</v>
      </c>
      <c r="F22" s="13">
        <f t="shared" si="8"/>
        <v>0.0418</v>
      </c>
      <c r="G22" s="13">
        <f t="shared" si="8"/>
        <v>0.0332</v>
      </c>
      <c r="H22" s="13">
        <f t="shared" si="8"/>
        <v>0.0242</v>
      </c>
      <c r="I22" s="13">
        <f t="shared" si="8"/>
        <v>0.0254</v>
      </c>
      <c r="J22" s="14">
        <f t="shared" ref="J22:K22" si="9">AVERAGE(B22,D22,F22,H22)</f>
        <v>0.0501</v>
      </c>
      <c r="K22" s="14">
        <f t="shared" si="9"/>
        <v>0.0324</v>
      </c>
      <c r="L22" s="14">
        <f>AVERAGE(J22,K22)</f>
        <v>0.04125</v>
      </c>
      <c r="M22" s="15"/>
      <c r="N22" s="15"/>
      <c r="O22" s="15"/>
      <c r="P22" s="15"/>
    </row>
    <row r="23">
      <c r="A23" s="4" t="s">
        <v>31</v>
      </c>
      <c r="B23" s="5">
        <f>IFERROR(__xludf.DUMMYFUNCTION("FILTER(SemEval_2025_T2!$G$3:$G$100, 
  REGEXMATCH(SemEval_2025_T2!$A$3:$A$100, ""(?i)"" &amp; $B$19 &amp;""_"" &amp; $A23)
)"),0.444199999999999)</f>
        <v>0.4442</v>
      </c>
      <c r="C23" s="5">
        <f>IFERROR(__xludf.DUMMYFUNCTION("FILTER(SemEval_2025_T2!$H$3:$H$100, 
  REGEXMATCH(SemEval_2025_T2!$A$3:$A$100, ""(?i)"" &amp; $B$19 &amp;""_"" &amp; $A23)
)"),0.281)</f>
        <v>0.281</v>
      </c>
      <c r="D23" s="5">
        <f>IFERROR(__xludf.DUMMYFUNCTION("FILTER(SemEval_2025_T2!$G$3:$G$100, 
  REGEXMATCH(SemEval_2025_T2!$A$3:$A$100, ""(?i)"" &amp; $D$19 &amp;""_"" &amp; $A23)
)"),0.3556)</f>
        <v>0.3556</v>
      </c>
      <c r="E23" s="5">
        <f>IFERROR(__xludf.DUMMYFUNCTION("FILTER(SemEval_2025_T2!$H$3:$H$100, 
  REGEXMATCH(SemEval_2025_T2!$A$3:$A$100, ""(?i)"" &amp; $D$19 &amp;""_"" &amp; $A23)
)"),0.235)</f>
        <v>0.235</v>
      </c>
      <c r="F23" s="5">
        <f>IFERROR(__xludf.DUMMYFUNCTION("FILTER(SemEval_2025_T2!$G$3:$G$100, 
  REGEXMATCH(SemEval_2025_T2!$A$3:$A$100, ""(?i)"" &amp; $F$19 &amp;""_"" &amp; $A23)
)"),0.2892)</f>
        <v>0.2892</v>
      </c>
      <c r="G23" s="5">
        <f>IFERROR(__xludf.DUMMYFUNCTION("FILTER(SemEval_2025_T2!$H$3:$H$100, 
  REGEXMATCH(SemEval_2025_T2!$A$3:$A$100, ""(?i)"" &amp; $F$19 &amp;""_"" &amp; $A23)
)"),0.16)</f>
        <v>0.16</v>
      </c>
      <c r="H23" s="5">
        <f>IFERROR(__xludf.DUMMYFUNCTION("FILTER(SemEval_2025_T2!$G$3:$G$100, 
  REGEXMATCH(SemEval_2025_T2!$A$3:$A$100, ""(?i)"" &amp; $H$19 &amp;""_"" &amp; $A23)
)"),0.1274)</f>
        <v>0.1274</v>
      </c>
      <c r="I23" s="5">
        <f>IFERROR(__xludf.DUMMYFUNCTION("FILTER(SemEval_2025_T2!$H$3:$H$100, 
  REGEXMATCH(SemEval_2025_T2!$A$3:$A$100, ""(?i)"" &amp; $H$19 &amp;""_"" &amp; $A23)
)"),0.0496)</f>
        <v>0.0496</v>
      </c>
      <c r="J23" s="19"/>
      <c r="K23" s="19"/>
      <c r="L23" s="19"/>
    </row>
    <row r="24">
      <c r="A24" s="12" t="s">
        <v>19</v>
      </c>
      <c r="B24" s="13">
        <f t="shared" ref="B24:I24" si="10">B20-B23</f>
        <v>0.0442</v>
      </c>
      <c r="C24" s="13">
        <f t="shared" si="10"/>
        <v>0.0288</v>
      </c>
      <c r="D24" s="13">
        <f t="shared" si="10"/>
        <v>0.0658</v>
      </c>
      <c r="E24" s="13">
        <f t="shared" si="10"/>
        <v>0.0512</v>
      </c>
      <c r="F24" s="13">
        <f t="shared" si="10"/>
        <v>0.0542</v>
      </c>
      <c r="G24" s="13">
        <f t="shared" si="10"/>
        <v>0.0524</v>
      </c>
      <c r="H24" s="13">
        <f t="shared" si="10"/>
        <v>0.0392</v>
      </c>
      <c r="I24" s="13">
        <f t="shared" si="10"/>
        <v>0.056</v>
      </c>
      <c r="J24" s="14">
        <f t="shared" ref="J24:K24" si="11">AVERAGE(B24,D24,F24,H24)</f>
        <v>0.05085</v>
      </c>
      <c r="K24" s="14">
        <f t="shared" si="11"/>
        <v>0.0471</v>
      </c>
      <c r="L24" s="14">
        <f>AVERAGE(J24,K24)</f>
        <v>0.048975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4" t="s">
        <v>32</v>
      </c>
      <c r="B25" s="5">
        <f>IFERROR(__xludf.DUMMYFUNCTION("FILTER(SemEval_2025_T2!$G$3:$G$100, 
  REGEXMATCH(SemEval_2025_T2!$A$3:$A$100, ""(?i)"" &amp; $B$19 &amp;""_"" &amp; $A25), NOT(REGEXMATCH(SemEval_2025_T2!$A$3:$A$100, ""(?i)complete""))
)"),0.4852)</f>
        <v>0.4852</v>
      </c>
      <c r="C25" s="5">
        <f>IFERROR(__xludf.DUMMYFUNCTION("FILTER(SemEval_2025_T2!$H$3:$H$100, 
  REGEXMATCH(SemEval_2025_T2!$A$3:$A$100, ""(?i)"" &amp; $B$19 &amp;""_"" &amp; $A25), NOT(REGEXMATCH(SemEval_2025_T2!$A$3:$A$100, ""(?i)complete""))
)"),0.3286)</f>
        <v>0.3286</v>
      </c>
      <c r="D25" s="5">
        <f>IFERROR(__xludf.DUMMYFUNCTION("FILTER(SemEval_2025_T2!$G$3:$G$100, 
  REGEXMATCH(SemEval_2025_T2!$A$3:$A$100, ""(?i)"" &amp; $D$19 &amp;""_"" &amp; $A25), NOT(REGEXMATCH(SemEval_2025_T2!$A$3:$A$100, ""(?i)complete""))
)"),0.3592)</f>
        <v>0.3592</v>
      </c>
      <c r="E25" s="5">
        <f>IFERROR(__xludf.DUMMYFUNCTION("FILTER(SemEval_2025_T2!$H$3:$H$100, 
  REGEXMATCH(SemEval_2025_T2!$A$3:$A$100, ""(?i)"" &amp; $D$19 &amp;""_"" &amp; $A25), NOT(REGEXMATCH(SemEval_2025_T2!$A$3:$A$100, ""(?i)complete""))
)"),0.2508)</f>
        <v>0.2508</v>
      </c>
      <c r="F25" s="5">
        <f>IFERROR(__xludf.DUMMYFUNCTION("FILTER(SemEval_2025_T2!$G$3:$G$100, 
  REGEXMATCH(SemEval_2025_T2!$A$3:$A$100, ""(?i)"" &amp; $F$19 &amp;""_"" &amp; $A25), NOT(REGEXMATCH(SemEval_2025_T2!$A$3:$A$100, ""(?i)complete""))
)"),0.3106)</f>
        <v>0.3106</v>
      </c>
      <c r="G25" s="5">
        <f>IFERROR(__xludf.DUMMYFUNCTION("FILTER(SemEval_2025_T2!$H$3:$H$100, 
  REGEXMATCH(SemEval_2025_T2!$A$3:$A$100, ""(?i)"" &amp; $F$19 &amp;""_"" &amp; $A25), NOT(REGEXMATCH(SemEval_2025_T2!$A$3:$A$100, ""(?i)complete""))
)"),0.1764)</f>
        <v>0.1764</v>
      </c>
      <c r="H25" s="5">
        <f>IFERROR(__xludf.DUMMYFUNCTION("FILTER(SemEval_2025_T2!$G$3:$G$100, 
  REGEXMATCH(SemEval_2025_T2!$A$3:$A$100, ""(?i)"" &amp; $H$19 &amp;""_"" &amp; $A25), NOT(REGEXMATCH(SemEval_2025_T2!$A$3:$A$100, ""(?i)complete""))
)"),0.1246)</f>
        <v>0.1246</v>
      </c>
      <c r="I25" s="5">
        <f>IFERROR(__xludf.DUMMYFUNCTION("FILTER(SemEval_2025_T2!$H$3:$H$100, 
  REGEXMATCH(SemEval_2025_T2!$A$3:$A$100, ""(?i)"" &amp; $H$19 &amp;""_"" &amp; $A25), NOT(REGEXMATCH(SemEval_2025_T2!$A$3:$A$100, ""(?i)complete""))
)"),0.0576)</f>
        <v>0.0576</v>
      </c>
      <c r="J25" s="19"/>
      <c r="K25" s="19"/>
      <c r="L25" s="19"/>
    </row>
    <row r="26">
      <c r="A26" s="12" t="s">
        <v>21</v>
      </c>
      <c r="B26" s="13">
        <f t="shared" ref="B26:I26" si="12">B20-B25</f>
        <v>0.0032</v>
      </c>
      <c r="C26" s="13">
        <f t="shared" si="12"/>
        <v>-0.0188</v>
      </c>
      <c r="D26" s="13">
        <f t="shared" si="12"/>
        <v>0.0622</v>
      </c>
      <c r="E26" s="13">
        <f t="shared" si="12"/>
        <v>0.0354</v>
      </c>
      <c r="F26" s="13">
        <f t="shared" si="12"/>
        <v>0.0328</v>
      </c>
      <c r="G26" s="13">
        <f t="shared" si="12"/>
        <v>0.036</v>
      </c>
      <c r="H26" s="13">
        <f t="shared" si="12"/>
        <v>0.042</v>
      </c>
      <c r="I26" s="13">
        <f t="shared" si="12"/>
        <v>0.048</v>
      </c>
      <c r="J26" s="14">
        <f t="shared" ref="J26:K26" si="13">AVERAGE(B26,D26,F26,H26)</f>
        <v>0.03505</v>
      </c>
      <c r="K26" s="14">
        <f t="shared" si="13"/>
        <v>0.02515</v>
      </c>
      <c r="L26" s="14">
        <f>AVERAGE(J26,K26)</f>
        <v>0.0301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4" t="s">
        <v>33</v>
      </c>
      <c r="B27" s="5">
        <f>IFERROR(__xludf.DUMMYFUNCTION("FILTER(SemEval_2025_T2!$G$3:$G$100, 
  REGEXMATCH(SemEval_2025_T2!$A$3:$A$100, ""(?i)"" &amp; $B$19 &amp;""_"" &amp; $A27), NOT(REGEXMATCH(SemEval_2025_T2!$A$3:$A$100, ""(?i)complete""))
)"),0.4684)</f>
        <v>0.4684</v>
      </c>
      <c r="C27" s="5">
        <f>IFERROR(__xludf.DUMMYFUNCTION("FILTER(SemEval_2025_T2!$H$3:$H$100, 
  REGEXMATCH(SemEval_2025_T2!$A$3:$A$100, ""(?i)"" &amp; $B$19 &amp;""_"" &amp; $A27), NOT(REGEXMATCH(SemEval_2025_T2!$A$3:$A$100, ""(?i)complete""))
)"),0.3222)</f>
        <v>0.3222</v>
      </c>
      <c r="D27" s="5">
        <f>IFERROR(__xludf.DUMMYFUNCTION("FILTER(SemEval_2025_T2!$G$3:$G$100, 
  REGEXMATCH(SemEval_2025_T2!$A$3:$A$100, ""(?i)"" &amp; $D$19 &amp;""_"" &amp; $A27), NOT(REGEXMATCH(SemEval_2025_T2!$A$3:$A$100, ""(?i)complete""))
)"),0.383)</f>
        <v>0.383</v>
      </c>
      <c r="E27" s="5">
        <f>IFERROR(__xludf.DUMMYFUNCTION("FILTER(SemEval_2025_T2!$H$3:$H$100, 
  REGEXMATCH(SemEval_2025_T2!$A$3:$A$100, ""(?i)"" &amp; $D$19 &amp;""_"" &amp; $A27), NOT(REGEXMATCH(SemEval_2025_T2!$A$3:$A$100, ""(?i)complete""))
)"),0.267599999999999)</f>
        <v>0.2676</v>
      </c>
      <c r="F27" s="5">
        <f>IFERROR(__xludf.DUMMYFUNCTION("FILTER(SemEval_2025_T2!$G$3:$G$100, 
  REGEXMATCH(SemEval_2025_T2!$A$3:$A$100, ""(?i)"" &amp; $F$19 &amp;""_"" &amp; $A27), NOT(REGEXMATCH(SemEval_2025_T2!$A$3:$A$100, ""(?i)complete""))
)"),0.3124)</f>
        <v>0.3124</v>
      </c>
      <c r="G27" s="5">
        <f>IFERROR(__xludf.DUMMYFUNCTION("FILTER(SemEval_2025_T2!$H$3:$H$100, 
  REGEXMATCH(SemEval_2025_T2!$A$3:$A$100, ""(?i)"" &amp; $F$19 &amp;""_"" &amp; $A27), NOT(REGEXMATCH(SemEval_2025_T2!$A$3:$A$100, ""(?i)complete""))
)"),0.177)</f>
        <v>0.177</v>
      </c>
      <c r="H27" s="5">
        <f>IFERROR(__xludf.DUMMYFUNCTION("FILTER(SemEval_2025_T2!$G$3:$G$100, 
  REGEXMATCH(SemEval_2025_T2!$A$3:$A$100, ""(?i)"" &amp; $H$19 &amp;""_"" &amp; $A27), NOT(REGEXMATCH(SemEval_2025_T2!$A$3:$A$100, ""(?i)complete""))
)"),0.117799999999999)</f>
        <v>0.1178</v>
      </c>
      <c r="I27" s="5">
        <f>IFERROR(__xludf.DUMMYFUNCTION("FILTER(SemEval_2025_T2!$H$3:$H$100, 
  REGEXMATCH(SemEval_2025_T2!$A$3:$A$100, ""(?i)"" &amp; $H$19 &amp;""_"" &amp; $A27), NOT(REGEXMATCH(SemEval_2025_T2!$A$3:$A$100, ""(?i)complete""))
)"),0.0406)</f>
        <v>0.0406</v>
      </c>
      <c r="J27" s="19"/>
      <c r="K27" s="19"/>
      <c r="L27" s="19"/>
    </row>
    <row r="28">
      <c r="A28" s="12" t="s">
        <v>24</v>
      </c>
      <c r="B28" s="13">
        <f t="shared" ref="B28:I28" si="14">B20-B27</f>
        <v>0.02</v>
      </c>
      <c r="C28" s="13">
        <f t="shared" si="14"/>
        <v>-0.0124</v>
      </c>
      <c r="D28" s="13">
        <f t="shared" si="14"/>
        <v>0.0384</v>
      </c>
      <c r="E28" s="13">
        <f t="shared" si="14"/>
        <v>0.0186</v>
      </c>
      <c r="F28" s="13">
        <f t="shared" si="14"/>
        <v>0.031</v>
      </c>
      <c r="G28" s="13">
        <f t="shared" si="14"/>
        <v>0.0354</v>
      </c>
      <c r="H28" s="13">
        <f t="shared" si="14"/>
        <v>0.0488</v>
      </c>
      <c r="I28" s="13">
        <f t="shared" si="14"/>
        <v>0.065</v>
      </c>
      <c r="J28" s="14">
        <f t="shared" ref="J28:K28" si="15">AVERAGE(B28,D28,F28,H28)</f>
        <v>0.03455</v>
      </c>
      <c r="K28" s="14">
        <f t="shared" si="15"/>
        <v>0.02665</v>
      </c>
      <c r="L28" s="14">
        <f>AVERAGE(J28,K28)</f>
        <v>0.0306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4" t="s">
        <v>34</v>
      </c>
      <c r="B29" s="5">
        <f>IFERROR(__xludf.DUMMYFUNCTION("FILTER(SemEval_2025_T2!$G$3:$G$100, 
  REGEXMATCH(SemEval_2025_T2!$A$3:$A$100, ""(?i)"" &amp; $B$19 &amp;""_"" &amp; $A29)
)"),0.4522)</f>
        <v>0.4522</v>
      </c>
      <c r="C29" s="5">
        <f>IFERROR(__xludf.DUMMYFUNCTION("FILTER(SemEval_2025_T2!$H$3:$H$100, 
  REGEXMATCH(SemEval_2025_T2!$A$3:$A$100, ""(?i)"" &amp; $B$19 &amp;""_"" &amp; $A29)
)"),0.3188)</f>
        <v>0.3188</v>
      </c>
      <c r="D29" s="5">
        <f>IFERROR(__xludf.DUMMYFUNCTION("FILTER(SemEval_2025_T2!$G$3:$G$100, 
  REGEXMATCH(SemEval_2025_T2!$A$3:$A$100, ""(?i)"" &amp; $D$19 &amp;""_"" &amp; $A29)
)"),0.281)</f>
        <v>0.281</v>
      </c>
      <c r="E29" s="5">
        <f>IFERROR(__xludf.DUMMYFUNCTION("FILTER(SemEval_2025_T2!$H$3:$H$100, 
  REGEXMATCH(SemEval_2025_T2!$A$3:$A$100, ""(?i)"" &amp; $D$19 &amp;""_"" &amp; $A29)
)"),0.281)</f>
        <v>0.281</v>
      </c>
      <c r="F29" s="5">
        <f>IFERROR(__xludf.DUMMYFUNCTION("FILTER(SemEval_2025_T2!$G$3:$G$100, 
  REGEXMATCH(SemEval_2025_T2!$A$3:$A$100, ""(?i)"" &amp; $F$19 &amp;""_"" &amp; $A29)
)"),0.2836)</f>
        <v>0.2836</v>
      </c>
      <c r="G29" s="5">
        <f>IFERROR(__xludf.DUMMYFUNCTION("FILTER(SemEval_2025_T2!$H$3:$H$100, 
  REGEXMATCH(SemEval_2025_T2!$A$3:$A$100, ""(?i)"" &amp; $F$19 &amp;""_"" &amp; $A29)
)"),0.189)</f>
        <v>0.189</v>
      </c>
      <c r="H29" s="5">
        <f>IFERROR(__xludf.DUMMYFUNCTION("FILTER(SemEval_2025_T2!$G$3:$G$100, 
  REGEXMATCH(SemEval_2025_T2!$A$3:$A$100, ""(?i)"" &amp; $H$19 &amp;""_"" &amp; $A29)
)"),0.1028)</f>
        <v>0.1028</v>
      </c>
      <c r="I29" s="5">
        <f>IFERROR(__xludf.DUMMYFUNCTION("FILTER(SemEval_2025_T2!$H$3:$H$100, 
  REGEXMATCH(SemEval_2025_T2!$A$3:$A$100, ""(?i)"" &amp; $H$19 &amp;""_"" &amp; $A29)
)"),0.0496)</f>
        <v>0.0496</v>
      </c>
      <c r="J29" s="19"/>
      <c r="K29" s="19"/>
      <c r="L29" s="19"/>
    </row>
    <row r="30">
      <c r="A30" s="12" t="s">
        <v>26</v>
      </c>
      <c r="B30" s="13">
        <f t="shared" ref="B30:I30" si="16">B20-B29</f>
        <v>0.0362</v>
      </c>
      <c r="C30" s="13">
        <f t="shared" si="16"/>
        <v>-0.009</v>
      </c>
      <c r="D30" s="13">
        <f t="shared" si="16"/>
        <v>0.1404</v>
      </c>
      <c r="E30" s="13">
        <f t="shared" si="16"/>
        <v>0.0052</v>
      </c>
      <c r="F30" s="13">
        <f t="shared" si="16"/>
        <v>0.0598</v>
      </c>
      <c r="G30" s="13">
        <f t="shared" si="16"/>
        <v>0.0234</v>
      </c>
      <c r="H30" s="13">
        <f t="shared" si="16"/>
        <v>0.0638</v>
      </c>
      <c r="I30" s="13">
        <f t="shared" si="16"/>
        <v>0.056</v>
      </c>
      <c r="J30" s="14">
        <f t="shared" ref="J30:K30" si="17">AVERAGE(B30,D30,F30,H30)</f>
        <v>0.07505</v>
      </c>
      <c r="K30" s="14">
        <f t="shared" si="17"/>
        <v>0.0189</v>
      </c>
      <c r="L30" s="14">
        <f>AVERAGE(J30,K30)</f>
        <v>0.046975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4" t="s">
        <v>35</v>
      </c>
      <c r="B31" s="5">
        <f>IFERROR(__xludf.DUMMYFUNCTION("FILTER(SemEval_2025_T2!$G$3:$G$100, 
  REGEXMATCH(SemEval_2025_T2!$A$3:$A$100, ""(?i)"" &amp; $B$19 &amp;""_"" &amp; $A31)
)"),0.453)</f>
        <v>0.453</v>
      </c>
      <c r="C31" s="5">
        <f>IFERROR(__xludf.DUMMYFUNCTION("FILTER(SemEval_2025_T2!$H$3:$H$100, 
  REGEXMATCH(SemEval_2025_T2!$A$3:$A$100, ""(?i)"" &amp; $B$19 &amp;""_"" &amp; $A31)
)"),0.3236)</f>
        <v>0.3236</v>
      </c>
      <c r="D31" s="5">
        <f>IFERROR(__xludf.DUMMYFUNCTION("FILTER(SemEval_2025_T2!$G$3:$G$100, 
  REGEXMATCH(SemEval_2025_T2!$A$3:$A$100, ""(?i)"" &amp; $D$19 &amp;""_"" &amp; $A31)
)"),0.2978)</f>
        <v>0.2978</v>
      </c>
      <c r="E31" s="5">
        <f>IFERROR(__xludf.DUMMYFUNCTION("FILTER(SemEval_2025_T2!$H$3:$H$100, 
  REGEXMATCH(SemEval_2025_T2!$A$3:$A$100, ""(?i)"" &amp; $D$19 &amp;""_"" &amp; $A31)
)"),0.211399999999999)</f>
        <v>0.2114</v>
      </c>
      <c r="F31" s="5">
        <f>IFERROR(__xludf.DUMMYFUNCTION("FILTER(SemEval_2025_T2!$G$3:$G$100, 
  REGEXMATCH(SemEval_2025_T2!$A$3:$A$100, ""(?i)"" &amp; $F$19 &amp;""_"" &amp; $A31)
)"),0.2526)</f>
        <v>0.2526</v>
      </c>
      <c r="G31" s="5">
        <f>IFERROR(__xludf.DUMMYFUNCTION("FILTER(SemEval_2025_T2!$H$3:$H$100, 
  REGEXMATCH(SemEval_2025_T2!$A$3:$A$100, ""(?i)"" &amp; $F$19 &amp;""_"" &amp; $A31)
)"),0.163)</f>
        <v>0.163</v>
      </c>
      <c r="H31" s="5">
        <f>IFERROR(__xludf.DUMMYFUNCTION("FILTER(SemEval_2025_T2!$G$3:$G$100, 
  REGEXMATCH(SemEval_2025_T2!$A$3:$A$100, ""(?i)"" &amp; $H$19 &amp;""_"" &amp; $A31)
)"),0.1008)</f>
        <v>0.1008</v>
      </c>
      <c r="I31" s="5">
        <f>IFERROR(__xludf.DUMMYFUNCTION("FILTER(SemEval_2025_T2!$H$3:$H$100, 
  REGEXMATCH(SemEval_2025_T2!$A$3:$A$100, ""(?i)"" &amp; $H$19 &amp;""_"" &amp; $A31)
)"),0.034)</f>
        <v>0.034</v>
      </c>
      <c r="J31" s="19"/>
      <c r="K31" s="19"/>
      <c r="L31" s="19"/>
    </row>
    <row r="32">
      <c r="A32" s="12" t="s">
        <v>28</v>
      </c>
      <c r="B32" s="13">
        <f t="shared" ref="B32:I32" si="18">B20-B31</f>
        <v>0.0354</v>
      </c>
      <c r="C32" s="13">
        <f t="shared" si="18"/>
        <v>-0.0138</v>
      </c>
      <c r="D32" s="13">
        <f t="shared" si="18"/>
        <v>0.1236</v>
      </c>
      <c r="E32" s="13">
        <f t="shared" si="18"/>
        <v>0.0748</v>
      </c>
      <c r="F32" s="13">
        <f t="shared" si="18"/>
        <v>0.0908</v>
      </c>
      <c r="G32" s="13">
        <f t="shared" si="18"/>
        <v>0.0494</v>
      </c>
      <c r="H32" s="13">
        <f t="shared" si="18"/>
        <v>0.0658</v>
      </c>
      <c r="I32" s="13">
        <f t="shared" si="18"/>
        <v>0.0716</v>
      </c>
      <c r="J32" s="14">
        <f t="shared" ref="J32:K32" si="19">AVERAGE(B32,D32,F32,H32)</f>
        <v>0.0789</v>
      </c>
      <c r="K32" s="14">
        <f t="shared" si="19"/>
        <v>0.0455</v>
      </c>
      <c r="L32" s="14">
        <f>AVERAGE(J32,K32)</f>
        <v>0.0622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B33" s="14">
        <f t="shared" ref="B33:I33" si="20">AVERAGE(B22,B24,B26,B28, B30, B32)</f>
        <v>0.03186666667</v>
      </c>
      <c r="C33" s="14">
        <f t="shared" si="20"/>
        <v>-0.003266666667</v>
      </c>
      <c r="D33" s="14">
        <f t="shared" si="20"/>
        <v>0.08543333333</v>
      </c>
      <c r="E33" s="14">
        <f t="shared" si="20"/>
        <v>0.04176666667</v>
      </c>
      <c r="F33" s="14">
        <f t="shared" si="20"/>
        <v>0.05173333333</v>
      </c>
      <c r="G33" s="14">
        <f t="shared" si="20"/>
        <v>0.0383</v>
      </c>
      <c r="H33" s="14">
        <f t="shared" si="20"/>
        <v>0.0473</v>
      </c>
      <c r="I33" s="14">
        <f t="shared" si="20"/>
        <v>0.05366666667</v>
      </c>
      <c r="J33" s="19"/>
      <c r="K33" s="19"/>
      <c r="L33" s="19"/>
    </row>
    <row r="34">
      <c r="B34" s="14">
        <f>AVERAGE(B33:C33)</f>
        <v>0.0143</v>
      </c>
      <c r="C34" s="19"/>
      <c r="D34" s="14">
        <f>AVERAGE(D33:E33)</f>
        <v>0.0636</v>
      </c>
      <c r="E34" s="19"/>
      <c r="F34" s="14">
        <f>AVERAGE(F33:G33)</f>
        <v>0.04501666667</v>
      </c>
      <c r="G34" s="19"/>
      <c r="H34" s="14">
        <f>AVERAGE(H33:I33)</f>
        <v>0.05048333333</v>
      </c>
      <c r="I34" s="19"/>
      <c r="J34" s="19"/>
      <c r="K34" s="19"/>
      <c r="L34" s="19"/>
      <c r="U34" s="15"/>
      <c r="V34" s="15"/>
      <c r="W34" s="15"/>
      <c r="X34" s="15"/>
      <c r="Y34" s="15"/>
      <c r="Z34" s="15"/>
    </row>
    <row r="36">
      <c r="A36" s="1" t="s">
        <v>36</v>
      </c>
      <c r="B36" s="4" t="s">
        <v>4</v>
      </c>
      <c r="D36" s="1" t="s">
        <v>5</v>
      </c>
      <c r="E36" s="1"/>
      <c r="F36" s="1" t="s">
        <v>6</v>
      </c>
      <c r="G36" s="1"/>
      <c r="H36" s="4" t="s">
        <v>7</v>
      </c>
      <c r="I36" s="1"/>
      <c r="U36" s="15"/>
      <c r="V36" s="15"/>
      <c r="W36" s="15"/>
      <c r="X36" s="15"/>
      <c r="Y36" s="15"/>
      <c r="Z36" s="15"/>
    </row>
    <row r="37">
      <c r="A37" s="4" t="s">
        <v>11</v>
      </c>
      <c r="B37" s="5">
        <f>IFERROR(__xludf.DUMMYFUNCTION("FILTER(SemEval_2025_T2!$E$3:$E$100, 
  REGEXMATCH(SemEval_2025_T2!$A$3:$A$100, ""(?i)"" &amp; $B$19 &amp;""_"" &amp; $A37)
)"),0.4858)</f>
        <v>0.4858</v>
      </c>
      <c r="C37" s="5">
        <f>IFERROR(__xludf.DUMMYFUNCTION("FILTER(SemEval_2025_T2!$F$3:$F$100, 
  REGEXMATCH(SemEval_2025_T2!$A$3:$A$100, ""(?i)"" &amp; $B$19 &amp;""_"" &amp; $A37)
)"),0.301799999999999)</f>
        <v>0.3018</v>
      </c>
      <c r="D37" s="5">
        <f>IFERROR(__xludf.DUMMYFUNCTION("FILTER(SemEval_2025_T2!$E$3:$E$100, 
  REGEXMATCH(SemEval_2025_T2!$A$3:$A$100, ""(?i)"" &amp; $D$19 &amp;""_"" &amp; $A37)
)"),0.4278)</f>
        <v>0.4278</v>
      </c>
      <c r="E37" s="5">
        <f>IFERROR(__xludf.DUMMYFUNCTION("FILTER(SemEval_2025_T2!$F$3:$F$100, 
  REGEXMATCH(SemEval_2025_T2!$A$3:$A$100, ""(?i)"" &amp; $D$19 &amp;""_"" &amp; $A37)
)"),0.324199999999999)</f>
        <v>0.3242</v>
      </c>
      <c r="F37" s="5">
        <f>IFERROR(__xludf.DUMMYFUNCTION("FILTER(SemEval_2025_T2!$E$3:$E$100, 
  REGEXMATCH(SemEval_2025_T2!$A$3:$A$100, ""(?i)"" &amp; $F$19 &amp;""_"" &amp; $A37)
)"),0.3398)</f>
        <v>0.3398</v>
      </c>
      <c r="G37" s="5">
        <f>IFERROR(__xludf.DUMMYFUNCTION("FILTER(SemEval_2025_T2!$F$3:$F$100, 
  REGEXMATCH(SemEval_2025_T2!$A$3:$A$100, ""(?i)"" &amp; $F$19 &amp;""_"" &amp; $A37)
)"),0.1402)</f>
        <v>0.1402</v>
      </c>
      <c r="H37" s="5">
        <f>IFERROR(__xludf.DUMMYFUNCTION("FILTER(SemEval_2025_T2!$E$3:$E$100, 
  REGEXMATCH(SemEval_2025_T2!$A$3:$A$100, ""(?i)"" &amp; $H$19 &amp;""_"" &amp; $A37)
)"),0.177)</f>
        <v>0.177</v>
      </c>
      <c r="I37" s="5">
        <f>IFERROR(__xludf.DUMMYFUNCTION("FILTER(SemEval_2025_T2!$F$3:$F$100, 
  REGEXMATCH(SemEval_2025_T2!$A$3:$A$100, ""(?i)"" &amp; $H$19 &amp;""_"" &amp; $A37)
)"),0.08)</f>
        <v>0.08</v>
      </c>
    </row>
    <row r="38">
      <c r="A38" s="4" t="s">
        <v>30</v>
      </c>
      <c r="B38" s="5">
        <f>IFERROR(__xludf.DUMMYFUNCTION("FILTER(SemEval_2025_T2!$E$3:$E$100, 
  REGEXMATCH(SemEval_2025_T2!$A$3:$A$100, ""(?i)"" &amp; $B$19 &amp;""_"" &amp; $A38)
)"),0.4516)</f>
        <v>0.4516</v>
      </c>
      <c r="C38" s="5">
        <f>IFERROR(__xludf.DUMMYFUNCTION("FILTER(SemEval_2025_T2!$F$3:$F$100, 
  REGEXMATCH(SemEval_2025_T2!$A$3:$A$100, ""(?i)"" &amp; $B$19 &amp;""_"" &amp; $A38)
)"),0.2602)</f>
        <v>0.2602</v>
      </c>
      <c r="D38" s="5">
        <f>IFERROR(__xludf.DUMMYFUNCTION("FILTER(SemEval_2025_T2!$E$3:$E$100, 
  REGEXMATCH(SemEval_2025_T2!$A$3:$A$100, ""(?i)"" &amp; $D$19 &amp;""_"" &amp; $A38)
)"),0.378599999999999)</f>
        <v>0.3786</v>
      </c>
      <c r="E38" s="5">
        <f>IFERROR(__xludf.DUMMYFUNCTION("FILTER(SemEval_2025_T2!$F$3:$F$100, 
  REGEXMATCH(SemEval_2025_T2!$A$3:$A$100, ""(?i)"" &amp; $D$19 &amp;""_"" &amp; $A38)
)"),0.217399999999999)</f>
        <v>0.2174</v>
      </c>
      <c r="F38" s="5">
        <f>IFERROR(__xludf.DUMMYFUNCTION("FILTER(SemEval_2025_T2!$E$3:$E$100, 
  REGEXMATCH(SemEval_2025_T2!$A$3:$A$100, ""(?i)"" &amp; $F$19 &amp;""_"" &amp; $A38)
)"),0.3014)</f>
        <v>0.3014</v>
      </c>
      <c r="G38" s="5">
        <f>IFERROR(__xludf.DUMMYFUNCTION("FILTER(SemEval_2025_T2!$F$3:$F$100, 
  REGEXMATCH(SemEval_2025_T2!$A$3:$A$100, ""(?i)"" &amp; $F$19 &amp;""_"" &amp; $A38)
)"),0.1844)</f>
        <v>0.1844</v>
      </c>
      <c r="H38" s="5">
        <f>IFERROR(__xludf.DUMMYFUNCTION("FILTER(SemEval_2025_T2!$E$3:$E$100, 
  REGEXMATCH(SemEval_2025_T2!$A$3:$A$100, ""(?i)"" &amp; $H$19 &amp;""_"" &amp; $A38)
)"),0.1542)</f>
        <v>0.1542</v>
      </c>
      <c r="I38" s="5">
        <f>IFERROR(__xludf.DUMMYFUNCTION("FILTER(SemEval_2025_T2!$F$3:$F$100, 
  REGEXMATCH(SemEval_2025_T2!$A$3:$A$100, ""(?i)"" &amp; $H$19 &amp;""_"" &amp; $A38)
)"),0.0616)</f>
        <v>0.0616</v>
      </c>
    </row>
    <row r="39">
      <c r="A39" s="12" t="s">
        <v>17</v>
      </c>
      <c r="B39" s="5">
        <f t="shared" ref="B39:I39" si="21">B37-B38</f>
        <v>0.0342</v>
      </c>
      <c r="C39" s="5">
        <f t="shared" si="21"/>
        <v>0.0416</v>
      </c>
      <c r="D39" s="5">
        <f t="shared" si="21"/>
        <v>0.0492</v>
      </c>
      <c r="E39" s="5">
        <f t="shared" si="21"/>
        <v>0.1068</v>
      </c>
      <c r="F39" s="5">
        <f t="shared" si="21"/>
        <v>0.0384</v>
      </c>
      <c r="G39" s="5">
        <f t="shared" si="21"/>
        <v>-0.0442</v>
      </c>
      <c r="H39" s="5">
        <f t="shared" si="21"/>
        <v>0.0228</v>
      </c>
      <c r="I39" s="5">
        <f t="shared" si="21"/>
        <v>0.0184</v>
      </c>
      <c r="J39" s="14">
        <f t="shared" ref="J39:K39" si="22">AVERAGE(B39,D39,F39,H39)</f>
        <v>0.03615</v>
      </c>
      <c r="K39" s="14">
        <f t="shared" si="22"/>
        <v>0.03065</v>
      </c>
      <c r="L39" s="14">
        <f>AVERAGE(J39,K39)</f>
        <v>0.0334</v>
      </c>
    </row>
    <row r="40">
      <c r="A40" s="4" t="s">
        <v>31</v>
      </c>
      <c r="B40" s="5">
        <f>IFERROR(__xludf.DUMMYFUNCTION("FILTER(SemEval_2025_T2!$E$3:$E$100, 
  REGEXMATCH(SemEval_2025_T2!$A$3:$A$100, ""(?i)"" &amp; $B$19 &amp;""_"" &amp; $A40)
)"),0.469)</f>
        <v>0.469</v>
      </c>
      <c r="C40" s="5">
        <f>IFERROR(__xludf.DUMMYFUNCTION("FILTER(SemEval_2025_T2!$F$3:$F$100, 
  REGEXMATCH(SemEval_2025_T2!$A$3:$A$100, ""(?i)"" &amp; $B$19 &amp;""_"" &amp; $A40)
)"),0.265399999999999)</f>
        <v>0.2654</v>
      </c>
      <c r="D40" s="5">
        <f>IFERROR(__xludf.DUMMYFUNCTION("FILTER(SemEval_2025_T2!$E$3:$E$100, 
  REGEXMATCH(SemEval_2025_T2!$A$3:$A$100, ""(?i)"" &amp; $D$19 &amp;""_"" &amp; $A40)
)"),0.342199999999999)</f>
        <v>0.3422</v>
      </c>
      <c r="E40" s="5">
        <f>IFERROR(__xludf.DUMMYFUNCTION("FILTER(SemEval_2025_T2!$F$3:$F$100, 
  REGEXMATCH(SemEval_2025_T2!$A$3:$A$100, ""(?i)"" &amp; $D$19 &amp;""_"" &amp; $A40)
)"),0.180399999999999)</f>
        <v>0.1804</v>
      </c>
      <c r="F40" s="5">
        <f>IFERROR(__xludf.DUMMYFUNCTION("FILTER(SemEval_2025_T2!$E$3:$E$100, 
  REGEXMATCH(SemEval_2025_T2!$A$3:$A$100, ""(?i)"" &amp; $F$19 &amp;""_"" &amp; $A40)
)"),0.2952)</f>
        <v>0.2952</v>
      </c>
      <c r="G40" s="5">
        <f>IFERROR(__xludf.DUMMYFUNCTION("FILTER(SemEval_2025_T2!$F$3:$F$100, 
  REGEXMATCH(SemEval_2025_T2!$A$3:$A$100, ""(?i)"" &amp; $F$19 &amp;""_"" &amp; $A40)
)"),0.1818)</f>
        <v>0.1818</v>
      </c>
      <c r="H40" s="5">
        <f>IFERROR(__xludf.DUMMYFUNCTION("FILTER(SemEval_2025_T2!$E$3:$E$100, 
  REGEXMATCH(SemEval_2025_T2!$A$3:$A$100, ""(?i)"" &amp; $H$19 &amp;""_"" &amp; $A40)
)"),0.1582)</f>
        <v>0.1582</v>
      </c>
      <c r="I40" s="5">
        <f>IFERROR(__xludf.DUMMYFUNCTION("FILTER(SemEval_2025_T2!$F$3:$F$100, 
  REGEXMATCH(SemEval_2025_T2!$A$3:$A$100, ""(?i)"" &amp; $H$19 &amp;""_"" &amp; $A40)
)"),0.0654)</f>
        <v>0.0654</v>
      </c>
      <c r="J40" s="19"/>
      <c r="K40" s="19"/>
      <c r="L40" s="19"/>
    </row>
    <row r="41">
      <c r="A41" s="12" t="s">
        <v>19</v>
      </c>
      <c r="B41" s="5">
        <f t="shared" ref="B41:I41" si="23">B37-B40</f>
        <v>0.0168</v>
      </c>
      <c r="C41" s="5">
        <f t="shared" si="23"/>
        <v>0.0364</v>
      </c>
      <c r="D41" s="5">
        <f t="shared" si="23"/>
        <v>0.0856</v>
      </c>
      <c r="E41" s="5">
        <f t="shared" si="23"/>
        <v>0.1438</v>
      </c>
      <c r="F41" s="5">
        <f t="shared" si="23"/>
        <v>0.0446</v>
      </c>
      <c r="G41" s="5">
        <f t="shared" si="23"/>
        <v>-0.0416</v>
      </c>
      <c r="H41" s="5">
        <f t="shared" si="23"/>
        <v>0.0188</v>
      </c>
      <c r="I41" s="5">
        <f t="shared" si="23"/>
        <v>0.0146</v>
      </c>
      <c r="J41" s="14">
        <f t="shared" ref="J41:K41" si="24">AVERAGE(B41,D41,F41,H41)</f>
        <v>0.04145</v>
      </c>
      <c r="K41" s="14">
        <f t="shared" si="24"/>
        <v>0.0383</v>
      </c>
      <c r="L41" s="14">
        <f>AVERAGE(J41,K41)</f>
        <v>0.039875</v>
      </c>
    </row>
    <row r="42">
      <c r="A42" s="4" t="s">
        <v>32</v>
      </c>
      <c r="B42" s="5">
        <f>IFERROR(__xludf.DUMMYFUNCTION("FILTER(SemEval_2025_T2!$E$3:$E$100, 
  REGEXMATCH(SemEval_2025_T2!$A$3:$A$100, ""(?i)"" &amp; $B$19 &amp;""_"" &amp; $A42), NOT(REGEXMATCH(SemEval_2025_T2!$A$3:$A$100, ""(?i)complete""))
)"),0.4682)</f>
        <v>0.4682</v>
      </c>
      <c r="C42" s="5">
        <f>IFERROR(__xludf.DUMMYFUNCTION("FILTER(SemEval_2025_T2!$F$3:$F$100, 
  REGEXMATCH(SemEval_2025_T2!$A$3:$A$100, ""(?i)"" &amp; $B$19 &amp;""_"" &amp; $A42), NOT(REGEXMATCH(SemEval_2025_T2!$A$3:$A$100, ""(?i)complete""))
)"),0.285599999999999)</f>
        <v>0.2856</v>
      </c>
      <c r="D42" s="5">
        <f>IFERROR(__xludf.DUMMYFUNCTION("FILTER(SemEval_2025_T2!$E$3:$E$100, 
  REGEXMATCH(SemEval_2025_T2!$A$3:$A$100, ""(?i)"" &amp; $D$19 &amp;""_"" &amp; $A42), NOT(REGEXMATCH(SemEval_2025_T2!$A$3:$A$100, ""(?i)complete""))
)"),0.3714)</f>
        <v>0.3714</v>
      </c>
      <c r="E42" s="5">
        <f>IFERROR(__xludf.DUMMYFUNCTION("FILTER(SemEval_2025_T2!$F$3:$F$100, 
  REGEXMATCH(SemEval_2025_T2!$A$3:$A$100, ""(?i)"" &amp; $D$19 &amp;""_"" &amp; $A42), NOT(REGEXMATCH(SemEval_2025_T2!$A$3:$A$100, ""(?i)complete""))
)"),0.204599999999999)</f>
        <v>0.2046</v>
      </c>
      <c r="F42" s="5">
        <f>IFERROR(__xludf.DUMMYFUNCTION("FILTER(SemEval_2025_T2!$E$3:$E$100, 
  REGEXMATCH(SemEval_2025_T2!$A$3:$A$100, ""(?i)"" &amp; $F$19 &amp;""_"" &amp; $A42), NOT(REGEXMATCH(SemEval_2025_T2!$A$3:$A$100, ""(?i)complete""))
)"),0.2814)</f>
        <v>0.2814</v>
      </c>
      <c r="G42" s="5">
        <f>IFERROR(__xludf.DUMMYFUNCTION("FILTER(SemEval_2025_T2!$F$3:$F$100, 
  REGEXMATCH(SemEval_2025_T2!$A$3:$A$100, ""(?i)"" &amp; $F$19 &amp;""_"" &amp; $A42), NOT(REGEXMATCH(SemEval_2025_T2!$A$3:$A$100, ""(?i)complete""))
)"),0.1774)</f>
        <v>0.1774</v>
      </c>
      <c r="H42" s="5">
        <f>IFERROR(__xludf.DUMMYFUNCTION("FILTER(SemEval_2025_T2!$E$3:$E$100, 
  REGEXMATCH(SemEval_2025_T2!$A$3:$A$100, ""(?i)"" &amp; $H$19 &amp;""_"" &amp; $A42), NOT(REGEXMATCH(SemEval_2025_T2!$A$3:$A$100, ""(?i)complete""))
)"),0.1878)</f>
        <v>0.1878</v>
      </c>
      <c r="I42" s="5">
        <f>IFERROR(__xludf.DUMMYFUNCTION("FILTER(SemEval_2025_T2!$F$3:$F$100, 
  REGEXMATCH(SemEval_2025_T2!$A$3:$A$100, ""(?i)"" &amp; $H$19 &amp;""_"" &amp; $A42), NOT(REGEXMATCH(SemEval_2025_T2!$A$3:$A$100, ""(?i)complete""))
)"),0.0782)</f>
        <v>0.0782</v>
      </c>
      <c r="J42" s="19"/>
      <c r="K42" s="19"/>
      <c r="L42" s="19"/>
    </row>
    <row r="43">
      <c r="A43" s="12" t="s">
        <v>21</v>
      </c>
      <c r="B43" s="5">
        <f t="shared" ref="B43:I43" si="25">B37-B42</f>
        <v>0.0176</v>
      </c>
      <c r="C43" s="5">
        <f t="shared" si="25"/>
        <v>0.0162</v>
      </c>
      <c r="D43" s="5">
        <f t="shared" si="25"/>
        <v>0.0564</v>
      </c>
      <c r="E43" s="5">
        <f t="shared" si="25"/>
        <v>0.1196</v>
      </c>
      <c r="F43" s="5">
        <f t="shared" si="25"/>
        <v>0.0584</v>
      </c>
      <c r="G43" s="5">
        <f t="shared" si="25"/>
        <v>-0.0372</v>
      </c>
      <c r="H43" s="5">
        <f t="shared" si="25"/>
        <v>-0.0108</v>
      </c>
      <c r="I43" s="5">
        <f t="shared" si="25"/>
        <v>0.0018</v>
      </c>
      <c r="J43" s="14">
        <f t="shared" ref="J43:K43" si="26">AVERAGE(B43,D43,F43,H43)</f>
        <v>0.0304</v>
      </c>
      <c r="K43" s="14">
        <f t="shared" si="26"/>
        <v>0.0251</v>
      </c>
      <c r="L43" s="14">
        <f>AVERAGE(J43,K43)</f>
        <v>0.02775</v>
      </c>
    </row>
    <row r="44">
      <c r="A44" s="4" t="s">
        <v>33</v>
      </c>
      <c r="B44" s="5">
        <f>IFERROR(__xludf.DUMMYFUNCTION("FILTER(SemEval_2025_T2!$E$3:$E$100, 
  REGEXMATCH(SemEval_2025_T2!$A$3:$A$100, ""(?i)"" &amp; $B$19 &amp;""_"" &amp; $A44), NOT(REGEXMATCH(SemEval_2025_T2!$A$3:$A$100, ""(?i)complete""))
)"),0.4574)</f>
        <v>0.4574</v>
      </c>
      <c r="C44" s="5">
        <f>IFERROR(__xludf.DUMMYFUNCTION("FILTER(SemEval_2025_T2!$F$3:$F$100, 
  REGEXMATCH(SemEval_2025_T2!$A$3:$A$100, ""(?i)"" &amp; $B$19 &amp;""_"" &amp; $A44), NOT(REGEXMATCH(SemEval_2025_T2!$A$3:$A$100, ""(?i)complete""))
)"),0.267)</f>
        <v>0.267</v>
      </c>
      <c r="D44" s="5">
        <f>IFERROR(__xludf.DUMMYFUNCTION("FILTER(SemEval_2025_T2!$E$3:$E$100, 
  REGEXMATCH(SemEval_2025_T2!$A$3:$A$100, ""(?i)"" &amp; $D$19 &amp;""_"" &amp; $A44), NOT(REGEXMATCH(SemEval_2025_T2!$A$3:$A$100, ""(?i)complete""))
)"),0.3716)</f>
        <v>0.3716</v>
      </c>
      <c r="E44" s="5">
        <f>IFERROR(__xludf.DUMMYFUNCTION("FILTER(SemEval_2025_T2!$F$3:$F$100, 
  REGEXMATCH(SemEval_2025_T2!$A$3:$A$100, ""(?i)"" &amp; $D$19 &amp;""_"" &amp; $A44), NOT(REGEXMATCH(SemEval_2025_T2!$A$3:$A$100, ""(?i)complete""))
)"),0.2182)</f>
        <v>0.2182</v>
      </c>
      <c r="F44" s="5">
        <f>IFERROR(__xludf.DUMMYFUNCTION("FILTER(SemEval_2025_T2!$E$3:$E$100, 
  REGEXMATCH(SemEval_2025_T2!$A$3:$A$100, ""(?i)"" &amp; $F$19 &amp;""_"" &amp; $A44), NOT(REGEXMATCH(SemEval_2025_T2!$A$3:$A$100, ""(?i)complete""))
)"),0.2834)</f>
        <v>0.2834</v>
      </c>
      <c r="G44" s="5">
        <f>IFERROR(__xludf.DUMMYFUNCTION("FILTER(SemEval_2025_T2!$F$3:$F$100, 
  REGEXMATCH(SemEval_2025_T2!$A$3:$A$100, ""(?i)"" &amp; $F$19 &amp;""_"" &amp; $A44), NOT(REGEXMATCH(SemEval_2025_T2!$A$3:$A$100, ""(?i)complete""))
)"),0.1776)</f>
        <v>0.1776</v>
      </c>
      <c r="H44" s="5">
        <f>IFERROR(__xludf.DUMMYFUNCTION("FILTER(SemEval_2025_T2!$E$3:$E$100, 
  REGEXMATCH(SemEval_2025_T2!$A$3:$A$100, ""(?i)"" &amp; $H$19 &amp;""_"" &amp; $A44), NOT(REGEXMATCH(SemEval_2025_T2!$A$3:$A$100, ""(?i)complete""))
)"),0.175799999999999)</f>
        <v>0.1758</v>
      </c>
      <c r="I44" s="5">
        <f>IFERROR(__xludf.DUMMYFUNCTION("FILTER(SemEval_2025_T2!$F$3:$F$100, 
  REGEXMATCH(SemEval_2025_T2!$A$3:$A$100, ""(?i)"" &amp; $H$19 &amp;""_"" &amp; $A44), NOT(REGEXMATCH(SemEval_2025_T2!$A$3:$A$100, ""(?i)complete""))
)"),0.0826)</f>
        <v>0.0826</v>
      </c>
      <c r="J44" s="19"/>
      <c r="K44" s="19"/>
      <c r="L44" s="19"/>
    </row>
    <row r="45">
      <c r="A45" s="12" t="s">
        <v>24</v>
      </c>
      <c r="B45" s="5">
        <f t="shared" ref="B45:I45" si="27">B37-B44</f>
        <v>0.0284</v>
      </c>
      <c r="C45" s="5">
        <f t="shared" si="27"/>
        <v>0.0348</v>
      </c>
      <c r="D45" s="5">
        <f t="shared" si="27"/>
        <v>0.0562</v>
      </c>
      <c r="E45" s="5">
        <f t="shared" si="27"/>
        <v>0.106</v>
      </c>
      <c r="F45" s="5">
        <f t="shared" si="27"/>
        <v>0.0564</v>
      </c>
      <c r="G45" s="5">
        <f t="shared" si="27"/>
        <v>-0.0374</v>
      </c>
      <c r="H45" s="5">
        <f t="shared" si="27"/>
        <v>0.0012</v>
      </c>
      <c r="I45" s="5">
        <f t="shared" si="27"/>
        <v>-0.0026</v>
      </c>
      <c r="J45" s="14">
        <f t="shared" ref="J45:K45" si="28">AVERAGE(B45,D45,F45,H45)</f>
        <v>0.03555</v>
      </c>
      <c r="K45" s="14">
        <f t="shared" si="28"/>
        <v>0.0252</v>
      </c>
      <c r="L45" s="14">
        <f>AVERAGE(J45,K45)</f>
        <v>0.030375</v>
      </c>
    </row>
    <row r="46">
      <c r="A46" s="4" t="s">
        <v>34</v>
      </c>
      <c r="B46" s="5">
        <f>IFERROR(__xludf.DUMMYFUNCTION("FILTER(SemEval_2025_T2!$E$3:$E$100, 
  REGEXMATCH(SemEval_2025_T2!$A$3:$A$100, ""(?i)"" &amp; $B$19 &amp;""_"" &amp; $A46)
)"),0.453599999999999)</f>
        <v>0.4536</v>
      </c>
      <c r="C46" s="5">
        <f>IFERROR(__xludf.DUMMYFUNCTION("FILTER(SemEval_2025_T2!$F$3:$F$100, 
  REGEXMATCH(SemEval_2025_T2!$A$3:$A$100, ""(?i)"" &amp; $B$19 &amp;""_"" &amp; $A46)
)"),0.2698)</f>
        <v>0.2698</v>
      </c>
      <c r="D46" s="5">
        <f>IFERROR(__xludf.DUMMYFUNCTION("FILTER(SemEval_2025_T2!$E$3:$E$100, 
  REGEXMATCH(SemEval_2025_T2!$A$3:$A$100, ""(?i)"" &amp; $D$19 &amp;""_"" &amp; $A46)
)"),0.3854)</f>
        <v>0.3854</v>
      </c>
      <c r="E46" s="5">
        <f>IFERROR(__xludf.DUMMYFUNCTION("FILTER(SemEval_2025_T2!$F$3:$F$100, 
  REGEXMATCH(SemEval_2025_T2!$A$3:$A$100, ""(?i)"" &amp; $D$19 &amp;""_"" &amp; $A46)
)"),0.1814)</f>
        <v>0.1814</v>
      </c>
      <c r="F46" s="5">
        <f>IFERROR(__xludf.DUMMYFUNCTION("FILTER(SemEval_2025_T2!$E$3:$E$100, 
  REGEXMATCH(SemEval_2025_T2!$A$3:$A$100, ""(?i)"" &amp; $F$19 &amp;""_"" &amp; $A46)
)"),0.2652)</f>
        <v>0.2652</v>
      </c>
      <c r="G46" s="5">
        <f>IFERROR(__xludf.DUMMYFUNCTION("FILTER(SemEval_2025_T2!$F$3:$F$100, 
  REGEXMATCH(SemEval_2025_T2!$A$3:$A$100, ""(?i)"" &amp; $F$19 &amp;""_"" &amp; $A46)
)"),0.0809999999999999)</f>
        <v>0.081</v>
      </c>
      <c r="H46" s="5">
        <f>IFERROR(__xludf.DUMMYFUNCTION("FILTER(SemEval_2025_T2!$E$3:$E$100, 
  REGEXMATCH(SemEval_2025_T2!$A$3:$A$100, ""(?i)"" &amp; $H$19 &amp;""_"" &amp; $A46)
)"),0.089)</f>
        <v>0.089</v>
      </c>
      <c r="I46" s="5">
        <f>IFERROR(__xludf.DUMMYFUNCTION("FILTER(SemEval_2025_T2!$F$3:$F$100, 
  REGEXMATCH(SemEval_2025_T2!$A$3:$A$100, ""(?i)"" &amp; $H$19 &amp;""_"" &amp; $A46)
)"),0.0288)</f>
        <v>0.0288</v>
      </c>
      <c r="J46" s="19"/>
      <c r="K46" s="19"/>
      <c r="L46" s="19"/>
    </row>
    <row r="47">
      <c r="A47" s="12" t="s">
        <v>26</v>
      </c>
      <c r="B47" s="5">
        <f t="shared" ref="B47:I47" si="29">B37-B46</f>
        <v>0.0322</v>
      </c>
      <c r="C47" s="5">
        <f t="shared" si="29"/>
        <v>0.032</v>
      </c>
      <c r="D47" s="5">
        <f t="shared" si="29"/>
        <v>0.0424</v>
      </c>
      <c r="E47" s="5">
        <f t="shared" si="29"/>
        <v>0.1428</v>
      </c>
      <c r="F47" s="5">
        <f t="shared" si="29"/>
        <v>0.0746</v>
      </c>
      <c r="G47" s="5">
        <f t="shared" si="29"/>
        <v>0.0592</v>
      </c>
      <c r="H47" s="5">
        <f t="shared" si="29"/>
        <v>0.088</v>
      </c>
      <c r="I47" s="5">
        <f t="shared" si="29"/>
        <v>0.0512</v>
      </c>
      <c r="J47" s="14">
        <f t="shared" ref="J47:K47" si="30">AVERAGE(B47,D47,F47,H47)</f>
        <v>0.0593</v>
      </c>
      <c r="K47" s="14">
        <f t="shared" si="30"/>
        <v>0.0713</v>
      </c>
      <c r="L47" s="14">
        <f>AVERAGE(J47,K47)</f>
        <v>0.0653</v>
      </c>
    </row>
    <row r="48">
      <c r="A48" s="4" t="s">
        <v>35</v>
      </c>
      <c r="B48" s="5">
        <f>IFERROR(__xludf.DUMMYFUNCTION("FILTER(SemEval_2025_T2!$E$3:$E$100, 
  REGEXMATCH(SemEval_2025_T2!$A$3:$A$100, ""(?i)"" &amp; $B$19 &amp;""_"" &amp; $A48)
)"),0.45)</f>
        <v>0.45</v>
      </c>
      <c r="C48" s="5">
        <f>IFERROR(__xludf.DUMMYFUNCTION("FILTER(SemEval_2025_T2!$F$3:$F$100, 
  REGEXMATCH(SemEval_2025_T2!$A$3:$A$100, ""(?i)"" &amp; $B$19 &amp;""_"" &amp; $A48)
)"),0.2692)</f>
        <v>0.2692</v>
      </c>
      <c r="D48" s="5">
        <f>IFERROR(__xludf.DUMMYFUNCTION("FILTER(SemEval_2025_T2!$E$3:$E$100, 
  REGEXMATCH(SemEval_2025_T2!$A$3:$A$100, ""(?i)"" &amp; $D$19 &amp;""_"" &amp; $A48)
)"),0.3804)</f>
        <v>0.3804</v>
      </c>
      <c r="E48" s="5">
        <f>IFERROR(__xludf.DUMMYFUNCTION("FILTER(SemEval_2025_T2!$F$3:$F$100, 
  REGEXMATCH(SemEval_2025_T2!$A$3:$A$100, ""(?i)"" &amp; $D$19 &amp;""_"" &amp; $A48)
)"),0.1926)</f>
        <v>0.1926</v>
      </c>
      <c r="F48" s="5">
        <f>IFERROR(__xludf.DUMMYFUNCTION("FILTER(SemEval_2025_T2!$E$3:$E$100, 
  REGEXMATCH(SemEval_2025_T2!$A$3:$A$100, ""(?i)"" &amp; $F$19 &amp;""_"" &amp; $A48)
)"),0.2804)</f>
        <v>0.2804</v>
      </c>
      <c r="G48" s="5">
        <f>IFERROR(__xludf.DUMMYFUNCTION("FILTER(SemEval_2025_T2!$F$3:$F$100, 
  REGEXMATCH(SemEval_2025_T2!$A$3:$A$100, ""(?i)"" &amp; $F$19 &amp;""_"" &amp; $A48)
)"),0.136)</f>
        <v>0.136</v>
      </c>
      <c r="H48" s="5">
        <f>IFERROR(__xludf.DUMMYFUNCTION("FILTER(SemEval_2025_T2!$E$3:$E$100, 
  REGEXMATCH(SemEval_2025_T2!$A$3:$A$100, ""(?i)"" &amp; $H$19 &amp;""_"" &amp; $A48)
)"),0.1236)</f>
        <v>0.1236</v>
      </c>
      <c r="I48" s="5">
        <f>IFERROR(__xludf.DUMMYFUNCTION("FILTER(SemEval_2025_T2!$F$3:$F$100, 
  REGEXMATCH(SemEval_2025_T2!$A$3:$A$100, ""(?i)"" &amp; $H$19 &amp;""_"" &amp; $A48)
)"),0.044)</f>
        <v>0.044</v>
      </c>
      <c r="J48" s="19"/>
      <c r="K48" s="19"/>
      <c r="L48" s="19"/>
    </row>
    <row r="49">
      <c r="A49" s="12" t="s">
        <v>28</v>
      </c>
      <c r="B49" s="5">
        <f t="shared" ref="B49:I49" si="31">B37-B48</f>
        <v>0.0358</v>
      </c>
      <c r="C49" s="5">
        <f t="shared" si="31"/>
        <v>0.0326</v>
      </c>
      <c r="D49" s="5">
        <f t="shared" si="31"/>
        <v>0.0474</v>
      </c>
      <c r="E49" s="5">
        <f t="shared" si="31"/>
        <v>0.1316</v>
      </c>
      <c r="F49" s="5">
        <f t="shared" si="31"/>
        <v>0.0594</v>
      </c>
      <c r="G49" s="5">
        <f t="shared" si="31"/>
        <v>0.0042</v>
      </c>
      <c r="H49" s="5">
        <f t="shared" si="31"/>
        <v>0.0534</v>
      </c>
      <c r="I49" s="5">
        <f t="shared" si="31"/>
        <v>0.036</v>
      </c>
      <c r="J49" s="14">
        <f t="shared" ref="J49:K49" si="32">AVERAGE(B49,D49,F49,H49)</f>
        <v>0.049</v>
      </c>
      <c r="K49" s="14">
        <f t="shared" si="32"/>
        <v>0.0511</v>
      </c>
      <c r="L49" s="14">
        <f>AVERAGE(J49,K49)</f>
        <v>0.05005</v>
      </c>
    </row>
    <row r="50">
      <c r="B50" s="14">
        <f t="shared" ref="B50:I50" si="33">AVERAGE(B39,B41,B43,B45, B47, B49)</f>
        <v>0.0275</v>
      </c>
      <c r="C50" s="14">
        <f t="shared" si="33"/>
        <v>0.03226666667</v>
      </c>
      <c r="D50" s="14">
        <f t="shared" si="33"/>
        <v>0.0562</v>
      </c>
      <c r="E50" s="14">
        <f t="shared" si="33"/>
        <v>0.1251</v>
      </c>
      <c r="F50" s="14">
        <f t="shared" si="33"/>
        <v>0.0553</v>
      </c>
      <c r="G50" s="14">
        <f t="shared" si="33"/>
        <v>-0.01616666667</v>
      </c>
      <c r="H50" s="14">
        <f t="shared" si="33"/>
        <v>0.0289</v>
      </c>
      <c r="I50" s="14">
        <f t="shared" si="33"/>
        <v>0.0199</v>
      </c>
    </row>
    <row r="51">
      <c r="B51" s="14">
        <f>AVERAGE(B50:C50)</f>
        <v>0.02988333333</v>
      </c>
      <c r="C51" s="19"/>
      <c r="D51" s="14">
        <f>AVERAGE(D50:E50)</f>
        <v>0.09065</v>
      </c>
      <c r="E51" s="19"/>
      <c r="F51" s="14">
        <f>AVERAGE(F50:G50)</f>
        <v>0.01956666667</v>
      </c>
      <c r="G51" s="19"/>
      <c r="H51" s="14">
        <f>AVERAGE(H50:I50)</f>
        <v>0.0244</v>
      </c>
      <c r="I51" s="19"/>
    </row>
    <row r="53">
      <c r="A53" s="1" t="s">
        <v>37</v>
      </c>
      <c r="B53" s="4" t="s">
        <v>4</v>
      </c>
      <c r="D53" s="1" t="s">
        <v>5</v>
      </c>
      <c r="E53" s="1"/>
      <c r="F53" s="1" t="s">
        <v>6</v>
      </c>
      <c r="G53" s="1"/>
      <c r="H53" s="4" t="s">
        <v>7</v>
      </c>
      <c r="I53" s="1"/>
    </row>
    <row r="54">
      <c r="A54" s="4" t="s">
        <v>11</v>
      </c>
      <c r="B54" s="5">
        <f>IFERROR(__xludf.DUMMYFUNCTION("FILTER(SemEval_2025_T2!$C$3:$C$100, 
  REGEXMATCH(SemEval_2025_T2!$A$3:$A$100, ""(?i)"" &amp; $B$19 &amp;""_"" &amp; $A54)
)"),0.3806)</f>
        <v>0.3806</v>
      </c>
      <c r="C54" s="5">
        <f>IFERROR(__xludf.DUMMYFUNCTION("FILTER(SemEval_2025_T2!$D$3:$D$100, 
  REGEXMATCH(SemEval_2025_T2!$A$3:$A$100, ""(?i)"" &amp; $B$19 &amp;""_"" &amp; $A54)
)"),0.2112)</f>
        <v>0.2112</v>
      </c>
      <c r="D54" s="5">
        <f>IFERROR(__xludf.DUMMYFUNCTION("FILTER(SemEval_2025_T2!$C$3:$C$100, 
  REGEXMATCH(SemEval_2025_T2!$A$3:$A$100, ""(?i)"" &amp; $D$19 &amp;""_"" &amp; $A54)
)"),0.291599999999999)</f>
        <v>0.2916</v>
      </c>
      <c r="E54" s="5">
        <f>IFERROR(__xludf.DUMMYFUNCTION("FILTER(SemEval_2025_T2!$D$3:$D$100, 
  REGEXMATCH(SemEval_2025_T2!$A$3:$A$100, ""(?i)"" &amp; $D$19 &amp;""_"" &amp; $A54)
)"),0.2844)</f>
        <v>0.2844</v>
      </c>
      <c r="F54" s="5">
        <f>IFERROR(__xludf.DUMMYFUNCTION("FILTER(SemEval_2025_T2!$C$3:$C$100, 
  REGEXMATCH(SemEval_2025_T2!$A$3:$A$100, ""(?i)"" &amp; $F$19 &amp;""_"" &amp; $A54)
)"),0.2748)</f>
        <v>0.2748</v>
      </c>
      <c r="G54" s="5">
        <f>IFERROR(__xludf.DUMMYFUNCTION("FILTER(SemEval_2025_T2!$D$3:$D$100, 
  REGEXMATCH(SemEval_2025_T2!$A$3:$A$100, ""(?i)"" &amp; $F$19 &amp;""_"" &amp; $A54)
)"),0.187199999999999)</f>
        <v>0.1872</v>
      </c>
      <c r="H54" s="5">
        <f>IFERROR(__xludf.DUMMYFUNCTION("FILTER(SemEval_2025_T2!$C$3:$C$100, 
  REGEXMATCH(SemEval_2025_T2!$A$3:$A$100, ""(?i)"" &amp; $H$19 &amp;""_"" &amp; $A54)
)"),0.1846)</f>
        <v>0.1846</v>
      </c>
      <c r="I54" s="5">
        <f>IFERROR(__xludf.DUMMYFUNCTION("FILTER(SemEval_2025_T2!$D$3:$D$100, 
  REGEXMATCH(SemEval_2025_T2!$A$3:$A$100, ""(?i)"" &amp; $H$19 &amp;""_"" &amp; $A54)
)"),0.1186)</f>
        <v>0.1186</v>
      </c>
    </row>
    <row r="55">
      <c r="A55" s="4" t="s">
        <v>30</v>
      </c>
      <c r="B55" s="5">
        <f>IFERROR(__xludf.DUMMYFUNCTION("FILTER(SemEval_2025_T2!$C$3:$C$100, 
  REGEXMATCH(SemEval_2025_T2!$A$3:$A$100, ""(?i)"" &amp; $B$19 &amp;""_"" &amp; $A55)
)"),0.3578)</f>
        <v>0.3578</v>
      </c>
      <c r="C55" s="5">
        <f>IFERROR(__xludf.DUMMYFUNCTION("FILTER(SemEval_2025_T2!$D$3:$D$100, 
  REGEXMATCH(SemEval_2025_T2!$A$3:$A$100, ""(?i)"" &amp; $B$19 &amp;""_"" &amp; $A55)
)"),0.188)</f>
        <v>0.188</v>
      </c>
      <c r="D55" s="5">
        <f>IFERROR(__xludf.DUMMYFUNCTION("FILTER(SemEval_2025_T2!$C$3:$C$100, 
  REGEXMATCH(SemEval_2025_T2!$A$3:$A$100, ""(?i)"" &amp; $D$19 &amp;""_"" &amp; $A55)
)"),0.2704)</f>
        <v>0.2704</v>
      </c>
      <c r="E55" s="5">
        <f>IFERROR(__xludf.DUMMYFUNCTION("FILTER(SemEval_2025_T2!$D$3:$D$100, 
  REGEXMATCH(SemEval_2025_T2!$A$3:$A$100, ""(?i)"" &amp; $D$19 &amp;""_"" &amp; $A55)
)"),0.2434)</f>
        <v>0.2434</v>
      </c>
      <c r="F55" s="5">
        <f>IFERROR(__xludf.DUMMYFUNCTION("FILTER(SemEval_2025_T2!$C$3:$C$100, 
  REGEXMATCH(SemEval_2025_T2!$A$3:$A$100, ""(?i)"" &amp; $F$19 &amp;""_"" &amp; $A55)
)"),0.1898)</f>
        <v>0.1898</v>
      </c>
      <c r="G55" s="5">
        <f>IFERROR(__xludf.DUMMYFUNCTION("FILTER(SemEval_2025_T2!$D$3:$D$100, 
  REGEXMATCH(SemEval_2025_T2!$A$3:$A$100, ""(?i)"" &amp; $F$19 &amp;""_"" &amp; $A55)
)"),0.1254)</f>
        <v>0.1254</v>
      </c>
      <c r="H55" s="5">
        <f>IFERROR(__xludf.DUMMYFUNCTION("FILTER(SemEval_2025_T2!$C$3:$C$100, 
  REGEXMATCH(SemEval_2025_T2!$A$3:$A$100, ""(?i)"" &amp; $H$19 &amp;""_"" &amp; $A55)
)"),0.1968)</f>
        <v>0.1968</v>
      </c>
      <c r="I55" s="5">
        <f>IFERROR(__xludf.DUMMYFUNCTION("FILTER(SemEval_2025_T2!$D$3:$D$100, 
  REGEXMATCH(SemEval_2025_T2!$A$3:$A$100, ""(?i)"" &amp; $H$19 &amp;""_"" &amp; $A55)
)"),0.161199999999999)</f>
        <v>0.1612</v>
      </c>
    </row>
    <row r="56">
      <c r="A56" s="12" t="s">
        <v>17</v>
      </c>
      <c r="B56" s="5">
        <f t="shared" ref="B56:I56" si="34">B54-B55</f>
        <v>0.0228</v>
      </c>
      <c r="C56" s="5">
        <f t="shared" si="34"/>
        <v>0.0232</v>
      </c>
      <c r="D56" s="5">
        <f t="shared" si="34"/>
        <v>0.0212</v>
      </c>
      <c r="E56" s="5">
        <f t="shared" si="34"/>
        <v>0.041</v>
      </c>
      <c r="F56" s="5">
        <f t="shared" si="34"/>
        <v>0.085</v>
      </c>
      <c r="G56" s="5">
        <f t="shared" si="34"/>
        <v>0.0618</v>
      </c>
      <c r="H56" s="5">
        <f t="shared" si="34"/>
        <v>-0.0122</v>
      </c>
      <c r="I56" s="5">
        <f t="shared" si="34"/>
        <v>-0.0426</v>
      </c>
      <c r="J56" s="14">
        <f t="shared" ref="J56:K56" si="35">AVERAGE(B56,D56,F56,H56)</f>
        <v>0.0292</v>
      </c>
      <c r="K56" s="14">
        <f t="shared" si="35"/>
        <v>0.02085</v>
      </c>
      <c r="L56" s="14">
        <f>AVERAGE(J56,K56)</f>
        <v>0.025025</v>
      </c>
    </row>
    <row r="57">
      <c r="A57" s="4" t="s">
        <v>31</v>
      </c>
      <c r="B57" s="5">
        <f>IFERROR(__xludf.DUMMYFUNCTION("FILTER(SemEval_2025_T2!$C$3:$C$100, 
  REGEXMATCH(SemEval_2025_T2!$A$3:$A$100, ""(?i)"" &amp; $B$19 &amp;""_"" &amp; $A57)
)"),0.3814)</f>
        <v>0.3814</v>
      </c>
      <c r="C57" s="5">
        <f>IFERROR(__xludf.DUMMYFUNCTION("FILTER(SemEval_2025_T2!$D$3:$D$100, 
  REGEXMATCH(SemEval_2025_T2!$A$3:$A$100, ""(?i)"" &amp; $B$19 &amp;""_"" &amp; $A57)
)"),0.2058)</f>
        <v>0.2058</v>
      </c>
      <c r="D57" s="5">
        <f>IFERROR(__xludf.DUMMYFUNCTION("FILTER(SemEval_2025_T2!$C$3:$C$100, 
  REGEXMATCH(SemEval_2025_T2!$A$3:$A$100, ""(?i)"" &amp; $D$19 &amp;""_"" &amp; $A57)
)"),0.2782)</f>
        <v>0.2782</v>
      </c>
      <c r="E57" s="5">
        <f>IFERROR(__xludf.DUMMYFUNCTION("FILTER(SemEval_2025_T2!$D$3:$D$100, 
  REGEXMATCH(SemEval_2025_T2!$A$3:$A$100, ""(?i)"" &amp; $D$19 &amp;""_"" &amp; $A57)
)"),0.2544)</f>
        <v>0.2544</v>
      </c>
      <c r="F57" s="5">
        <f>IFERROR(__xludf.DUMMYFUNCTION("FILTER(SemEval_2025_T2!$C$3:$C$100, 
  REGEXMATCH(SemEval_2025_T2!$A$3:$A$100, ""(?i)"" &amp; $F$19 &amp;""_"" &amp; $A57)
)"),0.1596)</f>
        <v>0.1596</v>
      </c>
      <c r="G57" s="5">
        <f>IFERROR(__xludf.DUMMYFUNCTION("FILTER(SemEval_2025_T2!$D$3:$D$100, 
  REGEXMATCH(SemEval_2025_T2!$A$3:$A$100, ""(?i)"" &amp; $F$19 &amp;""_"" &amp; $A57)
)"),0.0998)</f>
        <v>0.0998</v>
      </c>
      <c r="H57" s="5">
        <f>IFERROR(__xludf.DUMMYFUNCTION("FILTER(SemEval_2025_T2!$C$3:$C$100, 
  REGEXMATCH(SemEval_2025_T2!$A$3:$A$100, ""(?i)"" &amp; $H$19 &amp;""_"" &amp; $A57)
)"),0.1936)</f>
        <v>0.1936</v>
      </c>
      <c r="I57" s="5">
        <f>IFERROR(__xludf.DUMMYFUNCTION("FILTER(SemEval_2025_T2!$D$3:$D$100, 
  REGEXMATCH(SemEval_2025_T2!$A$3:$A$100, ""(?i)"" &amp; $H$19 &amp;""_"" &amp; $A57)
)"),0.1488)</f>
        <v>0.1488</v>
      </c>
      <c r="J57" s="19"/>
      <c r="K57" s="19"/>
      <c r="L57" s="19"/>
    </row>
    <row r="58">
      <c r="A58" s="12" t="s">
        <v>19</v>
      </c>
      <c r="B58" s="5">
        <f t="shared" ref="B58:I58" si="36">B54-B57</f>
        <v>-0.0008</v>
      </c>
      <c r="C58" s="5">
        <f t="shared" si="36"/>
        <v>0.0054</v>
      </c>
      <c r="D58" s="5">
        <f t="shared" si="36"/>
        <v>0.0134</v>
      </c>
      <c r="E58" s="5">
        <f t="shared" si="36"/>
        <v>0.03</v>
      </c>
      <c r="F58" s="5">
        <f t="shared" si="36"/>
        <v>0.1152</v>
      </c>
      <c r="G58" s="5">
        <f t="shared" si="36"/>
        <v>0.0874</v>
      </c>
      <c r="H58" s="5">
        <f t="shared" si="36"/>
        <v>-0.009</v>
      </c>
      <c r="I58" s="5">
        <f t="shared" si="36"/>
        <v>-0.0302</v>
      </c>
      <c r="J58" s="14">
        <f t="shared" ref="J58:K58" si="37">AVERAGE(B58,D58,F58,H58)</f>
        <v>0.0297</v>
      </c>
      <c r="K58" s="14">
        <f t="shared" si="37"/>
        <v>0.02315</v>
      </c>
      <c r="L58" s="14">
        <f>AVERAGE(J58,K58)</f>
        <v>0.026425</v>
      </c>
    </row>
    <row r="59">
      <c r="A59" s="4" t="s">
        <v>32</v>
      </c>
      <c r="B59" s="5"/>
      <c r="C59" s="5"/>
      <c r="D59" s="5">
        <f>IFERROR(__xludf.DUMMYFUNCTION("FILTER(SemEval_2025_T2!$C$3:$C$100, 
  REGEXMATCH(SemEval_2025_T2!$A$3:$A$100, ""(?i)"" &amp; $D$19 &amp;""_"" &amp; $A59), NOT(REGEXMATCH(SemEval_2025_T2!$A$3:$A$100, ""(?i)complete""))
)"),0.2542)</f>
        <v>0.2542</v>
      </c>
      <c r="E59" s="5">
        <f>IFERROR(__xludf.DUMMYFUNCTION("FILTER(SemEval_2025_T2!$D$3:$D$100, 
  REGEXMATCH(SemEval_2025_T2!$A$3:$A$100, ""(?i)"" &amp; $D$19 &amp;""_"" &amp; $A59), NOT(REGEXMATCH(SemEval_2025_T2!$A$3:$A$100, ""(?i)complete""))
)"),0.242)</f>
        <v>0.242</v>
      </c>
      <c r="F59" s="5">
        <f>IFERROR(__xludf.DUMMYFUNCTION("FILTER(SemEval_2025_T2!$C$3:$C$100, 
  REGEXMATCH(SemEval_2025_T2!$A$3:$A$100, ""(?i)"" &amp; $F$19 &amp;""_"" &amp; $A59), NOT(REGEXMATCH(SemEval_2025_T2!$A$3:$A$100, ""(?i)complete""))
)"),0.1898)</f>
        <v>0.1898</v>
      </c>
      <c r="G59" s="5">
        <f>IFERROR(__xludf.DUMMYFUNCTION("FILTER(SemEval_2025_T2!$D$3:$D$100, 
  REGEXMATCH(SemEval_2025_T2!$A$3:$A$100, ""(?i)"" &amp; $F$19 &amp;""_"" &amp; $A59), NOT(REGEXMATCH(SemEval_2025_T2!$A$3:$A$100, ""(?i)complete""))
)"),0.118799999999999)</f>
        <v>0.1188</v>
      </c>
      <c r="H59" s="5">
        <f>IFERROR(__xludf.DUMMYFUNCTION("FILTER(SemEval_2025_T2!$C$3:$C$100, 
  REGEXMATCH(SemEval_2025_T2!$A$3:$A$100, ""(?i)"" &amp; $H$19 &amp;""_"" &amp; $A59), NOT(REGEXMATCH(SemEval_2025_T2!$A$3:$A$100, ""(?i)complete""))
)"),0.1724)</f>
        <v>0.1724</v>
      </c>
      <c r="I59" s="5">
        <f>IFERROR(__xludf.DUMMYFUNCTION("FILTER(SemEval_2025_T2!$D$3:$D$100, 
  REGEXMATCH(SemEval_2025_T2!$A$3:$A$100, ""(?i)"" &amp; $H$19 &amp;""_"" &amp; $A59), NOT(REGEXMATCH(SemEval_2025_T2!$A$3:$A$100, ""(?i)complete""))
)"),0.1396)</f>
        <v>0.1396</v>
      </c>
      <c r="J59" s="19"/>
      <c r="K59" s="19"/>
      <c r="L59" s="19"/>
    </row>
    <row r="60">
      <c r="A60" s="12" t="s">
        <v>21</v>
      </c>
      <c r="B60" s="5"/>
      <c r="C60" s="5"/>
      <c r="D60" s="5">
        <f t="shared" ref="D60:I60" si="38">D54-D59</f>
        <v>0.0374</v>
      </c>
      <c r="E60" s="5">
        <f t="shared" si="38"/>
        <v>0.0424</v>
      </c>
      <c r="F60" s="5">
        <f t="shared" si="38"/>
        <v>0.085</v>
      </c>
      <c r="G60" s="5">
        <f t="shared" si="38"/>
        <v>0.0684</v>
      </c>
      <c r="H60" s="5">
        <f t="shared" si="38"/>
        <v>0.0122</v>
      </c>
      <c r="I60" s="5">
        <f t="shared" si="38"/>
        <v>-0.021</v>
      </c>
      <c r="J60" s="14">
        <f t="shared" ref="J60:K60" si="39">AVERAGE(B60,D60,F60,H60)</f>
        <v>0.04486666667</v>
      </c>
      <c r="K60" s="14">
        <f t="shared" si="39"/>
        <v>0.02993333333</v>
      </c>
      <c r="L60" s="14">
        <f>AVERAGE(J60,K60)</f>
        <v>0.0374</v>
      </c>
    </row>
    <row r="61">
      <c r="A61" s="4" t="s">
        <v>33</v>
      </c>
      <c r="B61" s="5">
        <f>IFERROR(__xludf.DUMMYFUNCTION("FILTER(SemEval_2025_T2!$C$3:$C$100, 
  REGEXMATCH(SemEval_2025_T2!$A$3:$A$100, ""(?i)"" &amp; $B$19 &amp;""_"" &amp; $A61), NOT(REGEXMATCH(SemEval_2025_T2!$A$3:$A$100, ""(?i)complete""))
)"),0.372)</f>
        <v>0.372</v>
      </c>
      <c r="C61" s="5">
        <f>IFERROR(__xludf.DUMMYFUNCTION("FILTER(SemEval_2025_T2!$D$3:$D$100, 
  REGEXMATCH(SemEval_2025_T2!$A$3:$A$100, ""(?i)"" &amp; $B$19 &amp;""_"" &amp; $A61), NOT(REGEXMATCH(SemEval_2025_T2!$A$3:$A$100, ""(?i)complete""))
)"),0.2172)</f>
        <v>0.2172</v>
      </c>
      <c r="D61" s="5">
        <f>IFERROR(__xludf.DUMMYFUNCTION("FILTER(SemEval_2025_T2!$C$3:$C$100, 
  REGEXMATCH(SemEval_2025_T2!$A$3:$A$100, ""(?i)"" &amp; $D$19 &amp;""_"" &amp; $A61), NOT(REGEXMATCH(SemEval_2025_T2!$A$3:$A$100, ""(?i)complete""))
)"),0.2652)</f>
        <v>0.2652</v>
      </c>
      <c r="E61" s="5">
        <f>IFERROR(__xludf.DUMMYFUNCTION("FILTER(SemEval_2025_T2!$D$3:$D$100, 
  REGEXMATCH(SemEval_2025_T2!$A$3:$A$100, ""(?i)"" &amp; $D$19 &amp;""_"" &amp; $A61), NOT(REGEXMATCH(SemEval_2025_T2!$A$3:$A$100, ""(?i)complete""))
)"),0.2544)</f>
        <v>0.2544</v>
      </c>
      <c r="F61" s="5">
        <f>IFERROR(__xludf.DUMMYFUNCTION("FILTER(SemEval_2025_T2!$C$3:$C$100, 
  REGEXMATCH(SemEval_2025_T2!$A$3:$A$100, ""(?i)"" &amp; $F$19 &amp;""_"" &amp; $A61), NOT(REGEXMATCH(SemEval_2025_T2!$A$3:$A$100, ""(?i)complete""))
)"),0.1788)</f>
        <v>0.1788</v>
      </c>
      <c r="G61" s="5">
        <f>IFERROR(__xludf.DUMMYFUNCTION("FILTER(SemEval_2025_T2!$D$3:$D$100, 
  REGEXMATCH(SemEval_2025_T2!$A$3:$A$100, ""(?i)"" &amp; $F$19 &amp;""_"" &amp; $A61), NOT(REGEXMATCH(SemEval_2025_T2!$A$3:$A$100, ""(?i)complete""))
)"),0.0958)</f>
        <v>0.0958</v>
      </c>
      <c r="H61" s="5">
        <f>IFERROR(__xludf.DUMMYFUNCTION("FILTER(SemEval_2025_T2!$C$3:$C$100, 
  REGEXMATCH(SemEval_2025_T2!$A$3:$A$100, ""(?i)"" &amp; $H$19 &amp;""_"" &amp; $A61), NOT(REGEXMATCH(SemEval_2025_T2!$A$3:$A$100, ""(?i)complete""))
)"),0.1888)</f>
        <v>0.1888</v>
      </c>
      <c r="I61" s="5">
        <f>IFERROR(__xludf.DUMMYFUNCTION("FILTER(SemEval_2025_T2!$D$3:$D$100, 
  REGEXMATCH(SemEval_2025_T2!$A$3:$A$100, ""(?i)"" &amp; $H$19 &amp;""_"" &amp; $A61), NOT(REGEXMATCH(SemEval_2025_T2!$A$3:$A$100, ""(?i)complete""))
)"),0.1394)</f>
        <v>0.1394</v>
      </c>
      <c r="J61" s="19"/>
      <c r="K61" s="19"/>
      <c r="L61" s="19"/>
    </row>
    <row r="62">
      <c r="A62" s="12" t="s">
        <v>24</v>
      </c>
      <c r="B62" s="5">
        <f t="shared" ref="B62:I62" si="40">B54-B61</f>
        <v>0.0086</v>
      </c>
      <c r="C62" s="5">
        <f t="shared" si="40"/>
        <v>-0.006</v>
      </c>
      <c r="D62" s="5">
        <f t="shared" si="40"/>
        <v>0.0264</v>
      </c>
      <c r="E62" s="5">
        <f t="shared" si="40"/>
        <v>0.03</v>
      </c>
      <c r="F62" s="5">
        <f t="shared" si="40"/>
        <v>0.096</v>
      </c>
      <c r="G62" s="5">
        <f t="shared" si="40"/>
        <v>0.0914</v>
      </c>
      <c r="H62" s="5">
        <f t="shared" si="40"/>
        <v>-0.0042</v>
      </c>
      <c r="I62" s="5">
        <f t="shared" si="40"/>
        <v>-0.0208</v>
      </c>
      <c r="J62" s="14">
        <f t="shared" ref="J62:K62" si="41">AVERAGE(B62,D62,F62,H62)</f>
        <v>0.0317</v>
      </c>
      <c r="K62" s="14">
        <f t="shared" si="41"/>
        <v>0.02365</v>
      </c>
      <c r="L62" s="14">
        <f>AVERAGE(J62,K62)</f>
        <v>0.027675</v>
      </c>
    </row>
    <row r="63">
      <c r="A63" s="4" t="s">
        <v>34</v>
      </c>
      <c r="B63" s="5"/>
      <c r="C63" s="5"/>
      <c r="D63" s="5"/>
      <c r="E63" s="5"/>
      <c r="F63" s="5"/>
      <c r="G63" s="5"/>
      <c r="H63" s="5">
        <f>IFERROR(__xludf.DUMMYFUNCTION("FILTER(SemEval_2025_T2!$C$3:$C$100, 
  REGEXMATCH(SemEval_2025_T2!$A$3:$A$100, ""(?i)"" &amp; $H$19 &amp;""_"" &amp; $A63)
)"),0.1444)</f>
        <v>0.1444</v>
      </c>
      <c r="I63" s="5">
        <f>IFERROR(__xludf.DUMMYFUNCTION("FILTER(SemEval_2025_T2!$D$3:$D$100, 
  REGEXMATCH(SemEval_2025_T2!$A$3:$A$100, ""(?i)"" &amp; $H$19 &amp;""_"" &amp; $A63)
)"),0.1102)</f>
        <v>0.1102</v>
      </c>
      <c r="J63" s="19"/>
      <c r="K63" s="19"/>
      <c r="L63" s="19"/>
    </row>
    <row r="64">
      <c r="A64" s="12" t="s">
        <v>26</v>
      </c>
      <c r="B64" s="5"/>
      <c r="C64" s="5"/>
      <c r="D64" s="5"/>
      <c r="E64" s="5"/>
      <c r="F64" s="5"/>
      <c r="G64" s="5"/>
      <c r="H64" s="5">
        <f t="shared" ref="H64:I64" si="42">H54-H63</f>
        <v>0.0402</v>
      </c>
      <c r="I64" s="5">
        <f t="shared" si="42"/>
        <v>0.0084</v>
      </c>
      <c r="J64" s="14">
        <f t="shared" ref="J64:K64" si="43">AVERAGE(B64,D64,F64,H64)</f>
        <v>0.0402</v>
      </c>
      <c r="K64" s="14">
        <f t="shared" si="43"/>
        <v>0.0084</v>
      </c>
      <c r="L64" s="14">
        <f>AVERAGE(J64,K64)</f>
        <v>0.0243</v>
      </c>
    </row>
    <row r="65">
      <c r="A65" s="4" t="s">
        <v>35</v>
      </c>
      <c r="B65" s="5"/>
      <c r="C65" s="5"/>
      <c r="D65" s="5"/>
      <c r="E65" s="5"/>
      <c r="F65" s="5"/>
      <c r="G65" s="5"/>
      <c r="H65" s="5">
        <f>IFERROR(__xludf.DUMMYFUNCTION("FILTER(SemEval_2025_T2!$C$3:$C$100, 
  REGEXMATCH(SemEval_2025_T2!$A$3:$A$100, ""(?i)"" &amp; $H$19 &amp;""_"" &amp; $A65)
)"),0.2008)</f>
        <v>0.2008</v>
      </c>
      <c r="I65" s="5">
        <f>IFERROR(__xludf.DUMMYFUNCTION("FILTER(SemEval_2025_T2!$D$3:$D$100, 
  REGEXMATCH(SemEval_2025_T2!$A$3:$A$100, ""(?i)"" &amp; $H$19 &amp;""_"" &amp; $A65)
)"),0.1686)</f>
        <v>0.1686</v>
      </c>
      <c r="J65" s="19"/>
      <c r="K65" s="19"/>
      <c r="L65" s="19"/>
    </row>
    <row r="66">
      <c r="A66" s="12" t="s">
        <v>28</v>
      </c>
      <c r="B66" s="5"/>
      <c r="C66" s="5"/>
      <c r="D66" s="5"/>
      <c r="E66" s="5"/>
      <c r="F66" s="5"/>
      <c r="G66" s="5"/>
      <c r="H66" s="5">
        <f t="shared" ref="H66:I66" si="44">H54-H65</f>
        <v>-0.0162</v>
      </c>
      <c r="I66" s="5">
        <f t="shared" si="44"/>
        <v>-0.05</v>
      </c>
      <c r="J66" s="14">
        <f t="shared" ref="J66:K66" si="45">AVERAGE(B66,D66,F66,H66)</f>
        <v>-0.0162</v>
      </c>
      <c r="K66" s="14">
        <f t="shared" si="45"/>
        <v>-0.05</v>
      </c>
      <c r="L66" s="14">
        <f>AVERAGE(J66,K66)</f>
        <v>-0.0331</v>
      </c>
    </row>
    <row r="67">
      <c r="B67" s="14">
        <f t="shared" ref="B67:I67" si="46">AVERAGE(B56,B58,B60,B62, B64, B66)</f>
        <v>0.0102</v>
      </c>
      <c r="C67" s="14">
        <f t="shared" si="46"/>
        <v>0.007533333333</v>
      </c>
      <c r="D67" s="14">
        <f t="shared" si="46"/>
        <v>0.0246</v>
      </c>
      <c r="E67" s="14">
        <f t="shared" si="46"/>
        <v>0.03585</v>
      </c>
      <c r="F67" s="14">
        <f t="shared" si="46"/>
        <v>0.0953</v>
      </c>
      <c r="G67" s="14">
        <f t="shared" si="46"/>
        <v>0.07725</v>
      </c>
      <c r="H67" s="14">
        <f t="shared" si="46"/>
        <v>0.0018</v>
      </c>
      <c r="I67" s="14">
        <f t="shared" si="46"/>
        <v>-0.02603333333</v>
      </c>
    </row>
    <row r="68">
      <c r="B68" s="14">
        <f>AVERAGE(B67:C67)</f>
        <v>0.008866666667</v>
      </c>
      <c r="C68" s="19"/>
      <c r="D68" s="14">
        <f>AVERAGE(D67:E67)</f>
        <v>0.030225</v>
      </c>
      <c r="E68" s="19"/>
      <c r="F68" s="14">
        <f>AVERAGE(F67:G67)</f>
        <v>0.086275</v>
      </c>
      <c r="G68" s="19"/>
      <c r="H68" s="14">
        <f>AVERAGE(H67:I67)</f>
        <v>-0.01211666667</v>
      </c>
      <c r="I68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1" t="s">
        <v>0</v>
      </c>
      <c r="B1" s="2" t="s">
        <v>1</v>
      </c>
      <c r="M1" s="22"/>
    </row>
    <row r="2">
      <c r="A2" s="1" t="s">
        <v>3</v>
      </c>
      <c r="B2" s="4" t="s">
        <v>4</v>
      </c>
      <c r="D2" s="1" t="s">
        <v>5</v>
      </c>
      <c r="E2" s="5"/>
      <c r="F2" s="1" t="s">
        <v>6</v>
      </c>
      <c r="G2" s="5"/>
      <c r="H2" s="4" t="s">
        <v>7</v>
      </c>
      <c r="I2" s="5"/>
      <c r="L2" s="4"/>
    </row>
    <row r="3">
      <c r="A3" s="4" t="s">
        <v>9</v>
      </c>
      <c r="B3" s="5">
        <f>IFERROR(__xludf.DUMMYFUNCTION("FILTER(Dipromats!C$3:C$101, 
  REGEXMATCH(Dipromats!$A$3:$A$101, ""(?i)"" &amp; $A3)
)"),0.634504615288617)</f>
        <v>0.6345046153</v>
      </c>
      <c r="C3" s="5">
        <f>IFERROR(__xludf.DUMMYFUNCTION("FILTER(Dipromats!D$3:D$101, 
  REGEXMATCH(Dipromats!$A$3:$A$101, ""(?i)"" &amp; $A3)
)"),0.583394320061881)</f>
        <v>0.5833943201</v>
      </c>
      <c r="D3" s="5">
        <f>IFERROR(__xludf.DUMMYFUNCTION("FILTER(Dipromats!E$3:E$101, 
  REGEXMATCH(Dipromats!$A$3:$A$101, ""(?i)"" &amp; $A3)
)"),0.612546907727468)</f>
        <v>0.6125469077</v>
      </c>
      <c r="E3" s="5">
        <f>IFERROR(__xludf.DUMMYFUNCTION("FILTER(Dipromats!F$3:F$101, 
  REGEXMATCH(Dipromats!$A$3:$A$101, ""(?i)"" &amp; $A3)
)"),0.564694414756619)</f>
        <v>0.5646944148</v>
      </c>
      <c r="F3" s="5">
        <f>IFERROR(__xludf.DUMMYFUNCTION("FILTER(Dipromats!G$3:G$101, 
  REGEXMATCH(Dipromats!$A$3:$A$101, ""(?i)"" &amp; $A3)
)"),0.551936514723647)</f>
        <v>0.5519365147</v>
      </c>
      <c r="G3" s="5">
        <f>IFERROR(__xludf.DUMMYFUNCTION("FILTER(Dipromats!H$3:H$101, 
  REGEXMATCH(Dipromats!$A$3:$A$101, ""(?i)"" &amp; $A3)
)"),0.498994997427713)</f>
        <v>0.4989949974</v>
      </c>
      <c r="H3" s="5">
        <f>IFERROR(__xludf.DUMMYFUNCTION("FILTER(Dipromats!I$3:I$101, 
  REGEXMATCH(Dipromats!$A$3:$A$101, ""(?i)"" &amp; $A3)
)"),0.333605146281453)</f>
        <v>0.3336051463</v>
      </c>
      <c r="I3" s="5">
        <f>IFERROR(__xludf.DUMMYFUNCTION("FILTER(Dipromats!J$3:J$101, 
  REGEXMATCH(Dipromats!$A$3:$A$101, ""(?i)"" &amp; $A3)
)"),0.367508834746624)</f>
        <v>0.3675088347</v>
      </c>
      <c r="L3" s="4"/>
    </row>
    <row r="4">
      <c r="A4" s="4" t="s">
        <v>11</v>
      </c>
      <c r="B4" s="5">
        <f>IFERROR(__xludf.DUMMYFUNCTION("FILTER(Dipromats!C$3:C$101, 
  REGEXMATCH(Dipromats!$A$3:$A$101, ""(?i)"" &amp; $A4)
)"),0.638654812715595)</f>
        <v>0.6386548127</v>
      </c>
      <c r="C4" s="5">
        <f>IFERROR(__xludf.DUMMYFUNCTION("FILTER(Dipromats!D$3:D$101, 
  REGEXMATCH(Dipromats!$A$3:$A$101, ""(?i)"" &amp; $A4)
)"),0.613462791622532)</f>
        <v>0.6134627916</v>
      </c>
      <c r="D4" s="5">
        <f>IFERROR(__xludf.DUMMYFUNCTION("FILTER(Dipromats!E$3:E$101, 
  REGEXMATCH(Dipromats!$A$3:$A$101, ""(?i)"" &amp; $A4)
)"),0.624175131263906)</f>
        <v>0.6241751313</v>
      </c>
      <c r="E4" s="5">
        <f>IFERROR(__xludf.DUMMYFUNCTION("FILTER(Dipromats!F$3:F$101, 
  REGEXMATCH(Dipromats!$A$3:$A$101, ""(?i)"" &amp; $A4)
)"),0.593223331315557)</f>
        <v>0.5932233313</v>
      </c>
      <c r="F4" s="5">
        <f>IFERROR(__xludf.DUMMYFUNCTION("FILTER(Dipromats!G$3:G$101, 
  REGEXMATCH(Dipromats!$A$3:$A$101, ""(?i)"" &amp; $A4)
)"),0.572478446675392)</f>
        <v>0.5724784467</v>
      </c>
      <c r="G4" s="5">
        <f>IFERROR(__xludf.DUMMYFUNCTION("FILTER(Dipromats!H$3:H$101, 
  REGEXMATCH(Dipromats!$A$3:$A$101, ""(?i)"" &amp; $A4)
)"),0.534765902917699)</f>
        <v>0.5347659029</v>
      </c>
      <c r="H4" s="5">
        <f>IFERROR(__xludf.DUMMYFUNCTION("FILTER(Dipromats!I$3:I$101, 
  REGEXMATCH(Dipromats!$A$3:$A$101, ""(?i)"" &amp; $A4)
)"),0.335225441305954)</f>
        <v>0.3352254413</v>
      </c>
      <c r="I4" s="5">
        <f>IFERROR(__xludf.DUMMYFUNCTION("FILTER(Dipromats!J$3:J$101, 
  REGEXMATCH(Dipromats!$A$3:$A$101, ""(?i)"" &amp; $A4)
)"),0.352567599779278)</f>
        <v>0.3525675998</v>
      </c>
      <c r="L4" s="4"/>
      <c r="N4" s="23" t="s">
        <v>42</v>
      </c>
      <c r="O4" s="23" t="s">
        <v>43</v>
      </c>
    </row>
    <row r="5">
      <c r="A5" s="12" t="s">
        <v>13</v>
      </c>
      <c r="B5" s="13">
        <f t="shared" ref="B5:I5" si="1">B3-B4</f>
        <v>-0.004150197427</v>
      </c>
      <c r="C5" s="13">
        <f t="shared" si="1"/>
        <v>-0.03006847156</v>
      </c>
      <c r="D5" s="13">
        <f t="shared" si="1"/>
        <v>-0.01162822354</v>
      </c>
      <c r="E5" s="13">
        <f t="shared" si="1"/>
        <v>-0.02852891656</v>
      </c>
      <c r="F5" s="13">
        <f t="shared" si="1"/>
        <v>-0.02054193195</v>
      </c>
      <c r="G5" s="13">
        <f t="shared" si="1"/>
        <v>-0.03577090549</v>
      </c>
      <c r="H5" s="13">
        <f t="shared" si="1"/>
        <v>-0.001620295025</v>
      </c>
      <c r="I5" s="13">
        <f t="shared" si="1"/>
        <v>0.01494123497</v>
      </c>
      <c r="J5" s="14">
        <f>AVERAGE(B5:I5)</f>
        <v>-0.01467096332</v>
      </c>
      <c r="K5" s="15"/>
      <c r="L5" s="4"/>
      <c r="M5" s="24" t="s">
        <v>17</v>
      </c>
      <c r="N5" s="5">
        <f>AVERAGE($B$7:$I$7,$B$26:$I$26,$B$45:$I$45,$B$64:$I$64)</f>
        <v>0.02852356451</v>
      </c>
      <c r="O5" s="21">
        <f>STDEV($B$7:$I$7,$B$26:$I$26,$B$45:$I$45,$B$64:$I$64)</f>
        <v>0.03758025364</v>
      </c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4" t="s">
        <v>15</v>
      </c>
      <c r="B6" s="5">
        <f>IFERROR(__xludf.DUMMYFUNCTION("FILTER(Dipromats!C$3:C$101, 
  REGEXMATCH(Dipromats!$A$3:$A$101, ""(?i)"" &amp; $A6)
)"),0.621040280030557)</f>
        <v>0.62104028</v>
      </c>
      <c r="C6" s="5">
        <f>IFERROR(__xludf.DUMMYFUNCTION("FILTER(Dipromats!D$3:D$101, 
  REGEXMATCH(Dipromats!$A$3:$A$101, ""(?i)"" &amp; $A6)
)"),0.571358654012934)</f>
        <v>0.571358654</v>
      </c>
      <c r="D6" s="5">
        <f>IFERROR(__xludf.DUMMYFUNCTION("FILTER(Dipromats!E$3:E$101, 
  REGEXMATCH(Dipromats!$A$3:$A$101, ""(?i)"" &amp; $A6)
)"),0.57620875615112)</f>
        <v>0.5762087562</v>
      </c>
      <c r="E6" s="5">
        <f>IFERROR(__xludf.DUMMYFUNCTION("FILTER(Dipromats!F$3:F$101, 
  REGEXMATCH(Dipromats!$A$3:$A$101, ""(?i)"" &amp; $A6)
)"),0.531274741257453)</f>
        <v>0.5312747413</v>
      </c>
      <c r="F6" s="5">
        <f>IFERROR(__xludf.DUMMYFUNCTION("FILTER(Dipromats!G$3:G$101, 
  REGEXMATCH(Dipromats!$A$3:$A$101, ""(?i)"" &amp; $A6)
)"),0.506150051999198)</f>
        <v>0.506150052</v>
      </c>
      <c r="G6" s="5">
        <f>IFERROR(__xludf.DUMMYFUNCTION("FILTER(Dipromats!H$3:H$101, 
  REGEXMATCH(Dipromats!$A$3:$A$101, ""(?i)"" &amp; $A6)
)"),0.483697863941618)</f>
        <v>0.4836978639</v>
      </c>
      <c r="H6" s="5">
        <f>IFERROR(__xludf.DUMMYFUNCTION("FILTER(Dipromats!I$3:I$101, 
  REGEXMATCH(Dipromats!$A$3:$A$101, ""(?i)"" &amp; $A6)
)"),0.286129356930116)</f>
        <v>0.2861293569</v>
      </c>
      <c r="I6" s="5">
        <f>IFERROR(__xludf.DUMMYFUNCTION("FILTER(Dipromats!J$3:J$101, 
  REGEXMATCH(Dipromats!$A$3:$A$101, ""(?i)"" &amp; $A6)
)"),0.29837198245895)</f>
        <v>0.2983719825</v>
      </c>
      <c r="J6" s="19"/>
      <c r="M6" s="24" t="s">
        <v>19</v>
      </c>
      <c r="N6" s="5">
        <f>AVERAGE($B$9:$I$9,$B$28:$I$28,$B$47:$I$47,$B$66:$I$66)</f>
        <v>0.03278521836</v>
      </c>
      <c r="O6" s="21">
        <f>STDEV($B$9:$I$9,$B$28:$I$28,$B$47:$I$47,$B$66:$I$66)</f>
        <v>0.03761688576</v>
      </c>
    </row>
    <row r="7">
      <c r="A7" s="12" t="s">
        <v>17</v>
      </c>
      <c r="B7" s="13">
        <f t="shared" ref="B7:I7" si="2">B3-B6</f>
        <v>0.01346433526</v>
      </c>
      <c r="C7" s="13">
        <f t="shared" si="2"/>
        <v>0.01203566605</v>
      </c>
      <c r="D7" s="13">
        <f t="shared" si="2"/>
        <v>0.03633815158</v>
      </c>
      <c r="E7" s="13">
        <f t="shared" si="2"/>
        <v>0.0334196735</v>
      </c>
      <c r="F7" s="13">
        <f t="shared" si="2"/>
        <v>0.04578646272</v>
      </c>
      <c r="G7" s="13">
        <f t="shared" si="2"/>
        <v>0.01529713349</v>
      </c>
      <c r="H7" s="13">
        <f t="shared" si="2"/>
        <v>0.04747578935</v>
      </c>
      <c r="I7" s="13">
        <f t="shared" si="2"/>
        <v>0.06913685229</v>
      </c>
      <c r="J7" s="14">
        <f>AVERAGE(B7:I7)</f>
        <v>0.03411925803</v>
      </c>
      <c r="K7" s="15"/>
      <c r="L7" s="4"/>
      <c r="M7" s="25" t="s">
        <v>21</v>
      </c>
      <c r="N7" s="26">
        <f>AVERAGE($B$11:$I$11,$B$30:$I$30,$B$49:$I$49,$B$68:$I$68)</f>
        <v>0.01891082175</v>
      </c>
      <c r="O7" s="3">
        <f>STDEV($B$11:$I$11,$B$30:$I$30,$B$49:$I$49,$B$68:$I$68)</f>
        <v>0.04111264254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4" t="s">
        <v>18</v>
      </c>
      <c r="B8" s="5">
        <f>IFERROR(__xludf.DUMMYFUNCTION("FILTER(Dipromats!C$3:C$101, 
  REGEXMATCH(Dipromats!$A$3:$A$101, ""(?i)"" &amp; $A8)
)"),0.608500522443986)</f>
        <v>0.6085005224</v>
      </c>
      <c r="C8" s="5">
        <f>IFERROR(__xludf.DUMMYFUNCTION("FILTER(Dipromats!D$3:D$101, 
  REGEXMATCH(Dipromats!$A$3:$A$101, ""(?i)"" &amp; $A8)
)"),0.565727300132339)</f>
        <v>0.5657273001</v>
      </c>
      <c r="D8" s="5">
        <f>IFERROR(__xludf.DUMMYFUNCTION("FILTER(Dipromats!E$3:E$101, 
  REGEXMATCH(Dipromats!$A$3:$A$101, ""(?i)"" &amp; $A8)
)"),0.583927636565709)</f>
        <v>0.5839276366</v>
      </c>
      <c r="E8" s="5">
        <f>IFERROR(__xludf.DUMMYFUNCTION("FILTER(Dipromats!F$3:F$101, 
  REGEXMATCH(Dipromats!$A$3:$A$101, ""(?i)"" &amp; $A8)
)"),0.523712547832867)</f>
        <v>0.5237125478</v>
      </c>
      <c r="F8" s="5">
        <f>IFERROR(__xludf.DUMMYFUNCTION("FILTER(Dipromats!G$3:G$101, 
  REGEXMATCH(Dipromats!$A$3:$A$101, ""(?i)"" &amp; $A8)
)"),0.524902705155418)</f>
        <v>0.5249027052</v>
      </c>
      <c r="G8" s="5">
        <f>IFERROR(__xludf.DUMMYFUNCTION("FILTER(Dipromats!H$3:H$101, 
  REGEXMATCH(Dipromats!$A$3:$A$101, ""(?i)"" &amp; $A8)
)"),0.490732657736496)</f>
        <v>0.4907326577</v>
      </c>
      <c r="H8" s="5">
        <f>IFERROR(__xludf.DUMMYFUNCTION("FILTER(Dipromats!I$3:I$101, 
  REGEXMATCH(Dipromats!$A$3:$A$101, ""(?i)"" &amp; $A8)
)"),0.267289569310955)</f>
        <v>0.2672895693</v>
      </c>
      <c r="I8" s="5">
        <f>IFERROR(__xludf.DUMMYFUNCTION("FILTER(Dipromats!J$3:J$101, 
  REGEXMATCH(Dipromats!$A$3:$A$101, ""(?i)"" &amp; $A8)
)"),0.297865824391553)</f>
        <v>0.2978658244</v>
      </c>
      <c r="J8" s="19"/>
      <c r="L8" s="4"/>
      <c r="M8" s="25" t="s">
        <v>24</v>
      </c>
      <c r="N8" s="26">
        <f>AVERAGE($B$13:$I$13,$B$32:$I$32,$B$51:$I$51,$B$70:$I$70)</f>
        <v>0.01865158641</v>
      </c>
      <c r="O8" s="3">
        <f>STDEV($B$13:$I$13,$B$32:$I$32,$B$51:$I$51,$B$70:$I$70)</f>
        <v>0.04247747207</v>
      </c>
    </row>
    <row r="9">
      <c r="A9" s="12" t="s">
        <v>19</v>
      </c>
      <c r="B9" s="13">
        <f t="shared" ref="B9:I9" si="3">B3-B8</f>
        <v>0.02600409284</v>
      </c>
      <c r="C9" s="13">
        <f t="shared" si="3"/>
        <v>0.01766701993</v>
      </c>
      <c r="D9" s="13">
        <f t="shared" si="3"/>
        <v>0.02861927116</v>
      </c>
      <c r="E9" s="13">
        <f t="shared" si="3"/>
        <v>0.04098186692</v>
      </c>
      <c r="F9" s="13">
        <f t="shared" si="3"/>
        <v>0.02703380957</v>
      </c>
      <c r="G9" s="13">
        <f t="shared" si="3"/>
        <v>0.008262339691</v>
      </c>
      <c r="H9" s="13">
        <f t="shared" si="3"/>
        <v>0.06631557697</v>
      </c>
      <c r="I9" s="13">
        <f t="shared" si="3"/>
        <v>0.06964301036</v>
      </c>
      <c r="J9" s="14">
        <f>AVERAGE(B9:I9)</f>
        <v>0.03556587343</v>
      </c>
      <c r="K9" s="15"/>
      <c r="L9" s="4"/>
      <c r="M9" s="24" t="s">
        <v>26</v>
      </c>
      <c r="N9" s="5">
        <f>AVERAGE($B$15:$I$15,$B$34:$I$34,$B$53:$I$53,$B$72:$I$72)</f>
        <v>0.04943220159</v>
      </c>
      <c r="O9" s="21">
        <f>STDEV($B$15:$I$15,$B$34:$I$34,$B$53:$I$53,$B$72:$I$72)</f>
        <v>0.0539991273</v>
      </c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21" t="s">
        <v>20</v>
      </c>
      <c r="B10" s="5">
        <f>IFERROR(__xludf.DUMMYFUNCTION("FILTER(Dipromats!C$3:C$101, 
  REGEXMATCH(Dipromats!$A$3:$A$101, ""(?i)"" &amp; $A10), NOT(REGEXMATCH(Dipromats!$A$3:$A$101, ""(?i)complete""))
)"),0.631787462260468)</f>
        <v>0.6317874623</v>
      </c>
      <c r="C10" s="5">
        <f>IFERROR(__xludf.DUMMYFUNCTION("FILTER(Dipromats!D$3:D$101, 
  REGEXMATCH(Dipromats!$A$3:$A$101, ""(?i)"" &amp; $A10), NOT(REGEXMATCH(Dipromats!$A$3:$A$101, ""(?i)complete""))
)"),0.618216042484733)</f>
        <v>0.6182160425</v>
      </c>
      <c r="D10" s="5">
        <f>IFERROR(__xludf.DUMMYFUNCTION("FILTER(Dipromats!E$3:E$101, 
  REGEXMATCH(Dipromats!$A$3:$A$101, ""(?i)"" &amp; $A10), NOT(REGEXMATCH(Dipromats!$A$3:$A$101, ""(?i)complete""))
)"),0.586439666342686)</f>
        <v>0.5864396663</v>
      </c>
      <c r="E10" s="5">
        <f>IFERROR(__xludf.DUMMYFUNCTION("FILTER(Dipromats!F$3:F$101, 
  REGEXMATCH(Dipromats!$A$3:$A$101, ""(?i)"" &amp; $A10), NOT(REGEXMATCH(Dipromats!$A$3:$A$101, ""(?i)complete""))
)"),0.569895182181278)</f>
        <v>0.5698951822</v>
      </c>
      <c r="F10" s="5">
        <f>IFERROR(__xludf.DUMMYFUNCTION("FILTER(Dipromats!G$3:G$101, 
  REGEXMATCH(Dipromats!$A$3:$A$101, ""(?i)"" &amp; $A10), NOT(REGEXMATCH(Dipromats!$A$3:$A$101, ""(?i)complete""))
)"),0.546258468663482)</f>
        <v>0.5462584687</v>
      </c>
      <c r="G10" s="5">
        <f>IFERROR(__xludf.DUMMYFUNCTION("FILTER(Dipromats!H$3:H$101, 
  REGEXMATCH(Dipromats!$A$3:$A$101, ""(?i)"" &amp; $A10), NOT(REGEXMATCH(Dipromats!$A$3:$A$101, ""(?i)complete""))
)"),0.512012998082786)</f>
        <v>0.5120129981</v>
      </c>
      <c r="H10" s="5">
        <f>IFERROR(__xludf.DUMMYFUNCTION("FILTER(Dipromats!I$3:I$101, 
  REGEXMATCH(Dipromats!$A$3:$A$101, ""(?i)"" &amp; $A10), NOT(REGEXMATCH(Dipromats!$A$3:$A$101, ""(?i)complete""))
)"),0.288938661231155)</f>
        <v>0.2889386612</v>
      </c>
      <c r="I10" s="5">
        <f>IFERROR(__xludf.DUMMYFUNCTION("FILTER(Dipromats!J$3:J$101, 
  REGEXMATCH(Dipromats!$A$3:$A$101, ""(?i)"" &amp; $A10), NOT(REGEXMATCH(Dipromats!$A$3:$A$101, ""(?i)complete""))
)"),0.329512617172151)</f>
        <v>0.3295126172</v>
      </c>
      <c r="J10" s="19"/>
      <c r="L10" s="4"/>
      <c r="M10" s="24" t="s">
        <v>28</v>
      </c>
      <c r="N10" s="5">
        <f>AVERAGE($B$17:$I$17,$B$36:$I$36,$B$55:$I$55,$B$74:$I$74)</f>
        <v>0.05898154018</v>
      </c>
      <c r="O10" s="21">
        <f>STDEV($B$17:$I$17,$B$36:$I$36,$B$55:$I$55,$B$74:$I$74)</f>
        <v>0.08363798203</v>
      </c>
    </row>
    <row r="11">
      <c r="A11" s="12" t="s">
        <v>21</v>
      </c>
      <c r="B11" s="13">
        <f t="shared" ref="B11:I11" si="4">B3-B10</f>
        <v>0.002717153028</v>
      </c>
      <c r="C11" s="13">
        <f t="shared" si="4"/>
        <v>-0.03482172242</v>
      </c>
      <c r="D11" s="13">
        <f t="shared" si="4"/>
        <v>0.02610724138</v>
      </c>
      <c r="E11" s="13">
        <f t="shared" si="4"/>
        <v>-0.005200767425</v>
      </c>
      <c r="F11" s="13">
        <f t="shared" si="4"/>
        <v>0.00567804606</v>
      </c>
      <c r="G11" s="13">
        <f t="shared" si="4"/>
        <v>-0.01301800066</v>
      </c>
      <c r="H11" s="13">
        <f t="shared" si="4"/>
        <v>0.04466648505</v>
      </c>
      <c r="I11" s="13">
        <f t="shared" si="4"/>
        <v>0.03799621757</v>
      </c>
      <c r="J11" s="14">
        <f>AVERAGE(B11:I11)</f>
        <v>0.008015581574</v>
      </c>
      <c r="K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21" t="s">
        <v>22</v>
      </c>
      <c r="B12" s="5">
        <f>IFERROR(__xludf.DUMMYFUNCTION("FILTER(Dipromats!C$3:C$101, 
  REGEXMATCH(Dipromats!$A$3:$A$101, ""(?i)"" &amp; $A12), NOT(REGEXMATCH(Dipromats!$A$3:$A$101, ""(?i)complete""))
)"),0.640317661477475)</f>
        <v>0.6403176615</v>
      </c>
      <c r="C12" s="5">
        <f>IFERROR(__xludf.DUMMYFUNCTION("FILTER(Dipromats!D$3:D$101, 
  REGEXMATCH(Dipromats!$A$3:$A$101, ""(?i)"" &amp; $A12), NOT(REGEXMATCH(Dipromats!$A$3:$A$101, ""(?i)complete""))
)"),0.61354665612827)</f>
        <v>0.6135466561</v>
      </c>
      <c r="D12" s="5">
        <f>IFERROR(__xludf.DUMMYFUNCTION("FILTER(Dipromats!E$3:E$101, 
  REGEXMATCH(Dipromats!$A$3:$A$101, ""(?i)"" &amp; $A12), NOT(REGEXMATCH(Dipromats!$A$3:$A$101, ""(?i)complete""))
)"),0.613750839783722)</f>
        <v>0.6137508398</v>
      </c>
      <c r="E12" s="5">
        <f>IFERROR(__xludf.DUMMYFUNCTION("FILTER(Dipromats!F$3:F$101, 
  REGEXMATCH(Dipromats!$A$3:$A$101, ""(?i)"" &amp; $A12), NOT(REGEXMATCH(Dipromats!$A$3:$A$101, ""(?i)complete""))
)"),0.578681917130575)</f>
        <v>0.5786819171</v>
      </c>
      <c r="F12" s="5">
        <f>IFERROR(__xludf.DUMMYFUNCTION("FILTER(Dipromats!G$3:G$101, 
  REGEXMATCH(Dipromats!$A$3:$A$101, ""(?i)"" &amp; $A12), NOT(REGEXMATCH(Dipromats!$A$3:$A$101, ""(?i)complete""))
)"),0.545763744390765)</f>
        <v>0.5457637444</v>
      </c>
      <c r="G12" s="5">
        <f>IFERROR(__xludf.DUMMYFUNCTION("FILTER(Dipromats!H$3:H$101, 
  REGEXMATCH(Dipromats!$A$3:$A$101, ""(?i)"" &amp; $A12), NOT(REGEXMATCH(Dipromats!$A$3:$A$101, ""(?i)complete""))
)"),0.524262991587101)</f>
        <v>0.5242629916</v>
      </c>
      <c r="H12" s="5">
        <f>IFERROR(__xludf.DUMMYFUNCTION("FILTER(Dipromats!I$3:I$101, 
  REGEXMATCH(Dipromats!$A$3:$A$101, ""(?i)"" &amp; $A12), NOT(REGEXMATCH(Dipromats!$A$3:$A$101, ""(?i)complete""))
)"),0.284838731621514)</f>
        <v>0.2848387316</v>
      </c>
      <c r="I12" s="5">
        <f>IFERROR(__xludf.DUMMYFUNCTION("FILTER(Dipromats!J$3:J$101, 
  REGEXMATCH(Dipromats!$A$3:$A$101, ""(?i)"" &amp; $A12), NOT(REGEXMATCH(Dipromats!$A$3:$A$101, ""(?i)complete""))
)"),0.300772443809359)</f>
        <v>0.3007724438</v>
      </c>
      <c r="J12" s="19"/>
    </row>
    <row r="13">
      <c r="A13" s="12" t="s">
        <v>24</v>
      </c>
      <c r="B13" s="13">
        <f t="shared" ref="B13:I13" si="5">B3-B12</f>
        <v>-0.005813046189</v>
      </c>
      <c r="C13" s="13">
        <f t="shared" si="5"/>
        <v>-0.03015233607</v>
      </c>
      <c r="D13" s="13">
        <f t="shared" si="5"/>
        <v>-0.001203932056</v>
      </c>
      <c r="E13" s="13">
        <f t="shared" si="5"/>
        <v>-0.01398750237</v>
      </c>
      <c r="F13" s="13">
        <f t="shared" si="5"/>
        <v>0.006172770333</v>
      </c>
      <c r="G13" s="13">
        <f t="shared" si="5"/>
        <v>-0.02526799416</v>
      </c>
      <c r="H13" s="13">
        <f t="shared" si="5"/>
        <v>0.04876641466</v>
      </c>
      <c r="I13" s="13">
        <f t="shared" si="5"/>
        <v>0.06673639094</v>
      </c>
      <c r="J13" s="14">
        <f>AVERAGE(B13:I13)</f>
        <v>0.005656345636</v>
      </c>
      <c r="K13" s="15"/>
      <c r="L13" s="4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21" t="s">
        <v>25</v>
      </c>
      <c r="B14" s="5">
        <f>IFERROR(__xludf.DUMMYFUNCTION("FILTER(Dipromats!C$3:C$101, 
  REGEXMATCH(Dipromats!$A$3:$A$101, ""(?i)"" &amp; $A14)
)"),0.632355163340107)</f>
        <v>0.6323551633</v>
      </c>
      <c r="C14" s="5">
        <f>IFERROR(__xludf.DUMMYFUNCTION("FILTER(Dipromats!D$3:D$101, 
  REGEXMATCH(Dipromats!$A$3:$A$101, ""(?i)"" &amp; $A14)
)"),0.606225827187698)</f>
        <v>0.6062258272</v>
      </c>
      <c r="D14" s="5">
        <f>IFERROR(__xludf.DUMMYFUNCTION("FILTER(Dipromats!E$3:E$101, 
  REGEXMATCH(Dipromats!$A$3:$A$101, ""(?i)"" &amp; $A14)
)"),0.535090217689681)</f>
        <v>0.5350902177</v>
      </c>
      <c r="E14" s="5">
        <f>IFERROR(__xludf.DUMMYFUNCTION("FILTER(Dipromats!F$3:F$101, 
  REGEXMATCH(Dipromats!$A$3:$A$101, ""(?i)"" &amp; $A14)
)"),0.477750371254548)</f>
        <v>0.4777503713</v>
      </c>
      <c r="F14" s="5">
        <f>IFERROR(__xludf.DUMMYFUNCTION("FILTER(Dipromats!G$3:G$101, 
  REGEXMATCH(Dipromats!$A$3:$A$101, ""(?i)"" &amp; $A14)
)"),0.457442229094388)</f>
        <v>0.4574422291</v>
      </c>
      <c r="G14" s="5">
        <f>IFERROR(__xludf.DUMMYFUNCTION("FILTER(Dipromats!H$3:H$101, 
  REGEXMATCH(Dipromats!$A$3:$A$101, ""(?i)"" &amp; $A14)
)"),0.427462251024684)</f>
        <v>0.427462251</v>
      </c>
      <c r="H14" s="5">
        <f>IFERROR(__xludf.DUMMYFUNCTION("FILTER(Dipromats!I$3:I$101, 
  REGEXMATCH(Dipromats!$A$3:$A$101, ""(?i)"" &amp; $A14)
)"),0.245367655632764)</f>
        <v>0.2453676556</v>
      </c>
      <c r="I14" s="5">
        <f>IFERROR(__xludf.DUMMYFUNCTION("FILTER(Dipromats!J$3:J$101, 
  REGEXMATCH(Dipromats!$A$3:$A$101, ""(?i)"" &amp; $A14)
)"),0.282654794342775)</f>
        <v>0.2826547943</v>
      </c>
      <c r="J14" s="19"/>
      <c r="L14" s="4"/>
    </row>
    <row r="15">
      <c r="A15" s="12" t="s">
        <v>26</v>
      </c>
      <c r="B15" s="13">
        <f t="shared" ref="B15:I15" si="6">B3-B14</f>
        <v>0.002149451949</v>
      </c>
      <c r="C15" s="13">
        <f t="shared" si="6"/>
        <v>-0.02283150713</v>
      </c>
      <c r="D15" s="13">
        <f t="shared" si="6"/>
        <v>0.07745669004</v>
      </c>
      <c r="E15" s="13">
        <f t="shared" si="6"/>
        <v>0.0869440435</v>
      </c>
      <c r="F15" s="13">
        <f t="shared" si="6"/>
        <v>0.09449428563</v>
      </c>
      <c r="G15" s="13">
        <f t="shared" si="6"/>
        <v>0.0715327464</v>
      </c>
      <c r="H15" s="13">
        <f t="shared" si="6"/>
        <v>0.08823749065</v>
      </c>
      <c r="I15" s="13">
        <f t="shared" si="6"/>
        <v>0.0848540404</v>
      </c>
      <c r="J15" s="14">
        <f>AVERAGE(B15:I15)</f>
        <v>0.06035465518</v>
      </c>
      <c r="K15" s="15"/>
      <c r="L15" s="4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21" t="s">
        <v>27</v>
      </c>
      <c r="B16" s="5">
        <f>IFERROR(__xludf.DUMMYFUNCTION("FILTER(Dipromats!C$3:C$101, 
  REGEXMATCH(Dipromats!$A$3:$A$101, ""(?i)"" &amp; $A16)
)"),0.626620634285161)</f>
        <v>0.6266206343</v>
      </c>
      <c r="C16" s="5">
        <f>IFERROR(__xludf.DUMMYFUNCTION("FILTER(Dipromats!D$3:D$101, 
  REGEXMATCH(Dipromats!$A$3:$A$101, ""(?i)"" &amp; $A16)
)"),0.604801060798369)</f>
        <v>0.6048010608</v>
      </c>
      <c r="D16" s="5">
        <f>IFERROR(__xludf.DUMMYFUNCTION("FILTER(Dipromats!E$3:E$101, 
  REGEXMATCH(Dipromats!$A$3:$A$101, ""(?i)"" &amp; $A16)
)"),0.274748595417237)</f>
        <v>0.2747485954</v>
      </c>
      <c r="E16" s="5">
        <f>IFERROR(__xludf.DUMMYFUNCTION("FILTER(Dipromats!F$3:F$101, 
  REGEXMATCH(Dipromats!$A$3:$A$101, ""(?i)"" &amp; $A16)
)"),0.380177808740426)</f>
        <v>0.3801778087</v>
      </c>
      <c r="F16" s="5">
        <f>IFERROR(__xludf.DUMMYFUNCTION("FILTER(Dipromats!G$3:G$101, 
  REGEXMATCH(Dipromats!$A$3:$A$101, ""(?i)"" &amp; $A16)
)"),0.484593915089339)</f>
        <v>0.4845939151</v>
      </c>
      <c r="G16" s="5">
        <f>IFERROR(__xludf.DUMMYFUNCTION("FILTER(Dipromats!H$3:H$101, 
  REGEXMATCH(Dipromats!$A$3:$A$101, ""(?i)"" &amp; $A16)
)"),0.437797137788191)</f>
        <v>0.4377971378</v>
      </c>
      <c r="H16" s="5">
        <f>IFERROR(__xludf.DUMMYFUNCTION("FILTER(Dipromats!I$3:I$101, 
  REGEXMATCH(Dipromats!$A$3:$A$101, ""(?i)"" &amp; $A16)
)"),0.220620940157727)</f>
        <v>0.2206209402</v>
      </c>
      <c r="I16" s="5">
        <f>IFERROR(__xludf.DUMMYFUNCTION("FILTER(Dipromats!J$3:J$101, 
  REGEXMATCH(Dipromats!$A$3:$A$101, ""(?i)"" &amp; $A16)
)"),0.271705614091627)</f>
        <v>0.2717056141</v>
      </c>
      <c r="J16" s="19"/>
      <c r="L16" s="4"/>
    </row>
    <row r="17">
      <c r="A17" s="12" t="s">
        <v>28</v>
      </c>
      <c r="B17" s="13">
        <f t="shared" ref="B17:I17" si="7">B3-B16</f>
        <v>0.007883981003</v>
      </c>
      <c r="C17" s="13">
        <f t="shared" si="7"/>
        <v>-0.02140674074</v>
      </c>
      <c r="D17" s="13">
        <f t="shared" si="7"/>
        <v>0.3377983123</v>
      </c>
      <c r="E17" s="13">
        <f t="shared" si="7"/>
        <v>0.184516606</v>
      </c>
      <c r="F17" s="13">
        <f t="shared" si="7"/>
        <v>0.06734259963</v>
      </c>
      <c r="G17" s="13">
        <f t="shared" si="7"/>
        <v>0.06119785964</v>
      </c>
      <c r="H17" s="13">
        <f t="shared" si="7"/>
        <v>0.1129842061</v>
      </c>
      <c r="I17" s="13">
        <f t="shared" si="7"/>
        <v>0.09580322065</v>
      </c>
      <c r="J17" s="14">
        <f>AVERAGE(B17:I17)</f>
        <v>0.1057650056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B18" s="14">
        <f t="shared" ref="B18:I18" si="8">AVERAGE(B5,B7,B9,B11,B13,B15,B17)</f>
        <v>0.006036538638</v>
      </c>
      <c r="C18" s="14">
        <f t="shared" si="8"/>
        <v>-0.01565401313</v>
      </c>
      <c r="D18" s="14">
        <f t="shared" si="8"/>
        <v>0.07049821584</v>
      </c>
      <c r="E18" s="14">
        <f t="shared" si="8"/>
        <v>0.04259214337</v>
      </c>
      <c r="F18" s="14">
        <f t="shared" si="8"/>
        <v>0.03228086314</v>
      </c>
      <c r="G18" s="14">
        <f t="shared" si="8"/>
        <v>0.01174759699</v>
      </c>
      <c r="H18" s="14">
        <f t="shared" si="8"/>
        <v>0.05811795254</v>
      </c>
      <c r="I18" s="14">
        <f t="shared" si="8"/>
        <v>0.06273013817</v>
      </c>
    </row>
    <row r="19">
      <c r="B19" s="14">
        <f>AVERAGE(B18,C18)</f>
        <v>-0.004808737248</v>
      </c>
      <c r="C19" s="19"/>
      <c r="D19" s="14">
        <f>AVERAGE(D18,E18)</f>
        <v>0.0565451796</v>
      </c>
      <c r="E19" s="19"/>
      <c r="F19" s="14">
        <f>AVERAGE(F18,G18)</f>
        <v>0.02201423007</v>
      </c>
      <c r="G19" s="19"/>
      <c r="H19" s="14">
        <f>AVERAGE(H18,I18)</f>
        <v>0.06042404535</v>
      </c>
      <c r="I19" s="19"/>
    </row>
    <row r="21">
      <c r="A21" s="1" t="s">
        <v>29</v>
      </c>
      <c r="B21" s="4" t="s">
        <v>4</v>
      </c>
      <c r="D21" s="1" t="s">
        <v>5</v>
      </c>
      <c r="E21" s="1"/>
      <c r="F21" s="1" t="s">
        <v>6</v>
      </c>
      <c r="G21" s="1"/>
      <c r="H21" s="4" t="s">
        <v>7</v>
      </c>
      <c r="I21" s="1"/>
    </row>
    <row r="22">
      <c r="A22" s="4" t="s">
        <v>9</v>
      </c>
      <c r="B22" s="5">
        <f>IFERROR(__xludf.DUMMYFUNCTION("FILTER(SemEval_2025_T2!$G$3:$G$100, 
  REGEXMATCH(SemEval_2025_T2!$A$3:$A$100, ""(?i)"" &amp; $B$21 &amp;""_"" &amp; $A22)
)"),0.4296)</f>
        <v>0.4296</v>
      </c>
      <c r="C22" s="5">
        <f>IFERROR(__xludf.DUMMYFUNCTION("FILTER(SemEval_2025_T2!$H$3:$H$100, 
  REGEXMATCH(SemEval_2025_T2!$A$3:$A$100, ""(?i)"" &amp; $B$21 &amp;""_"" &amp; $A22)
)"),0.2824)</f>
        <v>0.2824</v>
      </c>
      <c r="D22" s="5">
        <f>IFERROR(__xludf.DUMMYFUNCTION("FILTER(SemEval_2025_T2!$G$3:$G$100, 
  REGEXMATCH(SemEval_2025_T2!$A$3:$A$100, ""(?i)"" &amp; $D$21 &amp;""_"" &amp; $A22)
)"),0.4004)</f>
        <v>0.4004</v>
      </c>
      <c r="E22" s="5">
        <f>IFERROR(__xludf.DUMMYFUNCTION("FILTER(SemEval_2025_T2!$H$3:$H$100, 
  REGEXMATCH(SemEval_2025_T2!$A$3:$A$100, ""(?i)"" &amp; $D$21 &amp;""_"" &amp; $A22)
)"),0.264)</f>
        <v>0.264</v>
      </c>
      <c r="F22" s="5">
        <f>IFERROR(__xludf.DUMMYFUNCTION("FILTER(SemEval_2025_T2!$G$3:$G$100, 
  REGEXMATCH(SemEval_2025_T2!$A$3:$A$100, ""(?i)"" &amp; $F$21 &amp;""_"" &amp; $A22)
)"),0.3482)</f>
        <v>0.3482</v>
      </c>
      <c r="G22" s="5">
        <f>IFERROR(__xludf.DUMMYFUNCTION("FILTER(SemEval_2025_T2!$H$3:$H$100, 
  REGEXMATCH(SemEval_2025_T2!$A$3:$A$100, ""(?i)"" &amp; $F$21 &amp;""_"" &amp; $A22)
)"),0.2128)</f>
        <v>0.2128</v>
      </c>
      <c r="H22" s="5">
        <f>IFERROR(__xludf.DUMMYFUNCTION("FILTER(SemEval_2025_T2!$G$3:$G$100, 
  REGEXMATCH(SemEval_2025_T2!$A$3:$A$100, ""(?i)"" &amp; $H$21 &amp;""_"" &amp; $A22)
)"),0.179199999999999)</f>
        <v>0.1792</v>
      </c>
      <c r="I22" s="5">
        <f>IFERROR(__xludf.DUMMYFUNCTION("FILTER(SemEval_2025_T2!$H$3:$H$100, 
  REGEXMATCH(SemEval_2025_T2!$A$3:$A$100, ""(?i)"" &amp; $H$21 &amp;""_"" &amp; $A22)
)"),0.1202)</f>
        <v>0.1202</v>
      </c>
    </row>
    <row r="23">
      <c r="A23" s="4" t="s">
        <v>11</v>
      </c>
      <c r="B23" s="5">
        <f>IFERROR(__xludf.DUMMYFUNCTION("FILTER(SemEval_2025_T2!$G$3:$G$100, 
  REGEXMATCH(SemEval_2025_T2!$A$3:$A$100, ""(?i)"" &amp; $B$21 &amp;""_"" &amp; $A23)
)"),0.4884)</f>
        <v>0.4884</v>
      </c>
      <c r="C23" s="5">
        <f>IFERROR(__xludf.DUMMYFUNCTION("FILTER(SemEval_2025_T2!$H$3:$H$100, 
  REGEXMATCH(SemEval_2025_T2!$A$3:$A$100, ""(?i)"" &amp; $B$21 &amp;""_"" &amp; $A23)
)"),0.309799999999999)</f>
        <v>0.3098</v>
      </c>
      <c r="D23" s="5">
        <f>IFERROR(__xludf.DUMMYFUNCTION("FILTER(SemEval_2025_T2!$G$3:$G$100, 
  REGEXMATCH(SemEval_2025_T2!$A$3:$A$100, ""(?i)"" &amp; $D$21 &amp;""_"" &amp; $A23)
)"),0.4214)</f>
        <v>0.4214</v>
      </c>
      <c r="E23" s="5">
        <f>IFERROR(__xludf.DUMMYFUNCTION("FILTER(SemEval_2025_T2!$H$3:$H$100, 
  REGEXMATCH(SemEval_2025_T2!$A$3:$A$100, ""(?i)"" &amp; $D$21 &amp;""_"" &amp; $A23)
)"),0.2862)</f>
        <v>0.2862</v>
      </c>
      <c r="F23" s="5">
        <f>IFERROR(__xludf.DUMMYFUNCTION("FILTER(SemEval_2025_T2!$G$3:$G$100, 
  REGEXMATCH(SemEval_2025_T2!$A$3:$A$100, ""(?i)"" &amp; $F$21 &amp;""_"" &amp; $A23)
)"),0.3434)</f>
        <v>0.3434</v>
      </c>
      <c r="G23" s="5">
        <f>IFERROR(__xludf.DUMMYFUNCTION("FILTER(SemEval_2025_T2!$H$3:$H$100, 
  REGEXMATCH(SemEval_2025_T2!$A$3:$A$100, ""(?i)"" &amp; $F$21 &amp;""_"" &amp; $A23)
)"),0.2124)</f>
        <v>0.2124</v>
      </c>
      <c r="H23" s="5">
        <f>IFERROR(__xludf.DUMMYFUNCTION("FILTER(SemEval_2025_T2!$G$3:$G$100, 
  REGEXMATCH(SemEval_2025_T2!$A$3:$A$100, ""(?i)"" &amp; $H$21 &amp;""_"" &amp; $A23)
)"),0.1666)</f>
        <v>0.1666</v>
      </c>
      <c r="I23" s="5">
        <f>IFERROR(__xludf.DUMMYFUNCTION("FILTER(SemEval_2025_T2!$H$3:$H$100, 
  REGEXMATCH(SemEval_2025_T2!$A$3:$A$100, ""(?i)"" &amp; $H$21 &amp;""_"" &amp; $A23)
)"),0.1056)</f>
        <v>0.1056</v>
      </c>
    </row>
    <row r="24">
      <c r="A24" s="12" t="s">
        <v>13</v>
      </c>
      <c r="B24" s="13">
        <f t="shared" ref="B24:I24" si="9">B22-B23</f>
        <v>-0.0588</v>
      </c>
      <c r="C24" s="13">
        <f t="shared" si="9"/>
        <v>-0.0274</v>
      </c>
      <c r="D24" s="13">
        <f t="shared" si="9"/>
        <v>-0.021</v>
      </c>
      <c r="E24" s="13">
        <f t="shared" si="9"/>
        <v>-0.0222</v>
      </c>
      <c r="F24" s="13">
        <f t="shared" si="9"/>
        <v>0.0048</v>
      </c>
      <c r="G24" s="13">
        <f t="shared" si="9"/>
        <v>0.0004</v>
      </c>
      <c r="H24" s="13">
        <f t="shared" si="9"/>
        <v>0.0126</v>
      </c>
      <c r="I24" s="13">
        <f t="shared" si="9"/>
        <v>0.0146</v>
      </c>
      <c r="J24" s="14">
        <f t="shared" ref="J24:K24" si="10">AVERAGE(B24,D24,F24,H24)</f>
        <v>-0.0156</v>
      </c>
      <c r="K24" s="14">
        <f t="shared" si="10"/>
        <v>-0.00865</v>
      </c>
      <c r="L24" s="14">
        <f>AVERAGE(J24,K24)</f>
        <v>-0.012125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4" t="s">
        <v>30</v>
      </c>
      <c r="B25" s="5">
        <f>IFERROR(__xludf.DUMMYFUNCTION("FILTER(SemEval_2025_T2!$G$3:$G$100, 
  REGEXMATCH(SemEval_2025_T2!$A$3:$A$100, ""(?i)"" &amp; $B$21 &amp;""_"" &amp; $A25)
)"),0.4362)</f>
        <v>0.4362</v>
      </c>
      <c r="C25" s="5">
        <f>IFERROR(__xludf.DUMMYFUNCTION("FILTER(SemEval_2025_T2!$H$3:$H$100, 
  REGEXMATCH(SemEval_2025_T2!$A$3:$A$100, ""(?i)"" &amp; $B$21 &amp;""_"" &amp; $A25)
)"),0.3042)</f>
        <v>0.3042</v>
      </c>
      <c r="D25" s="5">
        <f>IFERROR(__xludf.DUMMYFUNCTION("FILTER(SemEval_2025_T2!$G$3:$G$100, 
  REGEXMATCH(SemEval_2025_T2!$A$3:$A$100, ""(?i)"" &amp; $D$21 &amp;""_"" &amp; $A25)
)"),0.3392)</f>
        <v>0.3392</v>
      </c>
      <c r="E25" s="5">
        <f>IFERROR(__xludf.DUMMYFUNCTION("FILTER(SemEval_2025_T2!$H$3:$H$100, 
  REGEXMATCH(SemEval_2025_T2!$A$3:$A$100, ""(?i)"" &amp; $D$21 &amp;""_"" &amp; $A25)
)"),0.2208)</f>
        <v>0.2208</v>
      </c>
      <c r="F25" s="5">
        <f>IFERROR(__xludf.DUMMYFUNCTION("FILTER(SemEval_2025_T2!$G$3:$G$100, 
  REGEXMATCH(SemEval_2025_T2!$A$3:$A$100, ""(?i)"" &amp; $F$21 &amp;""_"" &amp; $A25)
)"),0.3016)</f>
        <v>0.3016</v>
      </c>
      <c r="G25" s="5">
        <f>IFERROR(__xludf.DUMMYFUNCTION("FILTER(SemEval_2025_T2!$H$3:$H$100, 
  REGEXMATCH(SemEval_2025_T2!$A$3:$A$100, ""(?i)"" &amp; $F$21 &amp;""_"" &amp; $A25)
)"),0.1792)</f>
        <v>0.1792</v>
      </c>
      <c r="H25" s="5">
        <f>IFERROR(__xludf.DUMMYFUNCTION("FILTER(SemEval_2025_T2!$G$3:$G$100, 
  REGEXMATCH(SemEval_2025_T2!$A$3:$A$100, ""(?i)"" &amp; $H$21 &amp;""_"" &amp; $A25)
)"),0.1424)</f>
        <v>0.1424</v>
      </c>
      <c r="I25" s="5">
        <f>IFERROR(__xludf.DUMMYFUNCTION("FILTER(SemEval_2025_T2!$H$3:$H$100, 
  REGEXMATCH(SemEval_2025_T2!$A$3:$A$100, ""(?i)"" &amp; $H$21 &amp;""_"" &amp; $A25)
)"),0.0802)</f>
        <v>0.0802</v>
      </c>
      <c r="J25" s="19"/>
      <c r="K25" s="19"/>
      <c r="L25" s="19"/>
    </row>
    <row r="26">
      <c r="A26" s="12" t="s">
        <v>17</v>
      </c>
      <c r="B26" s="13">
        <f t="shared" ref="B26:I26" si="11">B22-B25</f>
        <v>-0.0066</v>
      </c>
      <c r="C26" s="13">
        <f t="shared" si="11"/>
        <v>-0.0218</v>
      </c>
      <c r="D26" s="13">
        <f t="shared" si="11"/>
        <v>0.0612</v>
      </c>
      <c r="E26" s="13">
        <f t="shared" si="11"/>
        <v>0.0432</v>
      </c>
      <c r="F26" s="13">
        <f t="shared" si="11"/>
        <v>0.0466</v>
      </c>
      <c r="G26" s="13">
        <f t="shared" si="11"/>
        <v>0.0336</v>
      </c>
      <c r="H26" s="13">
        <f t="shared" si="11"/>
        <v>0.0368</v>
      </c>
      <c r="I26" s="13">
        <f t="shared" si="11"/>
        <v>0.04</v>
      </c>
      <c r="J26" s="14">
        <f t="shared" ref="J26:K26" si="12">AVERAGE(B26,D26,F26,H26)</f>
        <v>0.0345</v>
      </c>
      <c r="K26" s="14">
        <f t="shared" si="12"/>
        <v>0.02375</v>
      </c>
      <c r="L26" s="14">
        <f>AVERAGE(J26,K26)</f>
        <v>0.029125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4" t="s">
        <v>31</v>
      </c>
      <c r="B27" s="5">
        <f>IFERROR(__xludf.DUMMYFUNCTION("FILTER(SemEval_2025_T2!$G$3:$G$100, 
  REGEXMATCH(SemEval_2025_T2!$A$3:$A$100, ""(?i)"" &amp; $B$21 &amp;""_"" &amp; $A27)
)"),0.444199999999999)</f>
        <v>0.4442</v>
      </c>
      <c r="C27" s="5">
        <f>IFERROR(__xludf.DUMMYFUNCTION("FILTER(SemEval_2025_T2!$H$3:$H$100, 
  REGEXMATCH(SemEval_2025_T2!$A$3:$A$100, ""(?i)"" &amp; $B$21 &amp;""_"" &amp; $A27)
)"),0.281)</f>
        <v>0.281</v>
      </c>
      <c r="D27" s="5">
        <f>IFERROR(__xludf.DUMMYFUNCTION("FILTER(SemEval_2025_T2!$G$3:$G$100, 
  REGEXMATCH(SemEval_2025_T2!$A$3:$A$100, ""(?i)"" &amp; $D$21 &amp;""_"" &amp; $A27)
)"),0.3556)</f>
        <v>0.3556</v>
      </c>
      <c r="E27" s="5">
        <f>IFERROR(__xludf.DUMMYFUNCTION("FILTER(SemEval_2025_T2!$H$3:$H$100, 
  REGEXMATCH(SemEval_2025_T2!$A$3:$A$100, ""(?i)"" &amp; $D$21 &amp;""_"" &amp; $A27)
)"),0.235)</f>
        <v>0.235</v>
      </c>
      <c r="F27" s="5">
        <f>IFERROR(__xludf.DUMMYFUNCTION("FILTER(SemEval_2025_T2!$G$3:$G$100, 
  REGEXMATCH(SemEval_2025_T2!$A$3:$A$100, ""(?i)"" &amp; $F$21 &amp;""_"" &amp; $A27)
)"),0.2892)</f>
        <v>0.2892</v>
      </c>
      <c r="G27" s="5">
        <f>IFERROR(__xludf.DUMMYFUNCTION("FILTER(SemEval_2025_T2!$H$3:$H$100, 
  REGEXMATCH(SemEval_2025_T2!$A$3:$A$100, ""(?i)"" &amp; $F$21 &amp;""_"" &amp; $A27)
)"),0.16)</f>
        <v>0.16</v>
      </c>
      <c r="H27" s="5">
        <f>IFERROR(__xludf.DUMMYFUNCTION("FILTER(SemEval_2025_T2!$G$3:$G$100, 
  REGEXMATCH(SemEval_2025_T2!$A$3:$A$100, ""(?i)"" &amp; $H$21 &amp;""_"" &amp; $A27)
)"),0.1274)</f>
        <v>0.1274</v>
      </c>
      <c r="I27" s="5">
        <f>IFERROR(__xludf.DUMMYFUNCTION("FILTER(SemEval_2025_T2!$H$3:$H$100, 
  REGEXMATCH(SemEval_2025_T2!$A$3:$A$100, ""(?i)"" &amp; $H$21 &amp;""_"" &amp; $A27)
)"),0.0496)</f>
        <v>0.0496</v>
      </c>
      <c r="J27" s="19"/>
      <c r="K27" s="19"/>
      <c r="L27" s="19"/>
    </row>
    <row r="28">
      <c r="A28" s="12" t="s">
        <v>19</v>
      </c>
      <c r="B28" s="13">
        <f t="shared" ref="B28:I28" si="13">B22-B27</f>
        <v>-0.0146</v>
      </c>
      <c r="C28" s="13">
        <f t="shared" si="13"/>
        <v>0.0014</v>
      </c>
      <c r="D28" s="13">
        <f t="shared" si="13"/>
        <v>0.0448</v>
      </c>
      <c r="E28" s="13">
        <f t="shared" si="13"/>
        <v>0.029</v>
      </c>
      <c r="F28" s="13">
        <f t="shared" si="13"/>
        <v>0.059</v>
      </c>
      <c r="G28" s="13">
        <f t="shared" si="13"/>
        <v>0.0528</v>
      </c>
      <c r="H28" s="13">
        <f t="shared" si="13"/>
        <v>0.0518</v>
      </c>
      <c r="I28" s="13">
        <f t="shared" si="13"/>
        <v>0.0706</v>
      </c>
      <c r="J28" s="14">
        <f t="shared" ref="J28:K28" si="14">AVERAGE(B28,D28,F28,H28)</f>
        <v>0.03525</v>
      </c>
      <c r="K28" s="14">
        <f t="shared" si="14"/>
        <v>0.03845</v>
      </c>
      <c r="L28" s="14">
        <f>AVERAGE(J28,K28)</f>
        <v>0.03685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4" t="s">
        <v>32</v>
      </c>
      <c r="B29" s="5">
        <f>IFERROR(__xludf.DUMMYFUNCTION("FILTER(SemEval_2025_T2!$G$3:$G$100, 
  REGEXMATCH(SemEval_2025_T2!$A$3:$A$100, ""(?i)"" &amp; $B$21 &amp;""_"" &amp; $A29), NOT(REGEXMATCH(SemEval_2025_T2!$A$3:$A$100, ""(?i)complete""))
)"),0.4852)</f>
        <v>0.4852</v>
      </c>
      <c r="C29" s="5">
        <f>IFERROR(__xludf.DUMMYFUNCTION("FILTER(SemEval_2025_T2!$H$3:$H$100, 
  REGEXMATCH(SemEval_2025_T2!$A$3:$A$100, ""(?i)"" &amp; $B$21 &amp;""_"" &amp; $A29), NOT(REGEXMATCH(SemEval_2025_T2!$A$3:$A$100, ""(?i)complete""))
)"),0.3286)</f>
        <v>0.3286</v>
      </c>
      <c r="D29" s="5">
        <f>IFERROR(__xludf.DUMMYFUNCTION("FILTER(SemEval_2025_T2!$G$3:$G$100, 
  REGEXMATCH(SemEval_2025_T2!$A$3:$A$100, ""(?i)"" &amp; $D$21 &amp;""_"" &amp; $A29), NOT(REGEXMATCH(SemEval_2025_T2!$A$3:$A$100, ""(?i)complete""))
)"),0.3592)</f>
        <v>0.3592</v>
      </c>
      <c r="E29" s="5">
        <f>IFERROR(__xludf.DUMMYFUNCTION("FILTER(SemEval_2025_T2!$H$3:$H$100, 
  REGEXMATCH(SemEval_2025_T2!$A$3:$A$100, ""(?i)"" &amp; $D$21 &amp;""_"" &amp; $A29), NOT(REGEXMATCH(SemEval_2025_T2!$A$3:$A$100, ""(?i)complete""))
)"),0.2508)</f>
        <v>0.2508</v>
      </c>
      <c r="F29" s="5">
        <f>IFERROR(__xludf.DUMMYFUNCTION("FILTER(SemEval_2025_T2!$G$3:$G$100, 
  REGEXMATCH(SemEval_2025_T2!$A$3:$A$100, ""(?i)"" &amp; $F$21 &amp;""_"" &amp; $A29), NOT(REGEXMATCH(SemEval_2025_T2!$A$3:$A$100, ""(?i)complete""))
)"),0.3106)</f>
        <v>0.3106</v>
      </c>
      <c r="G29" s="5">
        <f>IFERROR(__xludf.DUMMYFUNCTION("FILTER(SemEval_2025_T2!$H$3:$H$100, 
  REGEXMATCH(SemEval_2025_T2!$A$3:$A$100, ""(?i)"" &amp; $F$21 &amp;""_"" &amp; $A29), NOT(REGEXMATCH(SemEval_2025_T2!$A$3:$A$100, ""(?i)complete""))
)"),0.1764)</f>
        <v>0.1764</v>
      </c>
      <c r="H29" s="5">
        <f>IFERROR(__xludf.DUMMYFUNCTION("FILTER(SemEval_2025_T2!$G$3:$G$100, 
  REGEXMATCH(SemEval_2025_T2!$A$3:$A$100, ""(?i)"" &amp; $H$21 &amp;""_"" &amp; $A29), NOT(REGEXMATCH(SemEval_2025_T2!$A$3:$A$100, ""(?i)complete""))
)"),0.1246)</f>
        <v>0.1246</v>
      </c>
      <c r="I29" s="5">
        <f>IFERROR(__xludf.DUMMYFUNCTION("FILTER(SemEval_2025_T2!$H$3:$H$100, 
  REGEXMATCH(SemEval_2025_T2!$A$3:$A$100, ""(?i)"" &amp; $H$21 &amp;""_"" &amp; $A29), NOT(REGEXMATCH(SemEval_2025_T2!$A$3:$A$100, ""(?i)complete""))
)"),0.0576)</f>
        <v>0.0576</v>
      </c>
      <c r="J29" s="19"/>
      <c r="K29" s="19"/>
      <c r="L29" s="19"/>
    </row>
    <row r="30">
      <c r="A30" s="12" t="s">
        <v>21</v>
      </c>
      <c r="B30" s="13">
        <f t="shared" ref="B30:I30" si="15">B22-B29</f>
        <v>-0.0556</v>
      </c>
      <c r="C30" s="13">
        <f t="shared" si="15"/>
        <v>-0.0462</v>
      </c>
      <c r="D30" s="13">
        <f t="shared" si="15"/>
        <v>0.0412</v>
      </c>
      <c r="E30" s="13">
        <f t="shared" si="15"/>
        <v>0.0132</v>
      </c>
      <c r="F30" s="13">
        <f t="shared" si="15"/>
        <v>0.0376</v>
      </c>
      <c r="G30" s="13">
        <f t="shared" si="15"/>
        <v>0.0364</v>
      </c>
      <c r="H30" s="13">
        <f t="shared" si="15"/>
        <v>0.0546</v>
      </c>
      <c r="I30" s="13">
        <f t="shared" si="15"/>
        <v>0.0626</v>
      </c>
      <c r="J30" s="14">
        <f t="shared" ref="J30:K30" si="16">AVERAGE(B30,D30,F30,H30)</f>
        <v>0.01945</v>
      </c>
      <c r="K30" s="14">
        <f t="shared" si="16"/>
        <v>0.0165</v>
      </c>
      <c r="L30" s="14">
        <f>AVERAGE(J30,K30)</f>
        <v>0.017975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4" t="s">
        <v>33</v>
      </c>
      <c r="B31" s="5">
        <f>IFERROR(__xludf.DUMMYFUNCTION("FILTER(SemEval_2025_T2!$G$3:$G$100, 
  REGEXMATCH(SemEval_2025_T2!$A$3:$A$100, ""(?i)"" &amp; $B$21 &amp;""_"" &amp; $A31), NOT(REGEXMATCH(SemEval_2025_T2!$A$3:$A$100, ""(?i)complete""))
)"),0.4684)</f>
        <v>0.4684</v>
      </c>
      <c r="C31" s="5">
        <f>IFERROR(__xludf.DUMMYFUNCTION("FILTER(SemEval_2025_T2!$H$3:$H$100, 
  REGEXMATCH(SemEval_2025_T2!$A$3:$A$100, ""(?i)"" &amp; $B$21 &amp;""_"" &amp; $A31), NOT(REGEXMATCH(SemEval_2025_T2!$A$3:$A$100, ""(?i)complete""))
)"),0.3222)</f>
        <v>0.3222</v>
      </c>
      <c r="D31" s="5">
        <f>IFERROR(__xludf.DUMMYFUNCTION("FILTER(SemEval_2025_T2!$G$3:$G$100, 
  REGEXMATCH(SemEval_2025_T2!$A$3:$A$100, ""(?i)"" &amp; $D$21 &amp;""_"" &amp; $A31), NOT(REGEXMATCH(SemEval_2025_T2!$A$3:$A$100, ""(?i)complete""))
)"),0.383)</f>
        <v>0.383</v>
      </c>
      <c r="E31" s="5">
        <f>IFERROR(__xludf.DUMMYFUNCTION("FILTER(SemEval_2025_T2!$H$3:$H$100, 
  REGEXMATCH(SemEval_2025_T2!$A$3:$A$100, ""(?i)"" &amp; $D$21 &amp;""_"" &amp; $A31), NOT(REGEXMATCH(SemEval_2025_T2!$A$3:$A$100, ""(?i)complete""))
)"),0.267599999999999)</f>
        <v>0.2676</v>
      </c>
      <c r="F31" s="5">
        <f>IFERROR(__xludf.DUMMYFUNCTION("FILTER(SemEval_2025_T2!$G$3:$G$100, 
  REGEXMATCH(SemEval_2025_T2!$A$3:$A$100, ""(?i)"" &amp; $F$21 &amp;""_"" &amp; $A31), NOT(REGEXMATCH(SemEval_2025_T2!$A$3:$A$100, ""(?i)complete""))
)"),0.3124)</f>
        <v>0.3124</v>
      </c>
      <c r="G31" s="5">
        <f>IFERROR(__xludf.DUMMYFUNCTION("FILTER(SemEval_2025_T2!$H$3:$H$100, 
  REGEXMATCH(SemEval_2025_T2!$A$3:$A$100, ""(?i)"" &amp; $F$21 &amp;""_"" &amp; $A31), NOT(REGEXMATCH(SemEval_2025_T2!$A$3:$A$100, ""(?i)complete""))
)"),0.177)</f>
        <v>0.177</v>
      </c>
      <c r="H31" s="5">
        <f>IFERROR(__xludf.DUMMYFUNCTION("FILTER(SemEval_2025_T2!$G$3:$G$100, 
  REGEXMATCH(SemEval_2025_T2!$A$3:$A$100, ""(?i)"" &amp; $H$21 &amp;""_"" &amp; $A31), NOT(REGEXMATCH(SemEval_2025_T2!$A$3:$A$100, ""(?i)complete""))
)"),0.117799999999999)</f>
        <v>0.1178</v>
      </c>
      <c r="I31" s="5">
        <f>IFERROR(__xludf.DUMMYFUNCTION("FILTER(SemEval_2025_T2!$H$3:$H$100, 
  REGEXMATCH(SemEval_2025_T2!$A$3:$A$100, ""(?i)"" &amp; $H$21 &amp;""_"" &amp; $A31), NOT(REGEXMATCH(SemEval_2025_T2!$A$3:$A$100, ""(?i)complete""))
)"),0.0406)</f>
        <v>0.0406</v>
      </c>
      <c r="J31" s="19"/>
      <c r="K31" s="19"/>
      <c r="L31" s="19"/>
    </row>
    <row r="32">
      <c r="A32" s="12" t="s">
        <v>24</v>
      </c>
      <c r="B32" s="13">
        <f t="shared" ref="B32:I32" si="17">B22-B31</f>
        <v>-0.0388</v>
      </c>
      <c r="C32" s="13">
        <f t="shared" si="17"/>
        <v>-0.0398</v>
      </c>
      <c r="D32" s="13">
        <f t="shared" si="17"/>
        <v>0.0174</v>
      </c>
      <c r="E32" s="13">
        <f t="shared" si="17"/>
        <v>-0.0036</v>
      </c>
      <c r="F32" s="13">
        <f t="shared" si="17"/>
        <v>0.0358</v>
      </c>
      <c r="G32" s="13">
        <f t="shared" si="17"/>
        <v>0.0358</v>
      </c>
      <c r="H32" s="13">
        <f t="shared" si="17"/>
        <v>0.0614</v>
      </c>
      <c r="I32" s="13">
        <f t="shared" si="17"/>
        <v>0.0796</v>
      </c>
      <c r="J32" s="14">
        <f t="shared" ref="J32:K32" si="18">AVERAGE(B32,D32,F32,H32)</f>
        <v>0.01895</v>
      </c>
      <c r="K32" s="14">
        <f t="shared" si="18"/>
        <v>0.018</v>
      </c>
      <c r="L32" s="14">
        <f>AVERAGE(J32,K32)</f>
        <v>0.018475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4" t="s">
        <v>34</v>
      </c>
      <c r="B33" s="5">
        <f>IFERROR(__xludf.DUMMYFUNCTION("FILTER(SemEval_2025_T2!$G$3:$G$100, 
  REGEXMATCH(SemEval_2025_T2!$A$3:$A$100, ""(?i)"" &amp; $B$21 &amp;""_"" &amp; $A33)
)"),0.4522)</f>
        <v>0.4522</v>
      </c>
      <c r="C33" s="5">
        <f>IFERROR(__xludf.DUMMYFUNCTION("FILTER(SemEval_2025_T2!$H$3:$H$100, 
  REGEXMATCH(SemEval_2025_T2!$A$3:$A$100, ""(?i)"" &amp; $B$21 &amp;""_"" &amp; $A33)
)"),0.3188)</f>
        <v>0.3188</v>
      </c>
      <c r="D33" s="5">
        <f>IFERROR(__xludf.DUMMYFUNCTION("FILTER(SemEval_2025_T2!$G$3:$G$100, 
  REGEXMATCH(SemEval_2025_T2!$A$3:$A$100, ""(?i)"" &amp; $D$21 &amp;""_"" &amp; $A33)
)"),0.281)</f>
        <v>0.281</v>
      </c>
      <c r="E33" s="5">
        <f>IFERROR(__xludf.DUMMYFUNCTION("FILTER(SemEval_2025_T2!$H$3:$H$100, 
  REGEXMATCH(SemEval_2025_T2!$A$3:$A$100, ""(?i)"" &amp; $D$21 &amp;""_"" &amp; $A33)
)"),0.281)</f>
        <v>0.281</v>
      </c>
      <c r="F33" s="5">
        <f>IFERROR(__xludf.DUMMYFUNCTION("FILTER(SemEval_2025_T2!$G$3:$G$100, 
  REGEXMATCH(SemEval_2025_T2!$A$3:$A$100, ""(?i)"" &amp; $F$21 &amp;""_"" &amp; $A33)
)"),0.2836)</f>
        <v>0.2836</v>
      </c>
      <c r="G33" s="5">
        <f>IFERROR(__xludf.DUMMYFUNCTION("FILTER(SemEval_2025_T2!$H$3:$H$100, 
  REGEXMATCH(SemEval_2025_T2!$A$3:$A$100, ""(?i)"" &amp; $F$21 &amp;""_"" &amp; $A33)
)"),0.189)</f>
        <v>0.189</v>
      </c>
      <c r="H33" s="5">
        <f>IFERROR(__xludf.DUMMYFUNCTION("FILTER(SemEval_2025_T2!$G$3:$G$100, 
  REGEXMATCH(SemEval_2025_T2!$A$3:$A$100, ""(?i)"" &amp; $H$21 &amp;""_"" &amp; $A33)
)"),0.1028)</f>
        <v>0.1028</v>
      </c>
      <c r="I33" s="5">
        <f>IFERROR(__xludf.DUMMYFUNCTION("FILTER(SemEval_2025_T2!$H$3:$H$100, 
  REGEXMATCH(SemEval_2025_T2!$A$3:$A$100, ""(?i)"" &amp; $H$21 &amp;""_"" &amp; $A33)
)"),0.0496)</f>
        <v>0.0496</v>
      </c>
      <c r="J33" s="19"/>
      <c r="K33" s="19"/>
      <c r="L33" s="19"/>
    </row>
    <row r="34">
      <c r="A34" s="12" t="s">
        <v>26</v>
      </c>
      <c r="B34" s="13">
        <f t="shared" ref="B34:I34" si="19">B22-B33</f>
        <v>-0.0226</v>
      </c>
      <c r="C34" s="13">
        <f t="shared" si="19"/>
        <v>-0.0364</v>
      </c>
      <c r="D34" s="13">
        <f t="shared" si="19"/>
        <v>0.1194</v>
      </c>
      <c r="E34" s="13">
        <f t="shared" si="19"/>
        <v>-0.017</v>
      </c>
      <c r="F34" s="13">
        <f t="shared" si="19"/>
        <v>0.0646</v>
      </c>
      <c r="G34" s="13">
        <f t="shared" si="19"/>
        <v>0.0238</v>
      </c>
      <c r="H34" s="13">
        <f t="shared" si="19"/>
        <v>0.0764</v>
      </c>
      <c r="I34" s="13">
        <f t="shared" si="19"/>
        <v>0.0706</v>
      </c>
      <c r="J34" s="14">
        <f t="shared" ref="J34:K34" si="20">AVERAGE(B34,D34,F34,H34)</f>
        <v>0.05945</v>
      </c>
      <c r="K34" s="14">
        <f t="shared" si="20"/>
        <v>0.01025</v>
      </c>
      <c r="L34" s="14">
        <f>AVERAGE(J34,K34)</f>
        <v>0.03485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4" t="s">
        <v>35</v>
      </c>
      <c r="B35" s="5">
        <f>IFERROR(__xludf.DUMMYFUNCTION("FILTER(SemEval_2025_T2!$G$3:$G$100, 
  REGEXMATCH(SemEval_2025_T2!$A$3:$A$100, ""(?i)"" &amp; $B$21 &amp;""_"" &amp; $A35)
)"),0.453)</f>
        <v>0.453</v>
      </c>
      <c r="C35" s="5">
        <f>IFERROR(__xludf.DUMMYFUNCTION("FILTER(SemEval_2025_T2!$H$3:$H$100, 
  REGEXMATCH(SemEval_2025_T2!$A$3:$A$100, ""(?i)"" &amp; $B$21 &amp;""_"" &amp; $A35)
)"),0.3236)</f>
        <v>0.3236</v>
      </c>
      <c r="D35" s="5">
        <f>IFERROR(__xludf.DUMMYFUNCTION("FILTER(SemEval_2025_T2!$G$3:$G$100, 
  REGEXMATCH(SemEval_2025_T2!$A$3:$A$100, ""(?i)"" &amp; $D$21 &amp;""_"" &amp; $A35)
)"),0.2978)</f>
        <v>0.2978</v>
      </c>
      <c r="E35" s="5">
        <f>IFERROR(__xludf.DUMMYFUNCTION("FILTER(SemEval_2025_T2!$H$3:$H$100, 
  REGEXMATCH(SemEval_2025_T2!$A$3:$A$100, ""(?i)"" &amp; $D$21 &amp;""_"" &amp; $A35)
)"),0.211399999999999)</f>
        <v>0.2114</v>
      </c>
      <c r="F35" s="5">
        <f>IFERROR(__xludf.DUMMYFUNCTION("FILTER(SemEval_2025_T2!$G$3:$G$100, 
  REGEXMATCH(SemEval_2025_T2!$A$3:$A$100, ""(?i)"" &amp; $F$21 &amp;""_"" &amp; $A35)
)"),0.2526)</f>
        <v>0.2526</v>
      </c>
      <c r="G35" s="5">
        <f>IFERROR(__xludf.DUMMYFUNCTION("FILTER(SemEval_2025_T2!$H$3:$H$100, 
  REGEXMATCH(SemEval_2025_T2!$A$3:$A$100, ""(?i)"" &amp; $F$21 &amp;""_"" &amp; $A35)
)"),0.163)</f>
        <v>0.163</v>
      </c>
      <c r="H35" s="5">
        <f>IFERROR(__xludf.DUMMYFUNCTION("FILTER(SemEval_2025_T2!$G$3:$G$100, 
  REGEXMATCH(SemEval_2025_T2!$A$3:$A$100, ""(?i)"" &amp; $H$21 &amp;""_"" &amp; $A35)
)"),0.1008)</f>
        <v>0.1008</v>
      </c>
      <c r="I35" s="5">
        <f>IFERROR(__xludf.DUMMYFUNCTION("FILTER(SemEval_2025_T2!$H$3:$H$100, 
  REGEXMATCH(SemEval_2025_T2!$A$3:$A$100, ""(?i)"" &amp; $H$21 &amp;""_"" &amp; $A35)
)"),0.034)</f>
        <v>0.034</v>
      </c>
      <c r="J35" s="19"/>
      <c r="K35" s="19"/>
      <c r="L35" s="19"/>
    </row>
    <row r="36">
      <c r="A36" s="12" t="s">
        <v>28</v>
      </c>
      <c r="B36" s="13">
        <f t="shared" ref="B36:I36" si="21">B22-B35</f>
        <v>-0.0234</v>
      </c>
      <c r="C36" s="13">
        <f t="shared" si="21"/>
        <v>-0.0412</v>
      </c>
      <c r="D36" s="13">
        <f t="shared" si="21"/>
        <v>0.1026</v>
      </c>
      <c r="E36" s="13">
        <f t="shared" si="21"/>
        <v>0.0526</v>
      </c>
      <c r="F36" s="13">
        <f t="shared" si="21"/>
        <v>0.0956</v>
      </c>
      <c r="G36" s="13">
        <f t="shared" si="21"/>
        <v>0.0498</v>
      </c>
      <c r="H36" s="13">
        <f t="shared" si="21"/>
        <v>0.0784</v>
      </c>
      <c r="I36" s="13">
        <f t="shared" si="21"/>
        <v>0.0862</v>
      </c>
      <c r="J36" s="14">
        <f t="shared" ref="J36:K36" si="22">AVERAGE(B36,D36,F36,H36)</f>
        <v>0.0633</v>
      </c>
      <c r="K36" s="14">
        <f t="shared" si="22"/>
        <v>0.03685</v>
      </c>
      <c r="L36" s="14">
        <f>AVERAGE(J36,K36)</f>
        <v>0.050075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B37" s="14">
        <f t="shared" ref="B37:I37" si="23">AVERAGE(B24,B26,B28,B30,B32,B34,B36)</f>
        <v>-0.03148571429</v>
      </c>
      <c r="C37" s="14">
        <f t="shared" si="23"/>
        <v>-0.0302</v>
      </c>
      <c r="D37" s="14">
        <f t="shared" si="23"/>
        <v>0.05222857143</v>
      </c>
      <c r="E37" s="14">
        <f t="shared" si="23"/>
        <v>0.0136</v>
      </c>
      <c r="F37" s="14">
        <f t="shared" si="23"/>
        <v>0.04914285714</v>
      </c>
      <c r="G37" s="14">
        <f t="shared" si="23"/>
        <v>0.03322857143</v>
      </c>
      <c r="H37" s="14">
        <f t="shared" si="23"/>
        <v>0.05314285714</v>
      </c>
      <c r="I37" s="14">
        <f t="shared" si="23"/>
        <v>0.0606</v>
      </c>
    </row>
    <row r="38">
      <c r="B38" s="14">
        <f>AVERAGE(B37,C37)</f>
        <v>-0.03084285714</v>
      </c>
      <c r="C38" s="19"/>
      <c r="D38" s="14">
        <f>AVERAGE(D37,E37)</f>
        <v>0.03291428571</v>
      </c>
      <c r="E38" s="19"/>
      <c r="F38" s="14">
        <f>AVERAGE(F37,G37)</f>
        <v>0.04118571429</v>
      </c>
      <c r="G38" s="19"/>
      <c r="H38" s="14">
        <f>AVERAGE(H37,I37)</f>
        <v>0.05687142857</v>
      </c>
      <c r="I38" s="19"/>
    </row>
    <row r="40">
      <c r="A40" s="1" t="s">
        <v>36</v>
      </c>
      <c r="B40" s="4" t="s">
        <v>4</v>
      </c>
      <c r="D40" s="1" t="s">
        <v>5</v>
      </c>
      <c r="E40" s="1"/>
      <c r="F40" s="1" t="s">
        <v>6</v>
      </c>
      <c r="G40" s="1"/>
      <c r="H40" s="4" t="s">
        <v>7</v>
      </c>
      <c r="I40" s="1"/>
    </row>
    <row r="41">
      <c r="A41" s="4" t="s">
        <v>9</v>
      </c>
      <c r="B41" s="5">
        <f>IFERROR(__xludf.DUMMYFUNCTION("FILTER(SemEval_2025_T2!$E$3:$E$100, 
  REGEXMATCH(SemEval_2025_T2!$A$3:$A$100, ""(?i)"" &amp; $B$21 &amp;""_"" &amp; $A41)
)"),0.5206)</f>
        <v>0.5206</v>
      </c>
      <c r="C41" s="5">
        <f>IFERROR(__xludf.DUMMYFUNCTION("FILTER(SemEval_2025_T2!$F$3:$F$100, 
  REGEXMATCH(SemEval_2025_T2!$A$3:$A$100, ""(?i)"" &amp; $B$21 &amp;""_"" &amp; $A41)
)"),0.3216)</f>
        <v>0.3216</v>
      </c>
      <c r="D41" s="5">
        <f>IFERROR(__xludf.DUMMYFUNCTION("FILTER(SemEval_2025_T2!$E$3:$E$100, 
  REGEXMATCH(SemEval_2025_T2!$A$3:$A$100, ""(?i)"" &amp; $D$21 &amp;""_"" &amp; $A41)
)"),0.289799999999999)</f>
        <v>0.2898</v>
      </c>
      <c r="E41" s="5">
        <f>IFERROR(__xludf.DUMMYFUNCTION("FILTER(SemEval_2025_T2!$F$3:$F$100, 
  REGEXMATCH(SemEval_2025_T2!$A$3:$A$100, ""(?i)"" &amp; $D$21 &amp;""_"" &amp; $A41)
)"),0.287799999999999)</f>
        <v>0.2878</v>
      </c>
      <c r="F41" s="5">
        <f>IFERROR(__xludf.DUMMYFUNCTION("FILTER(SemEval_2025_T2!$E$3:$E$100, 
  REGEXMATCH(SemEval_2025_T2!$A$3:$A$100, ""(?i)"" &amp; $F$21 &amp;""_"" &amp; $A41)
)"),0.363199999999999)</f>
        <v>0.3632</v>
      </c>
      <c r="G41" s="5">
        <f>IFERROR(__xludf.DUMMYFUNCTION("FILTER(SemEval_2025_T2!$F$3:$F$100, 
  REGEXMATCH(SemEval_2025_T2!$A$3:$A$100, ""(?i)"" &amp; $F$21 &amp;""_"" &amp; $A41)
)"),0.1464)</f>
        <v>0.1464</v>
      </c>
      <c r="H41" s="5">
        <f>IFERROR(__xludf.DUMMYFUNCTION("FILTER(SemEval_2025_T2!$E$3:$E$100, 
  REGEXMATCH(SemEval_2025_T2!$A$3:$A$100, ""(?i)"" &amp; $H$21 &amp;""_"" &amp; $A41)
)"),0.195)</f>
        <v>0.195</v>
      </c>
      <c r="I41" s="5">
        <f>IFERROR(__xludf.DUMMYFUNCTION("FILTER(SemEval_2025_T2!$F$3:$F$100, 
  REGEXMATCH(SemEval_2025_T2!$A$3:$A$100, ""(?i)"" &amp; $H$21 &amp;""_"" &amp; $A41)
)"),0.1172)</f>
        <v>0.1172</v>
      </c>
    </row>
    <row r="42">
      <c r="A42" s="4" t="s">
        <v>11</v>
      </c>
      <c r="B42" s="5">
        <f>IFERROR(__xludf.DUMMYFUNCTION("FILTER(SemEval_2025_T2!$E$3:$E$100, 
  REGEXMATCH(SemEval_2025_T2!$A$3:$A$100, ""(?i)"" &amp; $B$21 &amp;""_"" &amp; $A42)
)"),0.4858)</f>
        <v>0.4858</v>
      </c>
      <c r="C42" s="5">
        <f>IFERROR(__xludf.DUMMYFUNCTION("FILTER(SemEval_2025_T2!$F$3:$F$100, 
  REGEXMATCH(SemEval_2025_T2!$A$3:$A$100, ""(?i)"" &amp; $B$21 &amp;""_"" &amp; $A42)
)"),0.301799999999999)</f>
        <v>0.3018</v>
      </c>
      <c r="D42" s="5">
        <f>IFERROR(__xludf.DUMMYFUNCTION("FILTER(SemEval_2025_T2!$E$3:$E$100, 
  REGEXMATCH(SemEval_2025_T2!$A$3:$A$100, ""(?i)"" &amp; $D$21 &amp;""_"" &amp; $A42)
)"),0.4278)</f>
        <v>0.4278</v>
      </c>
      <c r="E42" s="5">
        <f>IFERROR(__xludf.DUMMYFUNCTION("FILTER(SemEval_2025_T2!$F$3:$F$100, 
  REGEXMATCH(SemEval_2025_T2!$A$3:$A$100, ""(?i)"" &amp; $D$21 &amp;""_"" &amp; $A42)
)"),0.324199999999999)</f>
        <v>0.3242</v>
      </c>
      <c r="F42" s="5">
        <f>IFERROR(__xludf.DUMMYFUNCTION("FILTER(SemEval_2025_T2!$E$3:$E$100, 
  REGEXMATCH(SemEval_2025_T2!$A$3:$A$100, ""(?i)"" &amp; $F$21 &amp;""_"" &amp; $A42)
)"),0.3398)</f>
        <v>0.3398</v>
      </c>
      <c r="G42" s="5">
        <f>IFERROR(__xludf.DUMMYFUNCTION("FILTER(SemEval_2025_T2!$F$3:$F$100, 
  REGEXMATCH(SemEval_2025_T2!$A$3:$A$100, ""(?i)"" &amp; $F$21 &amp;""_"" &amp; $A42)
)"),0.1402)</f>
        <v>0.1402</v>
      </c>
      <c r="H42" s="5">
        <f>IFERROR(__xludf.DUMMYFUNCTION("FILTER(SemEval_2025_T2!$E$3:$E$100, 
  REGEXMATCH(SemEval_2025_T2!$A$3:$A$100, ""(?i)"" &amp; $H$21 &amp;""_"" &amp; $A42)
)"),0.177)</f>
        <v>0.177</v>
      </c>
      <c r="I42" s="5">
        <f>IFERROR(__xludf.DUMMYFUNCTION("FILTER(SemEval_2025_T2!$F$3:$F$100, 
  REGEXMATCH(SemEval_2025_T2!$A$3:$A$100, ""(?i)"" &amp; $H$21 &amp;""_"" &amp; $A42)
)"),0.08)</f>
        <v>0.08</v>
      </c>
    </row>
    <row r="43">
      <c r="A43" s="12" t="s">
        <v>13</v>
      </c>
      <c r="B43" s="5">
        <f t="shared" ref="B43:I43" si="24">B41-B42</f>
        <v>0.0348</v>
      </c>
      <c r="C43" s="5">
        <f t="shared" si="24"/>
        <v>0.0198</v>
      </c>
      <c r="D43" s="5">
        <f t="shared" si="24"/>
        <v>-0.138</v>
      </c>
      <c r="E43" s="5">
        <f t="shared" si="24"/>
        <v>-0.0364</v>
      </c>
      <c r="F43" s="5">
        <f t="shared" si="24"/>
        <v>0.0234</v>
      </c>
      <c r="G43" s="5">
        <f t="shared" si="24"/>
        <v>0.0062</v>
      </c>
      <c r="H43" s="5">
        <f t="shared" si="24"/>
        <v>0.018</v>
      </c>
      <c r="I43" s="5">
        <f t="shared" si="24"/>
        <v>0.0372</v>
      </c>
      <c r="J43" s="14">
        <f t="shared" ref="J43:K43" si="25">AVERAGE(B43,D43,F43,H43)</f>
        <v>-0.01545</v>
      </c>
      <c r="K43" s="14">
        <f t="shared" si="25"/>
        <v>0.0067</v>
      </c>
      <c r="L43" s="14">
        <f>AVERAGE(J43,K43)</f>
        <v>-0.004375</v>
      </c>
    </row>
    <row r="44">
      <c r="A44" s="4" t="s">
        <v>30</v>
      </c>
      <c r="B44" s="5">
        <f>IFERROR(__xludf.DUMMYFUNCTION("FILTER(SemEval_2025_T2!$E$3:$E$100, 
  REGEXMATCH(SemEval_2025_T2!$A$3:$A$100, ""(?i)"" &amp; $B$21 &amp;""_"" &amp; $A44)
)"),0.4516)</f>
        <v>0.4516</v>
      </c>
      <c r="C44" s="5">
        <f>IFERROR(__xludf.DUMMYFUNCTION("FILTER(SemEval_2025_T2!$F$3:$F$100, 
  REGEXMATCH(SemEval_2025_T2!$A$3:$A$100, ""(?i)"" &amp; $B$21 &amp;""_"" &amp; $A44)
)"),0.2602)</f>
        <v>0.2602</v>
      </c>
      <c r="D44" s="5">
        <f>IFERROR(__xludf.DUMMYFUNCTION("FILTER(SemEval_2025_T2!$E$3:$E$100, 
  REGEXMATCH(SemEval_2025_T2!$A$3:$A$100, ""(?i)"" &amp; $D$21 &amp;""_"" &amp; $A44)
)"),0.378599999999999)</f>
        <v>0.3786</v>
      </c>
      <c r="E44" s="5">
        <f>IFERROR(__xludf.DUMMYFUNCTION("FILTER(SemEval_2025_T2!$F$3:$F$100, 
  REGEXMATCH(SemEval_2025_T2!$A$3:$A$100, ""(?i)"" &amp; $D$21 &amp;""_"" &amp; $A44)
)"),0.217399999999999)</f>
        <v>0.2174</v>
      </c>
      <c r="F44" s="5">
        <f>IFERROR(__xludf.DUMMYFUNCTION("FILTER(SemEval_2025_T2!$E$3:$E$100, 
  REGEXMATCH(SemEval_2025_T2!$A$3:$A$100, ""(?i)"" &amp; $F$21 &amp;""_"" &amp; $A44)
)"),0.3014)</f>
        <v>0.3014</v>
      </c>
      <c r="G44" s="5">
        <f>IFERROR(__xludf.DUMMYFUNCTION("FILTER(SemEval_2025_T2!$F$3:$F$100, 
  REGEXMATCH(SemEval_2025_T2!$A$3:$A$100, ""(?i)"" &amp; $F$21 &amp;""_"" &amp; $A44)
)"),0.1844)</f>
        <v>0.1844</v>
      </c>
      <c r="H44" s="5">
        <f>IFERROR(__xludf.DUMMYFUNCTION("FILTER(SemEval_2025_T2!$E$3:$E$100, 
  REGEXMATCH(SemEval_2025_T2!$A$3:$A$100, ""(?i)"" &amp; $H$21 &amp;""_"" &amp; $A44)
)"),0.1542)</f>
        <v>0.1542</v>
      </c>
      <c r="I44" s="5">
        <f>IFERROR(__xludf.DUMMYFUNCTION("FILTER(SemEval_2025_T2!$F$3:$F$100, 
  REGEXMATCH(SemEval_2025_T2!$A$3:$A$100, ""(?i)"" &amp; $H$21 &amp;""_"" &amp; $A44)
)"),0.0616)</f>
        <v>0.0616</v>
      </c>
      <c r="J44" s="19"/>
      <c r="K44" s="19"/>
      <c r="L44" s="19"/>
    </row>
    <row r="45">
      <c r="A45" s="12" t="s">
        <v>17</v>
      </c>
      <c r="B45" s="5">
        <f t="shared" ref="B45:I45" si="26">B41-B44</f>
        <v>0.069</v>
      </c>
      <c r="C45" s="5">
        <f t="shared" si="26"/>
        <v>0.0614</v>
      </c>
      <c r="D45" s="5">
        <f t="shared" si="26"/>
        <v>-0.0888</v>
      </c>
      <c r="E45" s="5">
        <f t="shared" si="26"/>
        <v>0.0704</v>
      </c>
      <c r="F45" s="5">
        <f t="shared" si="26"/>
        <v>0.0618</v>
      </c>
      <c r="G45" s="5">
        <f t="shared" si="26"/>
        <v>-0.038</v>
      </c>
      <c r="H45" s="5">
        <f t="shared" si="26"/>
        <v>0.0408</v>
      </c>
      <c r="I45" s="5">
        <f t="shared" si="26"/>
        <v>0.0556</v>
      </c>
      <c r="J45" s="14">
        <f t="shared" ref="J45:K45" si="27">AVERAGE(B45,D45,F45,H45)</f>
        <v>0.0207</v>
      </c>
      <c r="K45" s="14">
        <f t="shared" si="27"/>
        <v>0.03735</v>
      </c>
      <c r="L45" s="14">
        <f>AVERAGE(J45,K45)</f>
        <v>0.029025</v>
      </c>
    </row>
    <row r="46">
      <c r="A46" s="4" t="s">
        <v>31</v>
      </c>
      <c r="B46" s="5">
        <f>IFERROR(__xludf.DUMMYFUNCTION("FILTER(SemEval_2025_T2!$E$3:$E$100, 
  REGEXMATCH(SemEval_2025_T2!$A$3:$A$100, ""(?i)"" &amp; $B$21 &amp;""_"" &amp; $A46)
)"),0.469)</f>
        <v>0.469</v>
      </c>
      <c r="C46" s="5">
        <f>IFERROR(__xludf.DUMMYFUNCTION("FILTER(SemEval_2025_T2!$F$3:$F$100, 
  REGEXMATCH(SemEval_2025_T2!$A$3:$A$100, ""(?i)"" &amp; $B$21 &amp;""_"" &amp; $A46)
)"),0.265399999999999)</f>
        <v>0.2654</v>
      </c>
      <c r="D46" s="5">
        <f>IFERROR(__xludf.DUMMYFUNCTION("FILTER(SemEval_2025_T2!$E$3:$E$100, 
  REGEXMATCH(SemEval_2025_T2!$A$3:$A$100, ""(?i)"" &amp; $D$21 &amp;""_"" &amp; $A46)
)"),0.342199999999999)</f>
        <v>0.3422</v>
      </c>
      <c r="E46" s="5">
        <f>IFERROR(__xludf.DUMMYFUNCTION("FILTER(SemEval_2025_T2!$F$3:$F$100, 
  REGEXMATCH(SemEval_2025_T2!$A$3:$A$100, ""(?i)"" &amp; $D$21 &amp;""_"" &amp; $A46)
)"),0.180399999999999)</f>
        <v>0.1804</v>
      </c>
      <c r="F46" s="5">
        <f>IFERROR(__xludf.DUMMYFUNCTION("FILTER(SemEval_2025_T2!$E$3:$E$100, 
  REGEXMATCH(SemEval_2025_T2!$A$3:$A$100, ""(?i)"" &amp; $F$21 &amp;""_"" &amp; $A46)
)"),0.2952)</f>
        <v>0.2952</v>
      </c>
      <c r="G46" s="5">
        <f>IFERROR(__xludf.DUMMYFUNCTION("FILTER(SemEval_2025_T2!$F$3:$F$100, 
  REGEXMATCH(SemEval_2025_T2!$A$3:$A$100, ""(?i)"" &amp; $F$21 &amp;""_"" &amp; $A46)
)"),0.1818)</f>
        <v>0.1818</v>
      </c>
      <c r="H46" s="5">
        <f>IFERROR(__xludf.DUMMYFUNCTION("FILTER(SemEval_2025_T2!$E$3:$E$100, 
  REGEXMATCH(SemEval_2025_T2!$A$3:$A$100, ""(?i)"" &amp; $H$21 &amp;""_"" &amp; $A46)
)"),0.1582)</f>
        <v>0.1582</v>
      </c>
      <c r="I46" s="5">
        <f>IFERROR(__xludf.DUMMYFUNCTION("FILTER(SemEval_2025_T2!$F$3:$F$100, 
  REGEXMATCH(SemEval_2025_T2!$A$3:$A$100, ""(?i)"" &amp; $H$21 &amp;""_"" &amp; $A46)
)"),0.0654)</f>
        <v>0.0654</v>
      </c>
      <c r="J46" s="19"/>
      <c r="K46" s="19"/>
      <c r="L46" s="19"/>
    </row>
    <row r="47">
      <c r="A47" s="12" t="s">
        <v>19</v>
      </c>
      <c r="B47" s="5">
        <f t="shared" ref="B47:I47" si="28">B41-B46</f>
        <v>0.0516</v>
      </c>
      <c r="C47" s="5">
        <f t="shared" si="28"/>
        <v>0.0562</v>
      </c>
      <c r="D47" s="5">
        <f t="shared" si="28"/>
        <v>-0.0524</v>
      </c>
      <c r="E47" s="5">
        <f t="shared" si="28"/>
        <v>0.1074</v>
      </c>
      <c r="F47" s="5">
        <f t="shared" si="28"/>
        <v>0.068</v>
      </c>
      <c r="G47" s="5">
        <f t="shared" si="28"/>
        <v>-0.0354</v>
      </c>
      <c r="H47" s="5">
        <f t="shared" si="28"/>
        <v>0.0368</v>
      </c>
      <c r="I47" s="5">
        <f t="shared" si="28"/>
        <v>0.0518</v>
      </c>
      <c r="J47" s="14">
        <f t="shared" ref="J47:K47" si="29">AVERAGE(B47,D47,F47,H47)</f>
        <v>0.026</v>
      </c>
      <c r="K47" s="14">
        <f t="shared" si="29"/>
        <v>0.045</v>
      </c>
      <c r="L47" s="14">
        <f>AVERAGE(J47,K47)</f>
        <v>0.0355</v>
      </c>
    </row>
    <row r="48">
      <c r="A48" s="4" t="s">
        <v>32</v>
      </c>
      <c r="B48" s="5">
        <f>IFERROR(__xludf.DUMMYFUNCTION("FILTER(SemEval_2025_T2!$E$3:$E$100, 
  REGEXMATCH(SemEval_2025_T2!$A$3:$A$100, ""(?i)"" &amp; $B$21 &amp;""_"" &amp; $A48), NOT(REGEXMATCH(SemEval_2025_T2!$A$3:$A$100, ""(?i)complete""))
)"),0.4682)</f>
        <v>0.4682</v>
      </c>
      <c r="C48" s="5">
        <f>IFERROR(__xludf.DUMMYFUNCTION("FILTER(SemEval_2025_T2!$F$3:$F$100, 
  REGEXMATCH(SemEval_2025_T2!$A$3:$A$100, ""(?i)"" &amp; $B$21 &amp;""_"" &amp; $A48), NOT(REGEXMATCH(SemEval_2025_T2!$A$3:$A$100, ""(?i)complete""))
)"),0.285599999999999)</f>
        <v>0.2856</v>
      </c>
      <c r="D48" s="5">
        <f>IFERROR(__xludf.DUMMYFUNCTION("FILTER(SemEval_2025_T2!$E$3:$E$100, 
  REGEXMATCH(SemEval_2025_T2!$A$3:$A$100, ""(?i)"" &amp; $D$21 &amp;""_"" &amp; $A48), NOT(REGEXMATCH(SemEval_2025_T2!$A$3:$A$100, ""(?i)complete""))
)"),0.3714)</f>
        <v>0.3714</v>
      </c>
      <c r="E48" s="5">
        <f>IFERROR(__xludf.DUMMYFUNCTION("FILTER(SemEval_2025_T2!$F$3:$F$100, 
  REGEXMATCH(SemEval_2025_T2!$A$3:$A$100, ""(?i)"" &amp; $D$21 &amp;""_"" &amp; $A48), NOT(REGEXMATCH(SemEval_2025_T2!$A$3:$A$100, ""(?i)complete""))
)"),0.204599999999999)</f>
        <v>0.2046</v>
      </c>
      <c r="F48" s="5">
        <f>IFERROR(__xludf.DUMMYFUNCTION("FILTER(SemEval_2025_T2!$E$3:$E$100, 
  REGEXMATCH(SemEval_2025_T2!$A$3:$A$100, ""(?i)"" &amp; $F$21 &amp;""_"" &amp; $A48), NOT(REGEXMATCH(SemEval_2025_T2!$A$3:$A$100, ""(?i)complete""))
)"),0.2814)</f>
        <v>0.2814</v>
      </c>
      <c r="G48" s="5">
        <f>IFERROR(__xludf.DUMMYFUNCTION("FILTER(SemEval_2025_T2!$F$3:$F$100, 
  REGEXMATCH(SemEval_2025_T2!$A$3:$A$100, ""(?i)"" &amp; $F$21 &amp;""_"" &amp; $A48), NOT(REGEXMATCH(SemEval_2025_T2!$A$3:$A$100, ""(?i)complete""))
)"),0.1774)</f>
        <v>0.1774</v>
      </c>
      <c r="H48" s="5">
        <f>IFERROR(__xludf.DUMMYFUNCTION("FILTER(SemEval_2025_T2!$E$3:$E$100, 
  REGEXMATCH(SemEval_2025_T2!$A$3:$A$100, ""(?i)"" &amp; $H$21 &amp;""_"" &amp; $A48), NOT(REGEXMATCH(SemEval_2025_T2!$A$3:$A$100, ""(?i)complete""))
)"),0.1878)</f>
        <v>0.1878</v>
      </c>
      <c r="I48" s="5">
        <f>IFERROR(__xludf.DUMMYFUNCTION("FILTER(SemEval_2025_T2!$F$3:$F$100, 
  REGEXMATCH(SemEval_2025_T2!$A$3:$A$100, ""(?i)"" &amp; $H$21 &amp;""_"" &amp; $A48), NOT(REGEXMATCH(SemEval_2025_T2!$A$3:$A$100, ""(?i)complete""))
)"),0.0782)</f>
        <v>0.0782</v>
      </c>
      <c r="J48" s="19"/>
      <c r="K48" s="19"/>
      <c r="L48" s="19"/>
    </row>
    <row r="49">
      <c r="A49" s="12" t="s">
        <v>21</v>
      </c>
      <c r="B49" s="5">
        <f t="shared" ref="B49:I49" si="30">B41-B48</f>
        <v>0.0524</v>
      </c>
      <c r="C49" s="5">
        <f t="shared" si="30"/>
        <v>0.036</v>
      </c>
      <c r="D49" s="5">
        <f t="shared" si="30"/>
        <v>-0.0816</v>
      </c>
      <c r="E49" s="5">
        <f t="shared" si="30"/>
        <v>0.0832</v>
      </c>
      <c r="F49" s="5">
        <f t="shared" si="30"/>
        <v>0.0818</v>
      </c>
      <c r="G49" s="5">
        <f t="shared" si="30"/>
        <v>-0.031</v>
      </c>
      <c r="H49" s="5">
        <f t="shared" si="30"/>
        <v>0.0072</v>
      </c>
      <c r="I49" s="5">
        <f t="shared" si="30"/>
        <v>0.039</v>
      </c>
      <c r="J49" s="14">
        <f t="shared" ref="J49:K49" si="31">AVERAGE(B49,D49,F49,H49)</f>
        <v>0.01495</v>
      </c>
      <c r="K49" s="14">
        <f t="shared" si="31"/>
        <v>0.0318</v>
      </c>
      <c r="L49" s="14">
        <f>AVERAGE(J49,K49)</f>
        <v>0.023375</v>
      </c>
    </row>
    <row r="50">
      <c r="A50" s="4" t="s">
        <v>33</v>
      </c>
      <c r="B50" s="5">
        <f>IFERROR(__xludf.DUMMYFUNCTION("FILTER(SemEval_2025_T2!$E$3:$E$100, 
  REGEXMATCH(SemEval_2025_T2!$A$3:$A$100, ""(?i)"" &amp; $B$21 &amp;""_"" &amp; $A50), NOT(REGEXMATCH(SemEval_2025_T2!$A$3:$A$100, ""(?i)complete""))
)"),0.4574)</f>
        <v>0.4574</v>
      </c>
      <c r="C50" s="5">
        <f>IFERROR(__xludf.DUMMYFUNCTION("FILTER(SemEval_2025_T2!$F$3:$F$100, 
  REGEXMATCH(SemEval_2025_T2!$A$3:$A$100, ""(?i)"" &amp; $B$21 &amp;""_"" &amp; $A50), NOT(REGEXMATCH(SemEval_2025_T2!$A$3:$A$100, ""(?i)complete""))
)"),0.267)</f>
        <v>0.267</v>
      </c>
      <c r="D50" s="5">
        <f>IFERROR(__xludf.DUMMYFUNCTION("FILTER(SemEval_2025_T2!$E$3:$E$100, 
  REGEXMATCH(SemEval_2025_T2!$A$3:$A$100, ""(?i)"" &amp; $D$21 &amp;""_"" &amp; $A50), NOT(REGEXMATCH(SemEval_2025_T2!$A$3:$A$100, ""(?i)complete""))
)"),0.3716)</f>
        <v>0.3716</v>
      </c>
      <c r="E50" s="5">
        <f>IFERROR(__xludf.DUMMYFUNCTION("FILTER(SemEval_2025_T2!$F$3:$F$100, 
  REGEXMATCH(SemEval_2025_T2!$A$3:$A$100, ""(?i)"" &amp; $D$21 &amp;""_"" &amp; $A50), NOT(REGEXMATCH(SemEval_2025_T2!$A$3:$A$100, ""(?i)complete""))
)"),0.2182)</f>
        <v>0.2182</v>
      </c>
      <c r="F50" s="5">
        <f>IFERROR(__xludf.DUMMYFUNCTION("FILTER(SemEval_2025_T2!$E$3:$E$100, 
  REGEXMATCH(SemEval_2025_T2!$A$3:$A$100, ""(?i)"" &amp; $F$21 &amp;""_"" &amp; $A50), NOT(REGEXMATCH(SemEval_2025_T2!$A$3:$A$100, ""(?i)complete""))
)"),0.2834)</f>
        <v>0.2834</v>
      </c>
      <c r="G50" s="5">
        <f>IFERROR(__xludf.DUMMYFUNCTION("FILTER(SemEval_2025_T2!$F$3:$F$100, 
  REGEXMATCH(SemEval_2025_T2!$A$3:$A$100, ""(?i)"" &amp; $F$21 &amp;""_"" &amp; $A50), NOT(REGEXMATCH(SemEval_2025_T2!$A$3:$A$100, ""(?i)complete""))
)"),0.1776)</f>
        <v>0.1776</v>
      </c>
      <c r="H50" s="5">
        <f>IFERROR(__xludf.DUMMYFUNCTION("FILTER(SemEval_2025_T2!$E$3:$E$100, 
  REGEXMATCH(SemEval_2025_T2!$A$3:$A$100, ""(?i)"" &amp; $H$21 &amp;""_"" &amp; $A50), NOT(REGEXMATCH(SemEval_2025_T2!$A$3:$A$100, ""(?i)complete""))
)"),0.175799999999999)</f>
        <v>0.1758</v>
      </c>
      <c r="I50" s="5">
        <f>IFERROR(__xludf.DUMMYFUNCTION("FILTER(SemEval_2025_T2!$F$3:$F$100, 
  REGEXMATCH(SemEval_2025_T2!$A$3:$A$100, ""(?i)"" &amp; $H$21 &amp;""_"" &amp; $A50), NOT(REGEXMATCH(SemEval_2025_T2!$A$3:$A$100, ""(?i)complete""))
)"),0.0826)</f>
        <v>0.0826</v>
      </c>
      <c r="J50" s="19"/>
      <c r="K50" s="19"/>
      <c r="L50" s="19"/>
    </row>
    <row r="51">
      <c r="A51" s="12" t="s">
        <v>24</v>
      </c>
      <c r="B51" s="5">
        <f t="shared" ref="B51:I51" si="32">B41-B50</f>
        <v>0.0632</v>
      </c>
      <c r="C51" s="5">
        <f t="shared" si="32"/>
        <v>0.0546</v>
      </c>
      <c r="D51" s="5">
        <f t="shared" si="32"/>
        <v>-0.0818</v>
      </c>
      <c r="E51" s="5">
        <f t="shared" si="32"/>
        <v>0.0696</v>
      </c>
      <c r="F51" s="5">
        <f t="shared" si="32"/>
        <v>0.0798</v>
      </c>
      <c r="G51" s="5">
        <f t="shared" si="32"/>
        <v>-0.0312</v>
      </c>
      <c r="H51" s="5">
        <f t="shared" si="32"/>
        <v>0.0192</v>
      </c>
      <c r="I51" s="5">
        <f t="shared" si="32"/>
        <v>0.0346</v>
      </c>
      <c r="J51" s="14">
        <f t="shared" ref="J51:K51" si="33">AVERAGE(B51,D51,F51,H51)</f>
        <v>0.0201</v>
      </c>
      <c r="K51" s="14">
        <f t="shared" si="33"/>
        <v>0.0319</v>
      </c>
      <c r="L51" s="14">
        <f>AVERAGE(J51,K51)</f>
        <v>0.026</v>
      </c>
    </row>
    <row r="52">
      <c r="A52" s="4" t="s">
        <v>34</v>
      </c>
      <c r="B52" s="5">
        <f>IFERROR(__xludf.DUMMYFUNCTION("FILTER(SemEval_2025_T2!$E$3:$E$100, 
  REGEXMATCH(SemEval_2025_T2!$A$3:$A$100, ""(?i)"" &amp; $B$21 &amp;""_"" &amp; $A52)
)"),0.453599999999999)</f>
        <v>0.4536</v>
      </c>
      <c r="C52" s="5">
        <f>IFERROR(__xludf.DUMMYFUNCTION("FILTER(SemEval_2025_T2!$F$3:$F$100, 
  REGEXMATCH(SemEval_2025_T2!$A$3:$A$100, ""(?i)"" &amp; $B$21 &amp;""_"" &amp; $A52)
)"),0.2698)</f>
        <v>0.2698</v>
      </c>
      <c r="D52" s="5">
        <f>IFERROR(__xludf.DUMMYFUNCTION("FILTER(SemEval_2025_T2!$E$3:$E$100, 
  REGEXMATCH(SemEval_2025_T2!$A$3:$A$100, ""(?i)"" &amp; $D$21 &amp;""_"" &amp; $A52)
)"),0.3854)</f>
        <v>0.3854</v>
      </c>
      <c r="E52" s="5">
        <f>IFERROR(__xludf.DUMMYFUNCTION("FILTER(SemEval_2025_T2!$F$3:$F$100, 
  REGEXMATCH(SemEval_2025_T2!$A$3:$A$100, ""(?i)"" &amp; $D$21 &amp;""_"" &amp; $A52)
)"),0.1814)</f>
        <v>0.1814</v>
      </c>
      <c r="F52" s="5">
        <f>IFERROR(__xludf.DUMMYFUNCTION("FILTER(SemEval_2025_T2!$E$3:$E$100, 
  REGEXMATCH(SemEval_2025_T2!$A$3:$A$100, ""(?i)"" &amp; $F$21 &amp;""_"" &amp; $A52)
)"),0.2652)</f>
        <v>0.2652</v>
      </c>
      <c r="G52" s="5">
        <f>IFERROR(__xludf.DUMMYFUNCTION("FILTER(SemEval_2025_T2!$F$3:$F$100, 
  REGEXMATCH(SemEval_2025_T2!$A$3:$A$100, ""(?i)"" &amp; $F$21 &amp;""_"" &amp; $A52)
)"),0.0809999999999999)</f>
        <v>0.081</v>
      </c>
      <c r="H52" s="5">
        <f>IFERROR(__xludf.DUMMYFUNCTION("FILTER(SemEval_2025_T2!$E$3:$E$100, 
  REGEXMATCH(SemEval_2025_T2!$A$3:$A$100, ""(?i)"" &amp; $H$21 &amp;""_"" &amp; $A52)
)"),0.089)</f>
        <v>0.089</v>
      </c>
      <c r="I52" s="5">
        <f>IFERROR(__xludf.DUMMYFUNCTION("FILTER(SemEval_2025_T2!$F$3:$F$100, 
  REGEXMATCH(SemEval_2025_T2!$A$3:$A$100, ""(?i)"" &amp; $H$21 &amp;""_"" &amp; $A52)
)"),0.0288)</f>
        <v>0.0288</v>
      </c>
      <c r="J52" s="19"/>
      <c r="K52" s="19"/>
      <c r="L52" s="19"/>
    </row>
    <row r="53">
      <c r="A53" s="12" t="s">
        <v>26</v>
      </c>
      <c r="B53" s="5">
        <f t="shared" ref="B53:I53" si="34">B41-B52</f>
        <v>0.067</v>
      </c>
      <c r="C53" s="5">
        <f t="shared" si="34"/>
        <v>0.0518</v>
      </c>
      <c r="D53" s="5">
        <f t="shared" si="34"/>
        <v>-0.0956</v>
      </c>
      <c r="E53" s="5">
        <f t="shared" si="34"/>
        <v>0.1064</v>
      </c>
      <c r="F53" s="5">
        <f t="shared" si="34"/>
        <v>0.098</v>
      </c>
      <c r="G53" s="5">
        <f t="shared" si="34"/>
        <v>0.0654</v>
      </c>
      <c r="H53" s="5">
        <f t="shared" si="34"/>
        <v>0.106</v>
      </c>
      <c r="I53" s="5">
        <f t="shared" si="34"/>
        <v>0.0884</v>
      </c>
      <c r="J53" s="14">
        <f t="shared" ref="J53:K53" si="35">AVERAGE(B53,D53,F53,H53)</f>
        <v>0.04385</v>
      </c>
      <c r="K53" s="14">
        <f t="shared" si="35"/>
        <v>0.078</v>
      </c>
      <c r="L53" s="14">
        <f>AVERAGE(J53,K53)</f>
        <v>0.060925</v>
      </c>
    </row>
    <row r="54">
      <c r="A54" s="4" t="s">
        <v>35</v>
      </c>
      <c r="B54" s="5">
        <f>IFERROR(__xludf.DUMMYFUNCTION("FILTER(SemEval_2025_T2!$E$3:$E$100, 
  REGEXMATCH(SemEval_2025_T2!$A$3:$A$100, ""(?i)"" &amp; $B$21 &amp;""_"" &amp; $A54)
)"),0.45)</f>
        <v>0.45</v>
      </c>
      <c r="C54" s="5">
        <f>IFERROR(__xludf.DUMMYFUNCTION("FILTER(SemEval_2025_T2!$F$3:$F$100, 
  REGEXMATCH(SemEval_2025_T2!$A$3:$A$100, ""(?i)"" &amp; $B$21 &amp;""_"" &amp; $A54)
)"),0.2692)</f>
        <v>0.2692</v>
      </c>
      <c r="D54" s="5">
        <f>IFERROR(__xludf.DUMMYFUNCTION("FILTER(SemEval_2025_T2!$E$3:$E$100, 
  REGEXMATCH(SemEval_2025_T2!$A$3:$A$100, ""(?i)"" &amp; $D$21 &amp;""_"" &amp; $A54)
)"),0.3804)</f>
        <v>0.3804</v>
      </c>
      <c r="E54" s="5">
        <f>IFERROR(__xludf.DUMMYFUNCTION("FILTER(SemEval_2025_T2!$F$3:$F$100, 
  REGEXMATCH(SemEval_2025_T2!$A$3:$A$100, ""(?i)"" &amp; $D$21 &amp;""_"" &amp; $A54)
)"),0.1926)</f>
        <v>0.1926</v>
      </c>
      <c r="F54" s="5">
        <f>IFERROR(__xludf.DUMMYFUNCTION("FILTER(SemEval_2025_T2!$E$3:$E$100, 
  REGEXMATCH(SemEval_2025_T2!$A$3:$A$100, ""(?i)"" &amp; $F$21 &amp;""_"" &amp; $A54)
)"),0.2804)</f>
        <v>0.2804</v>
      </c>
      <c r="G54" s="5">
        <f>IFERROR(__xludf.DUMMYFUNCTION("FILTER(SemEval_2025_T2!$F$3:$F$100, 
  REGEXMATCH(SemEval_2025_T2!$A$3:$A$100, ""(?i)"" &amp; $F$21 &amp;""_"" &amp; $A54)
)"),0.136)</f>
        <v>0.136</v>
      </c>
      <c r="H54" s="5">
        <f>IFERROR(__xludf.DUMMYFUNCTION("FILTER(SemEval_2025_T2!$E$3:$E$100, 
  REGEXMATCH(SemEval_2025_T2!$A$3:$A$100, ""(?i)"" &amp; $H$21 &amp;""_"" &amp; $A54)
)"),0.1236)</f>
        <v>0.1236</v>
      </c>
      <c r="I54" s="5">
        <f>IFERROR(__xludf.DUMMYFUNCTION("FILTER(SemEval_2025_T2!$F$3:$F$100, 
  REGEXMATCH(SemEval_2025_T2!$A$3:$A$100, ""(?i)"" &amp; $H$21 &amp;""_"" &amp; $A54)
)"),0.044)</f>
        <v>0.044</v>
      </c>
      <c r="J54" s="19"/>
      <c r="K54" s="19"/>
      <c r="L54" s="19"/>
    </row>
    <row r="55">
      <c r="A55" s="12" t="s">
        <v>28</v>
      </c>
      <c r="B55" s="5">
        <f t="shared" ref="B55:I55" si="36">B41-B54</f>
        <v>0.0706</v>
      </c>
      <c r="C55" s="5">
        <f t="shared" si="36"/>
        <v>0.0524</v>
      </c>
      <c r="D55" s="5">
        <f t="shared" si="36"/>
        <v>-0.0906</v>
      </c>
      <c r="E55" s="5">
        <f t="shared" si="36"/>
        <v>0.0952</v>
      </c>
      <c r="F55" s="5">
        <f t="shared" si="36"/>
        <v>0.0828</v>
      </c>
      <c r="G55" s="5">
        <f t="shared" si="36"/>
        <v>0.0104</v>
      </c>
      <c r="H55" s="5">
        <f t="shared" si="36"/>
        <v>0.0714</v>
      </c>
      <c r="I55" s="5">
        <f t="shared" si="36"/>
        <v>0.0732</v>
      </c>
      <c r="J55" s="14">
        <f t="shared" ref="J55:K55" si="37">AVERAGE(B55,D55,F55,H55)</f>
        <v>0.03355</v>
      </c>
      <c r="K55" s="14">
        <f t="shared" si="37"/>
        <v>0.0578</v>
      </c>
      <c r="L55" s="14">
        <f>AVERAGE(J55,K55)</f>
        <v>0.045675</v>
      </c>
    </row>
    <row r="56">
      <c r="B56" s="14">
        <f t="shared" ref="B56:I56" si="38">AVERAGE(B43,B45,B47,B49,B51,B53,B55)</f>
        <v>0.05837142857</v>
      </c>
      <c r="C56" s="14">
        <f t="shared" si="38"/>
        <v>0.04745714286</v>
      </c>
      <c r="D56" s="14">
        <f t="shared" si="38"/>
        <v>-0.08982857143</v>
      </c>
      <c r="E56" s="14">
        <f t="shared" si="38"/>
        <v>0.07082857143</v>
      </c>
      <c r="F56" s="14">
        <f t="shared" si="38"/>
        <v>0.0708</v>
      </c>
      <c r="G56" s="14">
        <f t="shared" si="38"/>
        <v>-0.007657142857</v>
      </c>
      <c r="H56" s="14">
        <f t="shared" si="38"/>
        <v>0.04277142857</v>
      </c>
      <c r="I56" s="14">
        <f t="shared" si="38"/>
        <v>0.05425714286</v>
      </c>
    </row>
    <row r="57">
      <c r="B57" s="14">
        <f>AVERAGE(B56,C56)</f>
        <v>0.05291428571</v>
      </c>
      <c r="C57" s="19"/>
      <c r="D57" s="14">
        <f>AVERAGE(D56,E56)</f>
        <v>-0.0095</v>
      </c>
      <c r="E57" s="19"/>
      <c r="F57" s="14">
        <f>AVERAGE(F56,G56)</f>
        <v>0.03157142857</v>
      </c>
      <c r="G57" s="19"/>
      <c r="H57" s="14">
        <f>AVERAGE(H56,I56)</f>
        <v>0.04851428571</v>
      </c>
      <c r="I57" s="19"/>
    </row>
    <row r="59">
      <c r="A59" s="1" t="s">
        <v>37</v>
      </c>
      <c r="B59" s="4" t="s">
        <v>4</v>
      </c>
      <c r="D59" s="1" t="s">
        <v>5</v>
      </c>
      <c r="E59" s="1"/>
      <c r="F59" s="1" t="s">
        <v>6</v>
      </c>
      <c r="G59" s="1"/>
      <c r="H59" s="4" t="s">
        <v>7</v>
      </c>
      <c r="I59" s="1"/>
    </row>
    <row r="60">
      <c r="A60" s="4" t="s">
        <v>9</v>
      </c>
      <c r="B60" s="5">
        <f>IFERROR(__xludf.DUMMYFUNCTION("FILTER(SemEval_2025_T2!$C$3:$C$100, 
  REGEXMATCH(SemEval_2025_T2!$A$3:$A$100, ""(?i)"" &amp; $B$21 &amp;""_"" &amp; $A60)
)"),0.4038)</f>
        <v>0.4038</v>
      </c>
      <c r="C60" s="5">
        <f>IFERROR(__xludf.DUMMYFUNCTION("FILTER(SemEval_2025_T2!$D$3:$D$100, 
  REGEXMATCH(SemEval_2025_T2!$A$3:$A$100, ""(?i)"" &amp; $B$21 &amp;""_"" &amp; $A60)
)"),0.2144)</f>
        <v>0.2144</v>
      </c>
      <c r="D60" s="5">
        <f>IFERROR(__xludf.DUMMYFUNCTION("FILTER(SemEval_2025_T2!$C$3:$C$100, 
  REGEXMATCH(SemEval_2025_T2!$A$3:$A$100, ""(?i)"" &amp; $D$21 &amp;""_"" &amp; $A60)
)"),0.285599999999999)</f>
        <v>0.2856</v>
      </c>
      <c r="E60" s="5">
        <f>IFERROR(__xludf.DUMMYFUNCTION("FILTER(SemEval_2025_T2!$D$3:$D$100, 
  REGEXMATCH(SemEval_2025_T2!$A$3:$A$100, ""(?i)"" &amp; $D$21 &amp;""_"" &amp; $A60)
)"),0.284199999999999)</f>
        <v>0.2842</v>
      </c>
      <c r="F60" s="5">
        <f>IFERROR(__xludf.DUMMYFUNCTION("FILTER(SemEval_2025_T2!$C$3:$C$100, 
  REGEXMATCH(SemEval_2025_T2!$A$3:$A$100, ""(?i)"" &amp; $F$21 &amp;""_"" &amp; $A60)
)"),0.2604)</f>
        <v>0.2604</v>
      </c>
      <c r="G60" s="5">
        <f>IFERROR(__xludf.DUMMYFUNCTION("FILTER(SemEval_2025_T2!$D$3:$D$100, 
  REGEXMATCH(SemEval_2025_T2!$A$3:$A$100, ""(?i)"" &amp; $F$21 &amp;""_"" &amp; $A60)
)"),0.1682)</f>
        <v>0.1682</v>
      </c>
      <c r="H60" s="5">
        <f>IFERROR(__xludf.DUMMYFUNCTION("FILTER(SemEval_2025_T2!$C$3:$C$100, 
  REGEXMATCH(SemEval_2025_T2!$A$3:$A$100, ""(?i)"" &amp; $H$21 &amp;""_"" &amp; $A60)
)"),0.1712)</f>
        <v>0.1712</v>
      </c>
      <c r="I60" s="5">
        <f>IFERROR(__xludf.DUMMYFUNCTION("FILTER(SemEval_2025_T2!$D$3:$D$100, 
  REGEXMATCH(SemEval_2025_T2!$A$3:$A$100, ""(?i)"" &amp; $H$21 &amp;""_"" &amp; $A60)
)"),0.1196)</f>
        <v>0.1196</v>
      </c>
    </row>
    <row r="61">
      <c r="A61" s="4" t="s">
        <v>11</v>
      </c>
      <c r="B61" s="5">
        <f>IFERROR(__xludf.DUMMYFUNCTION("FILTER(SemEval_2025_T2!$C$3:$C$100, 
  REGEXMATCH(SemEval_2025_T2!$A$3:$A$100, ""(?i)"" &amp; $B$21 &amp;""_"" &amp; $A61)
)"),0.3806)</f>
        <v>0.3806</v>
      </c>
      <c r="C61" s="5">
        <f>IFERROR(__xludf.DUMMYFUNCTION("FILTER(SemEval_2025_T2!$D$3:$D$100, 
  REGEXMATCH(SemEval_2025_T2!$A$3:$A$100, ""(?i)"" &amp; $B$21 &amp;""_"" &amp; $A61)
)"),0.2112)</f>
        <v>0.2112</v>
      </c>
      <c r="D61" s="5">
        <f>IFERROR(__xludf.DUMMYFUNCTION("FILTER(SemEval_2025_T2!$C$3:$C$100, 
  REGEXMATCH(SemEval_2025_T2!$A$3:$A$100, ""(?i)"" &amp; $D$21 &amp;""_"" &amp; $A61)
)"),0.291599999999999)</f>
        <v>0.2916</v>
      </c>
      <c r="E61" s="5">
        <f>IFERROR(__xludf.DUMMYFUNCTION("FILTER(SemEval_2025_T2!$D$3:$D$100, 
  REGEXMATCH(SemEval_2025_T2!$A$3:$A$100, ""(?i)"" &amp; $D$21 &amp;""_"" &amp; $A61)
)"),0.2844)</f>
        <v>0.2844</v>
      </c>
      <c r="F61" s="5">
        <f>IFERROR(__xludf.DUMMYFUNCTION("FILTER(SemEval_2025_T2!$C$3:$C$100, 
  REGEXMATCH(SemEval_2025_T2!$A$3:$A$100, ""(?i)"" &amp; $F$21 &amp;""_"" &amp; $A61)
)"),0.2748)</f>
        <v>0.2748</v>
      </c>
      <c r="G61" s="5">
        <f>IFERROR(__xludf.DUMMYFUNCTION("FILTER(SemEval_2025_T2!$D$3:$D$100, 
  REGEXMATCH(SemEval_2025_T2!$A$3:$A$100, ""(?i)"" &amp; $F$21 &amp;""_"" &amp; $A61)
)"),0.187199999999999)</f>
        <v>0.1872</v>
      </c>
      <c r="H61" s="5">
        <f>IFERROR(__xludf.DUMMYFUNCTION("FILTER(SemEval_2025_T2!$C$3:$C$100, 
  REGEXMATCH(SemEval_2025_T2!$A$3:$A$100, ""(?i)"" &amp; $H$21 &amp;""_"" &amp; $A61)
)"),0.1846)</f>
        <v>0.1846</v>
      </c>
      <c r="I61" s="5">
        <f>IFERROR(__xludf.DUMMYFUNCTION("FILTER(SemEval_2025_T2!$D$3:$D$100, 
  REGEXMATCH(SemEval_2025_T2!$A$3:$A$100, ""(?i)"" &amp; $H$21 &amp;""_"" &amp; $A61)
)"),0.1186)</f>
        <v>0.1186</v>
      </c>
    </row>
    <row r="62">
      <c r="A62" s="12" t="s">
        <v>13</v>
      </c>
      <c r="B62" s="5">
        <f t="shared" ref="B62:I62" si="39">B60-B61</f>
        <v>0.0232</v>
      </c>
      <c r="C62" s="5">
        <f t="shared" si="39"/>
        <v>0.0032</v>
      </c>
      <c r="D62" s="5">
        <f t="shared" si="39"/>
        <v>-0.006</v>
      </c>
      <c r="E62" s="5">
        <f t="shared" si="39"/>
        <v>-0.0002</v>
      </c>
      <c r="F62" s="5">
        <f t="shared" si="39"/>
        <v>-0.0144</v>
      </c>
      <c r="G62" s="5">
        <f t="shared" si="39"/>
        <v>-0.019</v>
      </c>
      <c r="H62" s="5">
        <f t="shared" si="39"/>
        <v>-0.0134</v>
      </c>
      <c r="I62" s="5">
        <f t="shared" si="39"/>
        <v>0.001</v>
      </c>
      <c r="J62" s="14">
        <f t="shared" ref="J62:K62" si="40">AVERAGE(B62,D62,F62,H62)</f>
        <v>-0.00265</v>
      </c>
      <c r="K62" s="14">
        <f t="shared" si="40"/>
        <v>-0.00375</v>
      </c>
      <c r="L62" s="14">
        <f>AVERAGE(J62,K62)</f>
        <v>-0.0032</v>
      </c>
    </row>
    <row r="63">
      <c r="A63" s="4" t="s">
        <v>30</v>
      </c>
      <c r="B63" s="5">
        <f>IFERROR(__xludf.DUMMYFUNCTION("FILTER(SemEval_2025_T2!$C$3:$C$100, 
  REGEXMATCH(SemEval_2025_T2!$A$3:$A$100, ""(?i)"" &amp; $B$21 &amp;""_"" &amp; $A63)
)"),0.3578)</f>
        <v>0.3578</v>
      </c>
      <c r="C63" s="5">
        <f>IFERROR(__xludf.DUMMYFUNCTION("FILTER(SemEval_2025_T2!$D$3:$D$100, 
  REGEXMATCH(SemEval_2025_T2!$A$3:$A$100, ""(?i)"" &amp; $B$21 &amp;""_"" &amp; $A63)
)"),0.188)</f>
        <v>0.188</v>
      </c>
      <c r="D63" s="5">
        <f>IFERROR(__xludf.DUMMYFUNCTION("FILTER(SemEval_2025_T2!$C$3:$C$100, 
  REGEXMATCH(SemEval_2025_T2!$A$3:$A$100, ""(?i)"" &amp; $D$21 &amp;""_"" &amp; $A63)
)"),0.2704)</f>
        <v>0.2704</v>
      </c>
      <c r="E63" s="5">
        <f>IFERROR(__xludf.DUMMYFUNCTION("FILTER(SemEval_2025_T2!$D$3:$D$100, 
  REGEXMATCH(SemEval_2025_T2!$A$3:$A$100, ""(?i)"" &amp; $D$21 &amp;""_"" &amp; $A63)
)"),0.2434)</f>
        <v>0.2434</v>
      </c>
      <c r="F63" s="5">
        <f>IFERROR(__xludf.DUMMYFUNCTION("FILTER(SemEval_2025_T2!$C$3:$C$100, 
  REGEXMATCH(SemEval_2025_T2!$A$3:$A$100, ""(?i)"" &amp; $F$21 &amp;""_"" &amp; $A63)
)"),0.1898)</f>
        <v>0.1898</v>
      </c>
      <c r="G63" s="5">
        <f>IFERROR(__xludf.DUMMYFUNCTION("FILTER(SemEval_2025_T2!$D$3:$D$100, 
  REGEXMATCH(SemEval_2025_T2!$A$3:$A$100, ""(?i)"" &amp; $F$21 &amp;""_"" &amp; $A63)
)"),0.1254)</f>
        <v>0.1254</v>
      </c>
      <c r="H63" s="5">
        <f>IFERROR(__xludf.DUMMYFUNCTION("FILTER(SemEval_2025_T2!$C$3:$C$100, 
  REGEXMATCH(SemEval_2025_T2!$A$3:$A$100, ""(?i)"" &amp; $H$21 &amp;""_"" &amp; $A63)
)"),0.1968)</f>
        <v>0.1968</v>
      </c>
      <c r="I63" s="5">
        <f>IFERROR(__xludf.DUMMYFUNCTION("FILTER(SemEval_2025_T2!$D$3:$D$100, 
  REGEXMATCH(SemEval_2025_T2!$A$3:$A$100, ""(?i)"" &amp; $H$21 &amp;""_"" &amp; $A63)
)"),0.161199999999999)</f>
        <v>0.1612</v>
      </c>
      <c r="J63" s="19"/>
      <c r="K63" s="19"/>
      <c r="L63" s="19"/>
    </row>
    <row r="64">
      <c r="A64" s="12" t="s">
        <v>17</v>
      </c>
      <c r="B64" s="5">
        <f t="shared" ref="B64:I64" si="41">B60-B63</f>
        <v>0.046</v>
      </c>
      <c r="C64" s="5">
        <f t="shared" si="41"/>
        <v>0.0264</v>
      </c>
      <c r="D64" s="5">
        <f t="shared" si="41"/>
        <v>0.0152</v>
      </c>
      <c r="E64" s="5">
        <f t="shared" si="41"/>
        <v>0.0408</v>
      </c>
      <c r="F64" s="5">
        <f t="shared" si="41"/>
        <v>0.0706</v>
      </c>
      <c r="G64" s="5">
        <f t="shared" si="41"/>
        <v>0.0428</v>
      </c>
      <c r="H64" s="5">
        <f t="shared" si="41"/>
        <v>-0.0256</v>
      </c>
      <c r="I64" s="5">
        <f t="shared" si="41"/>
        <v>-0.0416</v>
      </c>
      <c r="J64" s="14">
        <f t="shared" ref="J64:K64" si="42">AVERAGE(B64,D64,F64,H64)</f>
        <v>0.02655</v>
      </c>
      <c r="K64" s="14">
        <f t="shared" si="42"/>
        <v>0.0171</v>
      </c>
      <c r="L64" s="14">
        <f>AVERAGE(J64,K64)</f>
        <v>0.021825</v>
      </c>
    </row>
    <row r="65">
      <c r="A65" s="4" t="s">
        <v>31</v>
      </c>
      <c r="B65" s="5">
        <f>IFERROR(__xludf.DUMMYFUNCTION("FILTER(SemEval_2025_T2!$C$3:$C$100, 
  REGEXMATCH(SemEval_2025_T2!$A$3:$A$100, ""(?i)"" &amp; $B$21 &amp;""_"" &amp; $A65)
)"),0.3814)</f>
        <v>0.3814</v>
      </c>
      <c r="C65" s="5">
        <f>IFERROR(__xludf.DUMMYFUNCTION("FILTER(SemEval_2025_T2!$D$3:$D$100, 
  REGEXMATCH(SemEval_2025_T2!$A$3:$A$100, ""(?i)"" &amp; $B$21 &amp;""_"" &amp; $A65)
)"),0.2058)</f>
        <v>0.2058</v>
      </c>
      <c r="D65" s="5">
        <f>IFERROR(__xludf.DUMMYFUNCTION("FILTER(SemEval_2025_T2!$C$3:$C$100, 
  REGEXMATCH(SemEval_2025_T2!$A$3:$A$100, ""(?i)"" &amp; $D$21 &amp;""_"" &amp; $A65)
)"),0.2782)</f>
        <v>0.2782</v>
      </c>
      <c r="E65" s="5">
        <f>IFERROR(__xludf.DUMMYFUNCTION("FILTER(SemEval_2025_T2!$D$3:$D$100, 
  REGEXMATCH(SemEval_2025_T2!$A$3:$A$100, ""(?i)"" &amp; $D$21 &amp;""_"" &amp; $A65)
)"),0.2544)</f>
        <v>0.2544</v>
      </c>
      <c r="F65" s="5">
        <f>IFERROR(__xludf.DUMMYFUNCTION("FILTER(SemEval_2025_T2!$C$3:$C$100, 
  REGEXMATCH(SemEval_2025_T2!$A$3:$A$100, ""(?i)"" &amp; $F$21 &amp;""_"" &amp; $A65)
)"),0.1596)</f>
        <v>0.1596</v>
      </c>
      <c r="G65" s="5">
        <f>IFERROR(__xludf.DUMMYFUNCTION("FILTER(SemEval_2025_T2!$D$3:$D$100, 
  REGEXMATCH(SemEval_2025_T2!$A$3:$A$100, ""(?i)"" &amp; $F$21 &amp;""_"" &amp; $A65)
)"),0.0998)</f>
        <v>0.0998</v>
      </c>
      <c r="H65" s="5">
        <f>IFERROR(__xludf.DUMMYFUNCTION("FILTER(SemEval_2025_T2!$C$3:$C$100, 
  REGEXMATCH(SemEval_2025_T2!$A$3:$A$100, ""(?i)"" &amp; $H$21 &amp;""_"" &amp; $A65)
)"),0.1936)</f>
        <v>0.1936</v>
      </c>
      <c r="I65" s="5">
        <f>IFERROR(__xludf.DUMMYFUNCTION("FILTER(SemEval_2025_T2!$D$3:$D$100, 
  REGEXMATCH(SemEval_2025_T2!$A$3:$A$100, ""(?i)"" &amp; $H$21 &amp;""_"" &amp; $A65)
)"),0.1488)</f>
        <v>0.1488</v>
      </c>
      <c r="J65" s="19"/>
      <c r="K65" s="19"/>
      <c r="L65" s="19"/>
    </row>
    <row r="66">
      <c r="A66" s="12" t="s">
        <v>19</v>
      </c>
      <c r="B66" s="5">
        <f t="shared" ref="B66:I66" si="43">B60-B65</f>
        <v>0.0224</v>
      </c>
      <c r="C66" s="5">
        <f t="shared" si="43"/>
        <v>0.0086</v>
      </c>
      <c r="D66" s="5">
        <f t="shared" si="43"/>
        <v>0.0074</v>
      </c>
      <c r="E66" s="5">
        <f t="shared" si="43"/>
        <v>0.0298</v>
      </c>
      <c r="F66" s="5">
        <f t="shared" si="43"/>
        <v>0.1008</v>
      </c>
      <c r="G66" s="5">
        <f t="shared" si="43"/>
        <v>0.0684</v>
      </c>
      <c r="H66" s="5">
        <f t="shared" si="43"/>
        <v>-0.0224</v>
      </c>
      <c r="I66" s="5">
        <f t="shared" si="43"/>
        <v>-0.0292</v>
      </c>
      <c r="J66" s="14">
        <f t="shared" ref="J66:K66" si="44">AVERAGE(B66,D66,F66,H66)</f>
        <v>0.02705</v>
      </c>
      <c r="K66" s="14">
        <f t="shared" si="44"/>
        <v>0.0194</v>
      </c>
      <c r="L66" s="14">
        <f>AVERAGE(J66,K66)</f>
        <v>0.023225</v>
      </c>
    </row>
    <row r="67">
      <c r="A67" s="4" t="s">
        <v>32</v>
      </c>
      <c r="B67" s="5"/>
      <c r="C67" s="5"/>
      <c r="D67" s="5">
        <f>IFERROR(__xludf.DUMMYFUNCTION("FILTER(SemEval_2025_T2!$C$3:$C$100, 
  REGEXMATCH(SemEval_2025_T2!$A$3:$A$100, ""(?i)"" &amp; $D$21 &amp;""_"" &amp; $A67), NOT(REGEXMATCH(SemEval_2025_T2!$A$3:$A$100, ""(?i)complete""))
)"),0.2542)</f>
        <v>0.2542</v>
      </c>
      <c r="E67" s="5">
        <f>IFERROR(__xludf.DUMMYFUNCTION("FILTER(SemEval_2025_T2!$D$3:$D$100, 
  REGEXMATCH(SemEval_2025_T2!$A$3:$A$100, ""(?i)"" &amp; $D$21 &amp;""_"" &amp; $A67), NOT(REGEXMATCH(SemEval_2025_T2!$A$3:$A$100, ""(?i)complete""))
)"),0.242)</f>
        <v>0.242</v>
      </c>
      <c r="F67" s="5">
        <f>IFERROR(__xludf.DUMMYFUNCTION("FILTER(SemEval_2025_T2!$C$3:$C$100, 
  REGEXMATCH(SemEval_2025_T2!$A$3:$A$100, ""(?i)"" &amp; $F$21 &amp;""_"" &amp; $A67), NOT(REGEXMATCH(SemEval_2025_T2!$A$3:$A$100, ""(?i)complete""))
)"),0.1898)</f>
        <v>0.1898</v>
      </c>
      <c r="G67" s="5">
        <f>IFERROR(__xludf.DUMMYFUNCTION("FILTER(SemEval_2025_T2!$D$3:$D$100, 
  REGEXMATCH(SemEval_2025_T2!$A$3:$A$100, ""(?i)"" &amp; $F$21 &amp;""_"" &amp; $A67), NOT(REGEXMATCH(SemEval_2025_T2!$A$3:$A$100, ""(?i)complete""))
)"),0.118799999999999)</f>
        <v>0.1188</v>
      </c>
      <c r="H67" s="5">
        <f>IFERROR(__xludf.DUMMYFUNCTION("FILTER(SemEval_2025_T2!$C$3:$C$100, 
  REGEXMATCH(SemEval_2025_T2!$A$3:$A$100, ""(?i)"" &amp; $H$21 &amp;""_"" &amp; $A67), NOT(REGEXMATCH(SemEval_2025_T2!$A$3:$A$100, ""(?i)complete""))
)"),0.1724)</f>
        <v>0.1724</v>
      </c>
      <c r="I67" s="5">
        <f>IFERROR(__xludf.DUMMYFUNCTION("FILTER(SemEval_2025_T2!$D$3:$D$100, 
  REGEXMATCH(SemEval_2025_T2!$A$3:$A$100, ""(?i)"" &amp; $H$21 &amp;""_"" &amp; $A67), NOT(REGEXMATCH(SemEval_2025_T2!$A$3:$A$100, ""(?i)complete""))
)"),0.1396)</f>
        <v>0.1396</v>
      </c>
      <c r="J67" s="19"/>
      <c r="K67" s="19"/>
      <c r="L67" s="19"/>
    </row>
    <row r="68">
      <c r="A68" s="12" t="s">
        <v>21</v>
      </c>
      <c r="B68" s="5"/>
      <c r="C68" s="5"/>
      <c r="D68" s="5">
        <f t="shared" ref="D68:I68" si="45">D60-D67</f>
        <v>0.0314</v>
      </c>
      <c r="E68" s="5">
        <f t="shared" si="45"/>
        <v>0.0422</v>
      </c>
      <c r="F68" s="5">
        <f t="shared" si="45"/>
        <v>0.0706</v>
      </c>
      <c r="G68" s="5">
        <f t="shared" si="45"/>
        <v>0.0494</v>
      </c>
      <c r="H68" s="5">
        <f t="shared" si="45"/>
        <v>-0.0012</v>
      </c>
      <c r="I68" s="5">
        <f t="shared" si="45"/>
        <v>-0.02</v>
      </c>
      <c r="J68" s="14">
        <f t="shared" ref="J68:K68" si="46">AVERAGE(B68,D68,F68,H68)</f>
        <v>0.0336</v>
      </c>
      <c r="K68" s="14">
        <f t="shared" si="46"/>
        <v>0.02386666667</v>
      </c>
      <c r="L68" s="14">
        <f>AVERAGE(J68,K68)</f>
        <v>0.02873333333</v>
      </c>
    </row>
    <row r="69">
      <c r="A69" s="4" t="s">
        <v>33</v>
      </c>
      <c r="B69" s="5">
        <f>IFERROR(__xludf.DUMMYFUNCTION("FILTER(SemEval_2025_T2!$C$3:$C$100, 
  REGEXMATCH(SemEval_2025_T2!$A$3:$A$100, ""(?i)"" &amp; $B$21 &amp;""_"" &amp; $A69), NOT(REGEXMATCH(SemEval_2025_T2!$A$3:$A$100, ""(?i)complete""))
)"),0.372)</f>
        <v>0.372</v>
      </c>
      <c r="C69" s="5">
        <f>IFERROR(__xludf.DUMMYFUNCTION("FILTER(SemEval_2025_T2!$D$3:$D$100, 
  REGEXMATCH(SemEval_2025_T2!$A$3:$A$100, ""(?i)"" &amp; $B$21 &amp;""_"" &amp; $A69), NOT(REGEXMATCH(SemEval_2025_T2!$A$3:$A$100, ""(?i)complete""))
)"),0.2172)</f>
        <v>0.2172</v>
      </c>
      <c r="D69" s="5">
        <f>IFERROR(__xludf.DUMMYFUNCTION("FILTER(SemEval_2025_T2!$C$3:$C$100, 
  REGEXMATCH(SemEval_2025_T2!$A$3:$A$100, ""(?i)"" &amp; $D$21 &amp;""_"" &amp; $A69), NOT(REGEXMATCH(SemEval_2025_T2!$A$3:$A$100, ""(?i)complete""))
)"),0.2652)</f>
        <v>0.2652</v>
      </c>
      <c r="E69" s="5">
        <f>IFERROR(__xludf.DUMMYFUNCTION("FILTER(SemEval_2025_T2!$D$3:$D$100, 
  REGEXMATCH(SemEval_2025_T2!$A$3:$A$100, ""(?i)"" &amp; $D$21 &amp;""_"" &amp; $A69), NOT(REGEXMATCH(SemEval_2025_T2!$A$3:$A$100, ""(?i)complete""))
)"),0.2544)</f>
        <v>0.2544</v>
      </c>
      <c r="F69" s="5">
        <f>IFERROR(__xludf.DUMMYFUNCTION("FILTER(SemEval_2025_T2!$C$3:$C$100, 
  REGEXMATCH(SemEval_2025_T2!$A$3:$A$100, ""(?i)"" &amp; $F$21 &amp;""_"" &amp; $A69), NOT(REGEXMATCH(SemEval_2025_T2!$A$3:$A$100, ""(?i)complete""))
)"),0.1788)</f>
        <v>0.1788</v>
      </c>
      <c r="G69" s="5">
        <f>IFERROR(__xludf.DUMMYFUNCTION("FILTER(SemEval_2025_T2!$D$3:$D$100, 
  REGEXMATCH(SemEval_2025_T2!$A$3:$A$100, ""(?i)"" &amp; $F$21 &amp;""_"" &amp; $A69), NOT(REGEXMATCH(SemEval_2025_T2!$A$3:$A$100, ""(?i)complete""))
)"),0.0958)</f>
        <v>0.0958</v>
      </c>
      <c r="H69" s="5">
        <f>IFERROR(__xludf.DUMMYFUNCTION("FILTER(SemEval_2025_T2!$C$3:$C$100, 
  REGEXMATCH(SemEval_2025_T2!$A$3:$A$100, ""(?i)"" &amp; $H$21 &amp;""_"" &amp; $A69), NOT(REGEXMATCH(SemEval_2025_T2!$A$3:$A$100, ""(?i)complete""))
)"),0.1888)</f>
        <v>0.1888</v>
      </c>
      <c r="I69" s="5">
        <f>IFERROR(__xludf.DUMMYFUNCTION("FILTER(SemEval_2025_T2!$D$3:$D$100, 
  REGEXMATCH(SemEval_2025_T2!$A$3:$A$100, ""(?i)"" &amp; $H$21 &amp;""_"" &amp; $A69), NOT(REGEXMATCH(SemEval_2025_T2!$A$3:$A$100, ""(?i)complete""))
)"),0.1394)</f>
        <v>0.1394</v>
      </c>
      <c r="J69" s="19"/>
      <c r="K69" s="19"/>
      <c r="L69" s="19"/>
    </row>
    <row r="70">
      <c r="A70" s="12" t="s">
        <v>24</v>
      </c>
      <c r="B70" s="5">
        <f t="shared" ref="B70:I70" si="47">B60-B69</f>
        <v>0.0318</v>
      </c>
      <c r="C70" s="5">
        <f t="shared" si="47"/>
        <v>-0.0028</v>
      </c>
      <c r="D70" s="5">
        <f t="shared" si="47"/>
        <v>0.0204</v>
      </c>
      <c r="E70" s="5">
        <f t="shared" si="47"/>
        <v>0.0298</v>
      </c>
      <c r="F70" s="5">
        <f t="shared" si="47"/>
        <v>0.0816</v>
      </c>
      <c r="G70" s="5">
        <f t="shared" si="47"/>
        <v>0.0724</v>
      </c>
      <c r="H70" s="5">
        <f t="shared" si="47"/>
        <v>-0.0176</v>
      </c>
      <c r="I70" s="5">
        <f t="shared" si="47"/>
        <v>-0.0198</v>
      </c>
      <c r="J70" s="14">
        <f t="shared" ref="J70:K70" si="48">AVERAGE(B70,D70,F70,H70)</f>
        <v>0.02905</v>
      </c>
      <c r="K70" s="14">
        <f t="shared" si="48"/>
        <v>0.0199</v>
      </c>
      <c r="L70" s="14">
        <f>AVERAGE(J70,K70)</f>
        <v>0.024475</v>
      </c>
    </row>
    <row r="71">
      <c r="A71" s="4" t="s">
        <v>34</v>
      </c>
      <c r="B71" s="5"/>
      <c r="C71" s="5"/>
      <c r="D71" s="5"/>
      <c r="E71" s="5"/>
      <c r="F71" s="5"/>
      <c r="G71" s="5"/>
      <c r="H71" s="5">
        <f>IFERROR(__xludf.DUMMYFUNCTION("FILTER(SemEval_2025_T2!$C$3:$C$100, 
  REGEXMATCH(SemEval_2025_T2!$A$3:$A$100, ""(?i)"" &amp; $H$21 &amp;""_"" &amp; $A71)
)"),0.1444)</f>
        <v>0.1444</v>
      </c>
      <c r="I71" s="5">
        <f>IFERROR(__xludf.DUMMYFUNCTION("FILTER(SemEval_2025_T2!$D$3:$D$100, 
  REGEXMATCH(SemEval_2025_T2!$A$3:$A$100, ""(?i)"" &amp; $H$21 &amp;""_"" &amp; $A71)
)"),0.1102)</f>
        <v>0.1102</v>
      </c>
      <c r="J71" s="19"/>
      <c r="K71" s="19"/>
      <c r="L71" s="19"/>
    </row>
    <row r="72">
      <c r="A72" s="12" t="s">
        <v>26</v>
      </c>
      <c r="B72" s="5"/>
      <c r="C72" s="5"/>
      <c r="D72" s="5"/>
      <c r="E72" s="5"/>
      <c r="F72" s="5"/>
      <c r="G72" s="5"/>
      <c r="H72" s="5">
        <f t="shared" ref="H72:I72" si="49">H60-H71</f>
        <v>0.0268</v>
      </c>
      <c r="I72" s="5">
        <f t="shared" si="49"/>
        <v>0.0094</v>
      </c>
      <c r="J72" s="14">
        <f t="shared" ref="J72:K72" si="50">AVERAGE(B72,D72,F72,H72)</f>
        <v>0.0268</v>
      </c>
      <c r="K72" s="14">
        <f t="shared" si="50"/>
        <v>0.0094</v>
      </c>
      <c r="L72" s="14">
        <f>AVERAGE(J72,K72)</f>
        <v>0.0181</v>
      </c>
    </row>
    <row r="73">
      <c r="A73" s="4" t="s">
        <v>35</v>
      </c>
      <c r="B73" s="5"/>
      <c r="C73" s="5"/>
      <c r="D73" s="5"/>
      <c r="E73" s="5"/>
      <c r="F73" s="5"/>
      <c r="G73" s="5"/>
      <c r="H73" s="5">
        <f>IFERROR(__xludf.DUMMYFUNCTION("FILTER(SemEval_2025_T2!$C$3:$C$100, 
  REGEXMATCH(SemEval_2025_T2!$A$3:$A$100, ""(?i)"" &amp; $H$21 &amp;""_"" &amp; $A73)
)"),0.2008)</f>
        <v>0.2008</v>
      </c>
      <c r="I73" s="5">
        <f>IFERROR(__xludf.DUMMYFUNCTION("FILTER(SemEval_2025_T2!$D$3:$D$100, 
  REGEXMATCH(SemEval_2025_T2!$A$3:$A$100, ""(?i)"" &amp; $H$21 &amp;""_"" &amp; $A73)
)"),0.1686)</f>
        <v>0.1686</v>
      </c>
      <c r="J73" s="19"/>
      <c r="K73" s="19"/>
      <c r="L73" s="19"/>
    </row>
    <row r="74">
      <c r="A74" s="12" t="s">
        <v>28</v>
      </c>
      <c r="B74" s="5"/>
      <c r="C74" s="5"/>
      <c r="D74" s="5"/>
      <c r="E74" s="5"/>
      <c r="F74" s="5"/>
      <c r="G74" s="5"/>
      <c r="H74" s="5">
        <f t="shared" ref="H74:I74" si="51">H60-H73</f>
        <v>-0.0296</v>
      </c>
      <c r="I74" s="5">
        <f t="shared" si="51"/>
        <v>-0.049</v>
      </c>
      <c r="J74" s="14">
        <f t="shared" ref="J74:K74" si="52">AVERAGE(B74,D74,F74,H74)</f>
        <v>-0.0296</v>
      </c>
      <c r="K74" s="14">
        <f t="shared" si="52"/>
        <v>-0.049</v>
      </c>
      <c r="L74" s="14">
        <f>AVERAGE(J74,K74)</f>
        <v>-0.0393</v>
      </c>
    </row>
    <row r="75">
      <c r="B75" s="14">
        <f t="shared" ref="B75:I75" si="53">AVERAGE(B62,B64,B66,B68,B70,B72,B74)</f>
        <v>0.03085</v>
      </c>
      <c r="C75" s="14">
        <f t="shared" si="53"/>
        <v>0.00885</v>
      </c>
      <c r="D75" s="14">
        <f t="shared" si="53"/>
        <v>0.01368</v>
      </c>
      <c r="E75" s="14">
        <f t="shared" si="53"/>
        <v>0.02848</v>
      </c>
      <c r="F75" s="14">
        <f t="shared" si="53"/>
        <v>0.06184</v>
      </c>
      <c r="G75" s="14">
        <f t="shared" si="53"/>
        <v>0.0428</v>
      </c>
      <c r="H75" s="14">
        <f t="shared" si="53"/>
        <v>-0.01185714286</v>
      </c>
      <c r="I75" s="14">
        <f t="shared" si="53"/>
        <v>-0.02131428571</v>
      </c>
    </row>
    <row r="76">
      <c r="B76" s="14">
        <f>AVERAGE(B75,C75)</f>
        <v>0.01985</v>
      </c>
      <c r="C76" s="19"/>
      <c r="D76" s="14">
        <f>AVERAGE(D75,E75)</f>
        <v>0.02108</v>
      </c>
      <c r="E76" s="19"/>
      <c r="F76" s="14">
        <f>AVERAGE(F75,G75)</f>
        <v>0.05232</v>
      </c>
      <c r="G76" s="19"/>
      <c r="H76" s="14">
        <f>AVERAGE(H75,I75)</f>
        <v>-0.01658571429</v>
      </c>
      <c r="I76" s="19"/>
    </row>
    <row r="80">
      <c r="H80" s="4">
        <v>2.96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1" t="s">
        <v>44</v>
      </c>
      <c r="B1" s="2" t="s">
        <v>45</v>
      </c>
      <c r="C1" s="5"/>
      <c r="D1" s="5"/>
      <c r="E1" s="5"/>
      <c r="F1" s="5"/>
    </row>
    <row r="2">
      <c r="A2" s="5"/>
      <c r="B2" s="4" t="s">
        <v>4</v>
      </c>
      <c r="D2" s="1" t="s">
        <v>5</v>
      </c>
      <c r="E2" s="5"/>
      <c r="F2" s="1" t="s">
        <v>6</v>
      </c>
      <c r="G2" s="5"/>
      <c r="H2" s="4" t="s">
        <v>7</v>
      </c>
      <c r="I2" s="5"/>
      <c r="K2" s="19"/>
    </row>
    <row r="3">
      <c r="A3" s="21" t="s">
        <v>15</v>
      </c>
      <c r="B3" s="5">
        <v>0.621040280030557</v>
      </c>
      <c r="C3" s="5">
        <v>0.571358654012934</v>
      </c>
      <c r="D3" s="5">
        <v>0.57620875615112</v>
      </c>
      <c r="E3" s="5">
        <v>0.531274741257453</v>
      </c>
      <c r="F3" s="5">
        <v>0.506150051999198</v>
      </c>
      <c r="G3" s="5">
        <v>0.483697863941618</v>
      </c>
      <c r="H3" s="5">
        <v>0.286129356930116</v>
      </c>
      <c r="I3" s="5">
        <v>0.29837198245895</v>
      </c>
      <c r="K3" s="19"/>
    </row>
    <row r="4">
      <c r="A4" s="21" t="s">
        <v>18</v>
      </c>
      <c r="B4" s="5">
        <v>0.608500522443986</v>
      </c>
      <c r="C4" s="5">
        <v>0.565727300132339</v>
      </c>
      <c r="D4" s="5">
        <v>0.583927636565709</v>
      </c>
      <c r="E4" s="5">
        <v>0.523712547832867</v>
      </c>
      <c r="F4" s="5">
        <v>0.524902705155418</v>
      </c>
      <c r="G4" s="5">
        <v>0.490732657736496</v>
      </c>
      <c r="H4" s="5">
        <v>0.267289569310955</v>
      </c>
      <c r="I4" s="5">
        <v>0.297865824391553</v>
      </c>
      <c r="K4" s="19"/>
    </row>
    <row r="5">
      <c r="A5" s="12" t="s">
        <v>46</v>
      </c>
      <c r="B5" s="13">
        <f t="shared" ref="B5:I5" si="1">B3-B4</f>
        <v>0.01253975759</v>
      </c>
      <c r="C5" s="13">
        <f t="shared" si="1"/>
        <v>0.005631353881</v>
      </c>
      <c r="D5" s="13">
        <f t="shared" si="1"/>
        <v>-0.007718880415</v>
      </c>
      <c r="E5" s="13">
        <f t="shared" si="1"/>
        <v>0.007562193425</v>
      </c>
      <c r="F5" s="13">
        <f t="shared" si="1"/>
        <v>-0.01875265316</v>
      </c>
      <c r="G5" s="13">
        <f t="shared" si="1"/>
        <v>-0.007034793795</v>
      </c>
      <c r="H5" s="13">
        <f t="shared" si="1"/>
        <v>0.01883978762</v>
      </c>
      <c r="I5" s="13">
        <f t="shared" si="1"/>
        <v>0.0005061580674</v>
      </c>
      <c r="J5" s="13">
        <f>AVERAGE(B5:I5)</f>
        <v>0.001446615402</v>
      </c>
      <c r="K5" s="19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>
      <c r="A6" s="21" t="s">
        <v>20</v>
      </c>
      <c r="B6" s="5">
        <v>0.631787462260468</v>
      </c>
      <c r="C6" s="5">
        <v>0.618216042484733</v>
      </c>
      <c r="D6" s="5">
        <v>0.586439666342686</v>
      </c>
      <c r="E6" s="5">
        <v>0.569895182181278</v>
      </c>
      <c r="F6" s="5">
        <v>0.546258468663482</v>
      </c>
      <c r="G6" s="5">
        <v>0.512012998082786</v>
      </c>
      <c r="H6" s="5">
        <v>0.288938661231155</v>
      </c>
      <c r="I6" s="5">
        <v>0.329512617172151</v>
      </c>
      <c r="K6" s="19"/>
    </row>
    <row r="7">
      <c r="A7" s="21" t="s">
        <v>22</v>
      </c>
      <c r="B7" s="5">
        <v>0.640317661477475</v>
      </c>
      <c r="C7" s="5">
        <v>0.61354665612827</v>
      </c>
      <c r="D7" s="5">
        <v>0.613750839783722</v>
      </c>
      <c r="E7" s="5">
        <v>0.578681917130575</v>
      </c>
      <c r="F7" s="5">
        <v>0.545763744390765</v>
      </c>
      <c r="G7" s="5">
        <v>0.524262991587101</v>
      </c>
      <c r="H7" s="5">
        <v>0.284838731621514</v>
      </c>
      <c r="I7" s="5">
        <v>0.300772443809359</v>
      </c>
      <c r="K7" s="19"/>
    </row>
    <row r="8">
      <c r="A8" s="12" t="s">
        <v>47</v>
      </c>
      <c r="B8" s="13">
        <f t="shared" ref="B8:I8" si="2">B6-B7</f>
        <v>-0.008530199217</v>
      </c>
      <c r="C8" s="13">
        <f t="shared" si="2"/>
        <v>0.004669386356</v>
      </c>
      <c r="D8" s="13">
        <f t="shared" si="2"/>
        <v>-0.02731117344</v>
      </c>
      <c r="E8" s="13">
        <f t="shared" si="2"/>
        <v>-0.008786734949</v>
      </c>
      <c r="F8" s="13">
        <f t="shared" si="2"/>
        <v>0.0004947242727</v>
      </c>
      <c r="G8" s="13">
        <f t="shared" si="2"/>
        <v>-0.0122499935</v>
      </c>
      <c r="H8" s="13">
        <f t="shared" si="2"/>
        <v>0.00409992961</v>
      </c>
      <c r="I8" s="13">
        <f t="shared" si="2"/>
        <v>0.02874017336</v>
      </c>
      <c r="J8" s="13">
        <f>AVERAGE(B8:I8)</f>
        <v>-0.002359235939</v>
      </c>
      <c r="K8" s="19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>
      <c r="A9" s="21" t="s">
        <v>25</v>
      </c>
      <c r="B9" s="5">
        <v>0.632355163340107</v>
      </c>
      <c r="C9" s="5">
        <v>0.606225827187698</v>
      </c>
      <c r="D9" s="5">
        <v>0.535090217689681</v>
      </c>
      <c r="E9" s="5">
        <v>0.477750371254548</v>
      </c>
      <c r="F9" s="5">
        <v>0.457442229094388</v>
      </c>
      <c r="G9" s="5">
        <v>0.427462251024684</v>
      </c>
      <c r="H9" s="5">
        <v>0.245367655632764</v>
      </c>
      <c r="I9" s="5">
        <v>0.282654794342775</v>
      </c>
      <c r="K9" s="19"/>
    </row>
    <row r="10">
      <c r="A10" s="21" t="s">
        <v>27</v>
      </c>
      <c r="B10" s="5">
        <v>0.626620634285161</v>
      </c>
      <c r="C10" s="5">
        <v>0.604801060798369</v>
      </c>
      <c r="D10" s="5">
        <v>0.274748595417237</v>
      </c>
      <c r="E10" s="5">
        <v>0.380177808740426</v>
      </c>
      <c r="F10" s="5">
        <v>0.484593915089339</v>
      </c>
      <c r="G10" s="5">
        <v>0.437797137788191</v>
      </c>
      <c r="H10" s="5">
        <v>0.220620940157727</v>
      </c>
      <c r="I10" s="5">
        <v>0.271705614091627</v>
      </c>
      <c r="K10" s="19"/>
    </row>
    <row r="11">
      <c r="A11" s="12" t="s">
        <v>48</v>
      </c>
      <c r="B11" s="13">
        <f t="shared" ref="B11:I11" si="3">B9-B10</f>
        <v>0.005734529055</v>
      </c>
      <c r="C11" s="13">
        <f t="shared" si="3"/>
        <v>0.001424766389</v>
      </c>
      <c r="D11" s="13">
        <f t="shared" si="3"/>
        <v>0.2603416223</v>
      </c>
      <c r="E11" s="13">
        <f t="shared" si="3"/>
        <v>0.09757256251</v>
      </c>
      <c r="F11" s="13">
        <f t="shared" si="3"/>
        <v>-0.02715168599</v>
      </c>
      <c r="G11" s="13">
        <f t="shared" si="3"/>
        <v>-0.01033488676</v>
      </c>
      <c r="H11" s="13">
        <f t="shared" si="3"/>
        <v>0.02474671548</v>
      </c>
      <c r="I11" s="13">
        <f t="shared" si="3"/>
        <v>0.01094918025</v>
      </c>
      <c r="J11" s="13">
        <f>AVERAGE(B11:I11)</f>
        <v>0.0454103504</v>
      </c>
      <c r="K11" s="19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>
      <c r="B12" s="5"/>
      <c r="C12" s="5"/>
      <c r="D12" s="5"/>
      <c r="E12" s="5"/>
      <c r="F12" s="5"/>
      <c r="G12" s="5"/>
      <c r="H12" s="5"/>
      <c r="J12" s="5">
        <f>AVERAGE(B11,C11,F11,G11,H11,I11)</f>
        <v>0.0008947697353</v>
      </c>
      <c r="K12" s="19"/>
    </row>
    <row r="13">
      <c r="J13" s="5">
        <f>AVERAGE(D11:E11)</f>
        <v>0.1789570924</v>
      </c>
      <c r="K13" s="19"/>
    </row>
    <row r="15">
      <c r="A15" s="4" t="s">
        <v>49</v>
      </c>
      <c r="B15" s="4" t="s">
        <v>4</v>
      </c>
      <c r="C15" s="4" t="s">
        <v>5</v>
      </c>
      <c r="D15" s="4" t="s">
        <v>6</v>
      </c>
      <c r="E15" s="4" t="s">
        <v>7</v>
      </c>
      <c r="H15" s="4" t="s">
        <v>50</v>
      </c>
      <c r="I15" s="4" t="s">
        <v>4</v>
      </c>
      <c r="J15" s="4" t="s">
        <v>5</v>
      </c>
      <c r="K15" s="4" t="s">
        <v>6</v>
      </c>
      <c r="L15" s="4" t="s">
        <v>7</v>
      </c>
    </row>
    <row r="16">
      <c r="A16" s="21" t="s">
        <v>15</v>
      </c>
      <c r="B16" s="21">
        <f>IFERROR(__xludf.DUMMYFUNCTION("FILTER(SemEval_2025_T2!$G$4:$G$100, 
  REGEXMATCH(SemEval_2025_T2!$A$4:$A$100, ""(?i)"" &amp; B$15 &amp; ""_only_title"")
)"),0.4362)</f>
        <v>0.4362</v>
      </c>
      <c r="C16" s="21">
        <f>IFERROR(__xludf.DUMMYFUNCTION("FILTER(SemEval_2025_T2!$G$4:$G$100, 
  REGEXMATCH(SemEval_2025_T2!$A$4:$A$100, ""(?i)"" &amp; C$15 &amp; ""_only_title"")
)"),0.3392)</f>
        <v>0.3392</v>
      </c>
      <c r="D16" s="21">
        <f>IFERROR(__xludf.DUMMYFUNCTION("FILTER(SemEval_2025_T2!$G$4:$G$100, 
  REGEXMATCH(SemEval_2025_T2!$A$4:$A$100, ""(?i)"" &amp; D$15 &amp; ""_only_title"")
)"),0.3016)</f>
        <v>0.3016</v>
      </c>
      <c r="E16" s="21">
        <f>IFERROR(__xludf.DUMMYFUNCTION("FILTER(SemEval_2025_T2!$G$4:$G$100, 
  REGEXMATCH(SemEval_2025_T2!$A$4:$A$100, ""(?i)"" &amp; E$15 &amp; ""_only_title"")
)"),0.1424)</f>
        <v>0.1424</v>
      </c>
      <c r="H16" s="21" t="s">
        <v>15</v>
      </c>
      <c r="I16" s="21">
        <f>IFERROR(__xludf.DUMMYFUNCTION("FILTER(SemEval_2025_T2!$G$4:$G$100, 
  REGEXMATCH(SemEval_2025_T2!$A$4:$A$100, ""(?i)"" &amp; I$15 &amp; ""_only_title"")
)"),0.4362)</f>
        <v>0.4362</v>
      </c>
      <c r="J16" s="21">
        <f>IFERROR(__xludf.DUMMYFUNCTION("FILTER(SemEval_2025_T2!$H$4:$H$100, 
  REGEXMATCH(SemEval_2025_T2!$A$4:$A$100, ""(?i)"" &amp; J$15 &amp; ""_only_title"")
)"),0.2208)</f>
        <v>0.2208</v>
      </c>
      <c r="K16" s="21">
        <f>IFERROR(__xludf.DUMMYFUNCTION("FILTER(SemEval_2025_T2!$H$4:$H$100, 
  REGEXMATCH(SemEval_2025_T2!$A$4:$A$100, ""(?i)"" &amp; K$15 &amp; ""_only_title"")
)"),0.1792)</f>
        <v>0.1792</v>
      </c>
      <c r="L16" s="21">
        <f>IFERROR(__xludf.DUMMYFUNCTION("FILTER(SemEval_2025_T2!$H$4:$H$100, 
  REGEXMATCH(SemEval_2025_T2!$A$4:$A$100, ""(?i)"" &amp; L$15 &amp; ""_only_title"")
)"),0.0802)</f>
        <v>0.0802</v>
      </c>
    </row>
    <row r="17">
      <c r="A17" s="21" t="s">
        <v>31</v>
      </c>
      <c r="B17" s="21">
        <f>IFERROR(__xludf.DUMMYFUNCTION("FILTER(SemEval_2025_T2!$G$4:$G$100, 
  REGEXMATCH(SemEval_2025_T2!$A$4:$A$100, ""(?i)"" &amp; B$15 &amp; ""_gpt_only_title"")
)"),0.444199999999999)</f>
        <v>0.4442</v>
      </c>
      <c r="C17" s="21">
        <f>IFERROR(__xludf.DUMMYFUNCTION("FILTER(SemEval_2025_T2!$G$4:$G$100, 
  REGEXMATCH(SemEval_2025_T2!$A$4:$A$100, ""(?i)"" &amp; C$15 &amp; ""_gpt_only_title"")
)"),0.3556)</f>
        <v>0.3556</v>
      </c>
      <c r="D17" s="21">
        <f>IFERROR(__xludf.DUMMYFUNCTION("FILTER(SemEval_2025_T2!$G$4:$G$100, 
  REGEXMATCH(SemEval_2025_T2!$A$4:$A$100, ""(?i)"" &amp; D$15 &amp; ""_gpt_only_title"")
)"),0.2892)</f>
        <v>0.2892</v>
      </c>
      <c r="E17" s="21">
        <f>IFERROR(__xludf.DUMMYFUNCTION("FILTER(SemEval_2025_T2!$G$4:$G$100, 
  REGEXMATCH(SemEval_2025_T2!$A$4:$A$100, ""(?i)"" &amp; E$15 &amp; ""_gpt_only_title"")
)"),0.1274)</f>
        <v>0.1274</v>
      </c>
      <c r="H17" s="21" t="s">
        <v>31</v>
      </c>
      <c r="I17" s="21">
        <f>IFERROR(__xludf.DUMMYFUNCTION("FILTER(SemEval_2025_T2!$H$4:$H$100, 
  REGEXMATCH(SemEval_2025_T2!$A$4:$A$100, ""(?i)"" &amp; I$15 &amp; ""_gpt_only_title"")
)"),0.281)</f>
        <v>0.281</v>
      </c>
      <c r="J17" s="21">
        <f>IFERROR(__xludf.DUMMYFUNCTION("FILTER(SemEval_2025_T2!$H$4:$H$100, 
  REGEXMATCH(SemEval_2025_T2!$A$4:$A$100, ""(?i)"" &amp; J$15 &amp; ""_gpt_only_title"")
)"),0.235)</f>
        <v>0.235</v>
      </c>
      <c r="K17" s="21">
        <f>IFERROR(__xludf.DUMMYFUNCTION("FILTER(SemEval_2025_T2!$H$4:$H$100, 
  REGEXMATCH(SemEval_2025_T2!$A$4:$A$100, ""(?i)"" &amp; K$15 &amp; ""_gpt_only_title"")
)"),0.16)</f>
        <v>0.16</v>
      </c>
      <c r="L17" s="21">
        <f>IFERROR(__xludf.DUMMYFUNCTION("FILTER(SemEval_2025_T2!$H$4:$H$100, 
  REGEXMATCH(SemEval_2025_T2!$A$4:$A$100, ""(?i)"" &amp; L$15 &amp; ""_gpt_only_title"")
)"),0.0496)</f>
        <v>0.0496</v>
      </c>
    </row>
    <row r="18">
      <c r="A18" s="12" t="s">
        <v>46</v>
      </c>
      <c r="B18" s="15">
        <f t="shared" ref="B18:E18" si="4">B16-B17</f>
        <v>-0.008</v>
      </c>
      <c r="C18" s="15">
        <f t="shared" si="4"/>
        <v>-0.0164</v>
      </c>
      <c r="D18" s="15">
        <f t="shared" si="4"/>
        <v>0.0124</v>
      </c>
      <c r="E18" s="15">
        <f t="shared" si="4"/>
        <v>0.015</v>
      </c>
      <c r="F18" s="15">
        <f>AVERAGE(B18:E18)</f>
        <v>0.00075</v>
      </c>
      <c r="G18" s="15"/>
      <c r="H18" s="12" t="s">
        <v>46</v>
      </c>
      <c r="I18" s="15">
        <f t="shared" ref="I18:L18" si="5">I16-I17</f>
        <v>0.1552</v>
      </c>
      <c r="J18" s="15">
        <f t="shared" si="5"/>
        <v>-0.0142</v>
      </c>
      <c r="K18" s="15">
        <f t="shared" si="5"/>
        <v>0.0192</v>
      </c>
      <c r="L18" s="15">
        <f t="shared" si="5"/>
        <v>0.0306</v>
      </c>
      <c r="M18" s="15">
        <f>AVERAGE(I18:L18)</f>
        <v>0.0477</v>
      </c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>
      <c r="A19" s="4" t="s">
        <v>20</v>
      </c>
      <c r="B19" s="21">
        <f>IFERROR(__xludf.DUMMYFUNCTION("FILTER(SemEval_2025_T2!$G$4:$G$100, 
  REGEXMATCH(SemEval_2025_T2!$A$4:$A$100, ""(?i)"" &amp; B$15 &amp; ""_title_description""), NOT(REGEXMATCH(SemEval_2025_T2!$A$4:$A$100, ""(?i)complete""))
)"),0.4852)</f>
        <v>0.4852</v>
      </c>
      <c r="C19" s="21">
        <f>IFERROR(__xludf.DUMMYFUNCTION("FILTER(SemEval_2025_T2!$G$4:$G$100, 
  REGEXMATCH(SemEval_2025_T2!$A$4:$A$100, ""(?i)"" &amp; C$15 &amp; ""_title_description""), NOT(REGEXMATCH(SemEval_2025_T2!$A$4:$A$100, ""(?i)complete""))
)"),0.3592)</f>
        <v>0.3592</v>
      </c>
      <c r="D19" s="21">
        <f>IFERROR(__xludf.DUMMYFUNCTION("FILTER(SemEval_2025_T2!$G$4:$G$100, 
  REGEXMATCH(SemEval_2025_T2!$A$4:$A$100, ""(?i)"" &amp; D$15 &amp; ""_title_description""), NOT(REGEXMATCH(SemEval_2025_T2!$A$4:$A$100, ""(?i)complete""))
)"),0.3106)</f>
        <v>0.3106</v>
      </c>
      <c r="E19" s="21">
        <f>IFERROR(__xludf.DUMMYFUNCTION("FILTER(SemEval_2025_T2!$G$4:$G$100, 
  REGEXMATCH(SemEval_2025_T2!$A$4:$A$100, ""(?i)"" &amp; E$15 &amp; ""_title_description""), NOT(REGEXMATCH(SemEval_2025_T2!$A$4:$A$100, ""(?i)complete""))
)"),0.1246)</f>
        <v>0.1246</v>
      </c>
      <c r="H19" s="4" t="s">
        <v>20</v>
      </c>
      <c r="I19" s="21">
        <f>IFERROR(__xludf.DUMMYFUNCTION("FILTER(SemEval_2025_T2!$H$4:$H$100, 
  REGEXMATCH(SemEval_2025_T2!$A$4:$A$100, ""(?i)"" &amp; I$15 &amp; ""_title_description""), NOT(REGEXMATCH(SemEval_2025_T2!$A$4:$A$100, ""(?i)complete""))
)"),0.3286)</f>
        <v>0.3286</v>
      </c>
      <c r="J19" s="21">
        <f>IFERROR(__xludf.DUMMYFUNCTION("FILTER(SemEval_2025_T2!$H$4:$H$100, 
  REGEXMATCH(SemEval_2025_T2!$A$4:$A$100, ""(?i)"" &amp; J$15 &amp; ""_title_description""), NOT(REGEXMATCH(SemEval_2025_T2!$A$4:$A$100, ""(?i)complete""))
)"),0.2508)</f>
        <v>0.2508</v>
      </c>
      <c r="K19" s="21">
        <f>IFERROR(__xludf.DUMMYFUNCTION("FILTER(SemEval_2025_T2!$H$4:$H$100, 
  REGEXMATCH(SemEval_2025_T2!$A$4:$A$100, ""(?i)"" &amp; K$15 &amp; ""_title_description""), NOT(REGEXMATCH(SemEval_2025_T2!$A$4:$A$100, ""(?i)complete""))
)"),0.1764)</f>
        <v>0.1764</v>
      </c>
      <c r="L19" s="21">
        <f>IFERROR(__xludf.DUMMYFUNCTION("FILTER(SemEval_2025_T2!$H$4:$H$100, 
  REGEXMATCH(SemEval_2025_T2!$A$4:$A$100, ""(?i)"" &amp; L$15 &amp; ""_title_description""), NOT(REGEXMATCH(SemEval_2025_T2!$A$4:$A$100, ""(?i)complete""))
)"),0.0576)</f>
        <v>0.0576</v>
      </c>
    </row>
    <row r="20">
      <c r="A20" s="21" t="s">
        <v>33</v>
      </c>
      <c r="B20" s="21">
        <f>IFERROR(__xludf.DUMMYFUNCTION("FILTER(SemEval_2025_T2!$G$4:$G$100, 
  REGEXMATCH(SemEval_2025_T2!$A$4:$A$100, ""(?i)"" &amp; B$15 &amp; ""_gpt_title_description""), NOT(REGEXMATCH(SemEval_2025_T2!$A$4:$A$100, ""(?i)complete""))
)"),0.4684)</f>
        <v>0.4684</v>
      </c>
      <c r="C20" s="21">
        <f>IFERROR(__xludf.DUMMYFUNCTION("FILTER(SemEval_2025_T2!$G$4:$G$100, 
  REGEXMATCH(SemEval_2025_T2!$A$4:$A$100, ""(?i)"" &amp; C$15 &amp; ""_gpt_title_description""), NOT(REGEXMATCH(SemEval_2025_T2!$A$4:$A$100, ""(?i)complete""))
)"),0.383)</f>
        <v>0.383</v>
      </c>
      <c r="D20" s="21">
        <f>IFERROR(__xludf.DUMMYFUNCTION("FILTER(SemEval_2025_T2!$G$4:$G$100, 
  REGEXMATCH(SemEval_2025_T2!$A$4:$A$100, ""(?i)"" &amp; D$15 &amp; ""_gpt_title_description""), NOT(REGEXMATCH(SemEval_2025_T2!$A$4:$A$100, ""(?i)complete""))
)"),0.3124)</f>
        <v>0.3124</v>
      </c>
      <c r="E20" s="21">
        <f>IFERROR(__xludf.DUMMYFUNCTION("FILTER(SemEval_2025_T2!$G$4:$G$100, 
  REGEXMATCH(SemEval_2025_T2!$A$4:$A$100, ""(?i)"" &amp; E$15 &amp; ""_gpt_title_description""), NOT(REGEXMATCH(SemEval_2025_T2!$A$4:$A$100, ""(?i)complete""))
)"),0.117799999999999)</f>
        <v>0.1178</v>
      </c>
      <c r="H20" s="21" t="s">
        <v>33</v>
      </c>
      <c r="I20" s="21">
        <f>IFERROR(__xludf.DUMMYFUNCTION("FILTER(SemEval_2025_T2!$H$4:$H$100, 
  REGEXMATCH(SemEval_2025_T2!$A$4:$A$100, ""(?i)"" &amp; I$15 &amp; ""_gpt_title_description""), NOT(REGEXMATCH(SemEval_2025_T2!$A$4:$A$100, ""(?i)complete""))
)"),0.3222)</f>
        <v>0.3222</v>
      </c>
      <c r="J20" s="21">
        <f>IFERROR(__xludf.DUMMYFUNCTION("FILTER(SemEval_2025_T2!$H$4:$H$100, 
  REGEXMATCH(SemEval_2025_T2!$A$4:$A$100, ""(?i)"" &amp; J$15 &amp; ""_gpt_title_description""), NOT(REGEXMATCH(SemEval_2025_T2!$A$4:$A$100, ""(?i)complete""))
)"),0.267599999999999)</f>
        <v>0.2676</v>
      </c>
      <c r="K20" s="21">
        <f>IFERROR(__xludf.DUMMYFUNCTION("FILTER(SemEval_2025_T2!$H$4:$H$100, 
  REGEXMATCH(SemEval_2025_T2!$A$4:$A$100, ""(?i)"" &amp; K$15 &amp; ""_gpt_title_description""), NOT(REGEXMATCH(SemEval_2025_T2!$A$4:$A$100, ""(?i)complete""))
)"),0.177)</f>
        <v>0.177</v>
      </c>
      <c r="L20" s="21">
        <f>IFERROR(__xludf.DUMMYFUNCTION("FILTER(SemEval_2025_T2!$H$4:$H$100, 
  REGEXMATCH(SemEval_2025_T2!$A$4:$A$100, ""(?i)"" &amp; L$15 &amp; ""_gpt_title_description""), NOT(REGEXMATCH(SemEval_2025_T2!$A$4:$A$100, ""(?i)complete""))
)"),0.0406)</f>
        <v>0.0406</v>
      </c>
    </row>
    <row r="21">
      <c r="A21" s="12" t="s">
        <v>51</v>
      </c>
      <c r="B21" s="15">
        <f t="shared" ref="B21:E21" si="6">B19-B20</f>
        <v>0.0168</v>
      </c>
      <c r="C21" s="15">
        <f t="shared" si="6"/>
        <v>-0.0238</v>
      </c>
      <c r="D21" s="15">
        <f t="shared" si="6"/>
        <v>-0.0018</v>
      </c>
      <c r="E21" s="15">
        <f t="shared" si="6"/>
        <v>0.0068</v>
      </c>
      <c r="F21" s="15">
        <f>AVERAGE(B21:E21)</f>
        <v>-0.0005</v>
      </c>
      <c r="G21" s="15"/>
      <c r="H21" s="12" t="s">
        <v>51</v>
      </c>
      <c r="I21" s="15">
        <f t="shared" ref="I21:L21" si="7">I19-I20</f>
        <v>0.0064</v>
      </c>
      <c r="J21" s="15">
        <f t="shared" si="7"/>
        <v>-0.0168</v>
      </c>
      <c r="K21" s="15">
        <f t="shared" si="7"/>
        <v>-0.0006</v>
      </c>
      <c r="L21" s="15">
        <f t="shared" si="7"/>
        <v>0.017</v>
      </c>
      <c r="M21" s="15">
        <f>AVERAGE(I21:L21)</f>
        <v>0.0015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>
      <c r="A22" s="4" t="s">
        <v>25</v>
      </c>
      <c r="B22" s="21">
        <f>IFERROR(__xludf.DUMMYFUNCTION("FILTER(SemEval_2025_T2!$G$4:$G$100, 
  REGEXMATCH(SemEval_2025_T2!$A$4:$A$100, ""(?i)"" &amp; B$15 &amp; ""_title_description_complete"")
)"),0.4522)</f>
        <v>0.4522</v>
      </c>
      <c r="C22" s="21">
        <f>IFERROR(__xludf.DUMMYFUNCTION("FILTER(SemEval_2025_T2!$G$4:$G$100, 
  REGEXMATCH(SemEval_2025_T2!$A$4:$A$100, ""(?i)"" &amp; C$15 &amp; ""_title_description_complete"")
)"),0.281)</f>
        <v>0.281</v>
      </c>
      <c r="D22" s="21">
        <f>IFERROR(__xludf.DUMMYFUNCTION("FILTER(SemEval_2025_T2!$G$4:$G$100, 
  REGEXMATCH(SemEval_2025_T2!$A$4:$A$100, ""(?i)"" &amp; D$15 &amp; ""_title_description_complete"")
)"),0.2836)</f>
        <v>0.2836</v>
      </c>
      <c r="E22" s="21">
        <f>IFERROR(__xludf.DUMMYFUNCTION("FILTER(SemEval_2025_T2!$G$4:$G$100, 
  REGEXMATCH(SemEval_2025_T2!$A$4:$A$100, ""(?i)"" &amp; E$15 &amp; ""_title_description_complete"")
)"),0.1028)</f>
        <v>0.1028</v>
      </c>
      <c r="H22" s="4" t="s">
        <v>25</v>
      </c>
      <c r="I22" s="21">
        <f>IFERROR(__xludf.DUMMYFUNCTION("FILTER(SemEval_2025_T2!$H$4:$H$100, 
  REGEXMATCH(SemEval_2025_T2!$A$4:$A$100, ""(?i)"" &amp; I$15 &amp; ""_title_description_complete"")
)"),0.3188)</f>
        <v>0.3188</v>
      </c>
      <c r="J22" s="21">
        <f>IFERROR(__xludf.DUMMYFUNCTION("FILTER(SemEval_2025_T2!$H$4:$H$100, 
  REGEXMATCH(SemEval_2025_T2!$A$4:$A$100, ""(?i)"" &amp; J$15 &amp; ""_title_description_complete"")
)"),0.281)</f>
        <v>0.281</v>
      </c>
      <c r="K22" s="21">
        <f>IFERROR(__xludf.DUMMYFUNCTION("FILTER(SemEval_2025_T2!$H$4:$H$100, 
  REGEXMATCH(SemEval_2025_T2!$A$4:$A$100, ""(?i)"" &amp; K$15 &amp; ""_title_description_complete"")
)"),0.189)</f>
        <v>0.189</v>
      </c>
      <c r="L22" s="21">
        <f>IFERROR(__xludf.DUMMYFUNCTION("FILTER(SemEval_2025_T2!$H$4:$H$100, 
  REGEXMATCH(SemEval_2025_T2!$A$4:$A$100, ""(?i)"" &amp; L$15 &amp; ""_title_description_complete"")
)"),0.0496)</f>
        <v>0.0496</v>
      </c>
    </row>
    <row r="23">
      <c r="A23" s="21" t="s">
        <v>35</v>
      </c>
      <c r="B23" s="21">
        <f>IFERROR(__xludf.DUMMYFUNCTION("FILTER(SemEval_2025_T2!$G$4:$G$100, 
  REGEXMATCH(SemEval_2025_T2!$A$4:$A$100, ""(?i)"" &amp; B$15 &amp; ""_gpt_title_description_complete"")
)"),0.453)</f>
        <v>0.453</v>
      </c>
      <c r="C23" s="21">
        <f>IFERROR(__xludf.DUMMYFUNCTION("FILTER(SemEval_2025_T2!$G$4:$G$100, 
  REGEXMATCH(SemEval_2025_T2!$A$4:$A$100, ""(?i)"" &amp; C$15 &amp; ""_gpt_title_description_complete"")
)"),0.2978)</f>
        <v>0.2978</v>
      </c>
      <c r="D23" s="21">
        <f>IFERROR(__xludf.DUMMYFUNCTION("FILTER(SemEval_2025_T2!$G$4:$G$100, 
  REGEXMATCH(SemEval_2025_T2!$A$4:$A$100, ""(?i)"" &amp; D$15 &amp; ""_gpt_title_description_complete"")
)"),0.2526)</f>
        <v>0.2526</v>
      </c>
      <c r="E23" s="21">
        <f>IFERROR(__xludf.DUMMYFUNCTION("FILTER(SemEval_2025_T2!$G$4:$G$100, 
  REGEXMATCH(SemEval_2025_T2!$A$4:$A$100, ""(?i)"" &amp; E$15 &amp; ""_gpt_title_description_complete"")
)"),0.1008)</f>
        <v>0.1008</v>
      </c>
      <c r="H23" s="21" t="s">
        <v>35</v>
      </c>
      <c r="I23" s="21">
        <f>IFERROR(__xludf.DUMMYFUNCTION("FILTER(SemEval_2025_T2!$H$4:$H$100, 
  REGEXMATCH(SemEval_2025_T2!$A$4:$A$100, ""(?i)"" &amp; I$15 &amp; ""_gpt_title_description_complete"")
)"),0.3236)</f>
        <v>0.3236</v>
      </c>
      <c r="J23" s="21">
        <f>IFERROR(__xludf.DUMMYFUNCTION("FILTER(SemEval_2025_T2!$H$4:$H$100, 
  REGEXMATCH(SemEval_2025_T2!$A$4:$A$100, ""(?i)"" &amp; J$15 &amp; ""_gpt_title_description_complete"")
)"),0.211399999999999)</f>
        <v>0.2114</v>
      </c>
      <c r="K23" s="21">
        <f>IFERROR(__xludf.DUMMYFUNCTION("FILTER(SemEval_2025_T2!$H$4:$H$100, 
  REGEXMATCH(SemEval_2025_T2!$A$4:$A$100, ""(?i)"" &amp; K$15 &amp; ""_gpt_title_description_complete"")
)"),0.163)</f>
        <v>0.163</v>
      </c>
      <c r="L23" s="21">
        <f>IFERROR(__xludf.DUMMYFUNCTION("FILTER(SemEval_2025_T2!$H$4:$H$100, 
  REGEXMATCH(SemEval_2025_T2!$A$4:$A$100, ""(?i)"" &amp; L$15 &amp; ""_gpt_title_description_complete"")
)"),0.034)</f>
        <v>0.034</v>
      </c>
    </row>
    <row r="24">
      <c r="A24" s="12" t="s">
        <v>52</v>
      </c>
      <c r="B24" s="15">
        <f t="shared" ref="B24:E24" si="8">B22-B23</f>
        <v>-0.0008</v>
      </c>
      <c r="C24" s="15">
        <f t="shared" si="8"/>
        <v>-0.0168</v>
      </c>
      <c r="D24" s="15">
        <f t="shared" si="8"/>
        <v>0.031</v>
      </c>
      <c r="E24" s="15">
        <f t="shared" si="8"/>
        <v>0.002</v>
      </c>
      <c r="F24" s="15">
        <f>AVERAGE(B24:E24)</f>
        <v>0.00385</v>
      </c>
      <c r="G24" s="15"/>
      <c r="H24" s="12" t="s">
        <v>52</v>
      </c>
      <c r="I24" s="15">
        <f t="shared" ref="I24:L24" si="9">I22-I23</f>
        <v>-0.0048</v>
      </c>
      <c r="J24" s="15">
        <f t="shared" si="9"/>
        <v>0.0696</v>
      </c>
      <c r="K24" s="15">
        <f t="shared" si="9"/>
        <v>0.026</v>
      </c>
      <c r="L24" s="15">
        <f t="shared" si="9"/>
        <v>0.0156</v>
      </c>
      <c r="M24" s="15">
        <f>AVERAGE(I24:L24)</f>
        <v>0.0266</v>
      </c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6">
      <c r="A26" s="4" t="s">
        <v>53</v>
      </c>
      <c r="B26" s="4" t="s">
        <v>4</v>
      </c>
      <c r="C26" s="4" t="s">
        <v>5</v>
      </c>
      <c r="D26" s="4" t="s">
        <v>6</v>
      </c>
      <c r="E26" s="4" t="s">
        <v>7</v>
      </c>
      <c r="H26" s="4" t="s">
        <v>54</v>
      </c>
      <c r="I26" s="4" t="s">
        <v>4</v>
      </c>
      <c r="J26" s="4" t="s">
        <v>5</v>
      </c>
      <c r="K26" s="4" t="s">
        <v>6</v>
      </c>
      <c r="L26" s="4" t="s">
        <v>7</v>
      </c>
    </row>
    <row r="27">
      <c r="A27" s="21" t="s">
        <v>15</v>
      </c>
      <c r="B27" s="21">
        <f>IFERROR(__xludf.DUMMYFUNCTION("FILTER(SemEval_2025_T2!$G$4:$G$100, 
  REGEXMATCH(SemEval_2025_T2!$A$4:$A$100, ""(?i)"" &amp; B$15 &amp; ""_only_title"")
)"),0.4362)</f>
        <v>0.4362</v>
      </c>
      <c r="C27" s="21">
        <f>IFERROR(__xludf.DUMMYFUNCTION("FILTER(SemEval_2025_T2!$E$4:$E$100, 
  REGEXMATCH(SemEval_2025_T2!$A$4:$A$100, ""(?i)"" &amp; C$15 &amp; ""_only_title"")
)"),0.378599999999999)</f>
        <v>0.3786</v>
      </c>
      <c r="D27" s="21">
        <f>IFERROR(__xludf.DUMMYFUNCTION("FILTER(SemEval_2025_T2!$E$4:$E$100, 
  REGEXMATCH(SemEval_2025_T2!$A$4:$A$100, ""(?i)"" &amp; D$15 &amp; ""_only_title"")
)"),0.3014)</f>
        <v>0.3014</v>
      </c>
      <c r="E27" s="21">
        <f>IFERROR(__xludf.DUMMYFUNCTION("FILTER(SemEval_2025_T2!$E$4:$E$100, 
  REGEXMATCH(SemEval_2025_T2!$A$4:$A$100, ""(?i)"" &amp; E$15 &amp; ""_only_title"")
)"),0.1542)</f>
        <v>0.1542</v>
      </c>
      <c r="H27" s="21" t="s">
        <v>15</v>
      </c>
      <c r="I27" s="21">
        <f>IFERROR(__xludf.DUMMYFUNCTION("FILTER(SemEval_2025_T2!$F$4:$F$100, 
  REGEXMATCH(SemEval_2025_T2!$A$4:$A$100, ""(?i)"" &amp; I$15 &amp; ""_only_title"")
)"),0.2602)</f>
        <v>0.2602</v>
      </c>
      <c r="J27" s="21">
        <f>IFERROR(__xludf.DUMMYFUNCTION("FILTER(SemEval_2025_T2!$F$4:$F$100, 
  REGEXMATCH(SemEval_2025_T2!$A$4:$A$100, ""(?i)"" &amp; J$15 &amp; ""_only_title"")
)"),0.217399999999999)</f>
        <v>0.2174</v>
      </c>
      <c r="K27" s="21">
        <f>IFERROR(__xludf.DUMMYFUNCTION("FILTER(SemEval_2025_T2!$F$4:$F$100, 
  REGEXMATCH(SemEval_2025_T2!$A$4:$A$100, ""(?i)"" &amp; K$15 &amp; ""_only_title"")
)"),0.1844)</f>
        <v>0.1844</v>
      </c>
      <c r="L27" s="21">
        <f>IFERROR(__xludf.DUMMYFUNCTION("FILTER(SemEval_2025_T2!$F$4:$F$100, 
  REGEXMATCH(SemEval_2025_T2!$A$4:$A$100, ""(?i)"" &amp; L$15 &amp; ""_only_title"")
)"),0.0616)</f>
        <v>0.0616</v>
      </c>
    </row>
    <row r="28">
      <c r="A28" s="21" t="s">
        <v>31</v>
      </c>
      <c r="B28" s="21">
        <f>IFERROR(__xludf.DUMMYFUNCTION("FILTER(SemEval_2025_T2!$E$4:$E$100, 
  REGEXMATCH(SemEval_2025_T2!$A$4:$A$100, ""(?i)"" &amp; B$15 &amp; ""_gpt_only_title"")
)"),0.469)</f>
        <v>0.469</v>
      </c>
      <c r="C28" s="21">
        <f>IFERROR(__xludf.DUMMYFUNCTION("FILTER(SemEval_2025_T2!$E$4:$E$100, 
  REGEXMATCH(SemEval_2025_T2!$A$4:$A$100, ""(?i)"" &amp; C$15 &amp; ""_gpt_only_title"")
)"),0.342199999999999)</f>
        <v>0.3422</v>
      </c>
      <c r="D28" s="21">
        <f>IFERROR(__xludf.DUMMYFUNCTION("FILTER(SemEval_2025_T2!$E$4:$E$100, 
  REGEXMATCH(SemEval_2025_T2!$A$4:$A$100, ""(?i)"" &amp; D$15 &amp; ""_gpt_only_title"")
)"),0.2952)</f>
        <v>0.2952</v>
      </c>
      <c r="E28" s="21">
        <f>IFERROR(__xludf.DUMMYFUNCTION("FILTER(SemEval_2025_T2!$E$4:$E$100, 
  REGEXMATCH(SemEval_2025_T2!$A$4:$A$100, ""(?i)"" &amp; E$15 &amp; ""_gpt_only_title"")
)"),0.1582)</f>
        <v>0.1582</v>
      </c>
      <c r="H28" s="21" t="s">
        <v>31</v>
      </c>
      <c r="I28" s="21">
        <f>IFERROR(__xludf.DUMMYFUNCTION("FILTER(SemEval_2025_T2!$F$4:$F$100, 
  REGEXMATCH(SemEval_2025_T2!$A$4:$A$100, ""(?i)"" &amp; I$15 &amp; ""_gpt_only_title"")
)"),0.265399999999999)</f>
        <v>0.2654</v>
      </c>
      <c r="J28" s="21">
        <f>IFERROR(__xludf.DUMMYFUNCTION("FILTER(SemEval_2025_T2!$F$4:$F$100, 
  REGEXMATCH(SemEval_2025_T2!$A$4:$A$100, ""(?i)"" &amp; J$15 &amp; ""_gpt_only_title"")
)"),0.180399999999999)</f>
        <v>0.1804</v>
      </c>
      <c r="K28" s="21">
        <f>IFERROR(__xludf.DUMMYFUNCTION("FILTER(SemEval_2025_T2!$F$4:$F$100, 
  REGEXMATCH(SemEval_2025_T2!$A$4:$A$100, ""(?i)"" &amp; K$15 &amp; ""_gpt_only_title"")
)"),0.1818)</f>
        <v>0.1818</v>
      </c>
      <c r="L28" s="21">
        <f>IFERROR(__xludf.DUMMYFUNCTION("FILTER(SemEval_2025_T2!$F$4:$F$100, 
  REGEXMATCH(SemEval_2025_T2!$A$4:$A$100, ""(?i)"" &amp; L$15 &amp; ""_gpt_only_title"")
)"),0.0654)</f>
        <v>0.0654</v>
      </c>
    </row>
    <row r="29">
      <c r="A29" s="12" t="s">
        <v>46</v>
      </c>
      <c r="B29" s="15">
        <f t="shared" ref="B29:E29" si="10">B27-B28</f>
        <v>-0.0328</v>
      </c>
      <c r="C29" s="15">
        <f t="shared" si="10"/>
        <v>0.0364</v>
      </c>
      <c r="D29" s="15">
        <f t="shared" si="10"/>
        <v>0.0062</v>
      </c>
      <c r="E29" s="15">
        <f t="shared" si="10"/>
        <v>-0.004</v>
      </c>
      <c r="F29" s="15">
        <f>AVERAGE(B29:E29)</f>
        <v>0.00145</v>
      </c>
      <c r="G29" s="15"/>
      <c r="H29" s="12" t="s">
        <v>46</v>
      </c>
      <c r="I29" s="15">
        <f t="shared" ref="I29:L29" si="11">I27-I28</f>
        <v>-0.0052</v>
      </c>
      <c r="J29" s="15">
        <f t="shared" si="11"/>
        <v>0.037</v>
      </c>
      <c r="K29" s="15">
        <f t="shared" si="11"/>
        <v>0.0026</v>
      </c>
      <c r="L29" s="15">
        <f t="shared" si="11"/>
        <v>-0.0038</v>
      </c>
      <c r="M29" s="15">
        <f>AVERAGE(I29:L29)</f>
        <v>0.00765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>
      <c r="A30" s="4" t="s">
        <v>20</v>
      </c>
      <c r="B30" s="21">
        <f>IFERROR(__xludf.DUMMYFUNCTION("FILTER(SemEval_2025_T2!$E$4:$E$100, 
  REGEXMATCH(SemEval_2025_T2!$A$4:$A$100, ""(?i)"" &amp; B$15 &amp; ""_title_description""), NOT(REGEXMATCH(SemEval_2025_T2!$A$4:$A$100, ""(?i)complete""))
)"),0.4682)</f>
        <v>0.4682</v>
      </c>
      <c r="C30" s="21">
        <f>IFERROR(__xludf.DUMMYFUNCTION("FILTER(SemEval_2025_T2!$E$4:$E$100, 
  REGEXMATCH(SemEval_2025_T2!$A$4:$A$100, ""(?i)"" &amp; C$15 &amp; ""_title_description""), NOT(REGEXMATCH(SemEval_2025_T2!$A$4:$A$100, ""(?i)complete""))
)"),0.3714)</f>
        <v>0.3714</v>
      </c>
      <c r="D30" s="21">
        <f>IFERROR(__xludf.DUMMYFUNCTION("FILTER(SemEval_2025_T2!$E$4:$E$100, 
  REGEXMATCH(SemEval_2025_T2!$A$4:$A$100, ""(?i)"" &amp; D$15 &amp; ""_title_description""), NOT(REGEXMATCH(SemEval_2025_T2!$A$4:$A$100, ""(?i)complete""))
)"),0.2814)</f>
        <v>0.2814</v>
      </c>
      <c r="E30" s="21">
        <f>IFERROR(__xludf.DUMMYFUNCTION("FILTER(SemEval_2025_T2!$E$4:$E$100, 
  REGEXMATCH(SemEval_2025_T2!$A$4:$A$100, ""(?i)"" &amp; E$15 &amp; ""_title_description""), NOT(REGEXMATCH(SemEval_2025_T2!$A$4:$A$100, ""(?i)complete""))
)"),0.1878)</f>
        <v>0.1878</v>
      </c>
      <c r="H30" s="4" t="s">
        <v>20</v>
      </c>
      <c r="I30" s="21">
        <f>IFERROR(__xludf.DUMMYFUNCTION("FILTER(SemEval_2025_T2!$F$4:$F$100, 
  REGEXMATCH(SemEval_2025_T2!$A$4:$A$100, ""(?i)"" &amp; I$15 &amp; ""_title_description""), NOT(REGEXMATCH(SemEval_2025_T2!$A$4:$A$100, ""(?i)complete""))
)"),0.285599999999999)</f>
        <v>0.2856</v>
      </c>
      <c r="J30" s="21">
        <f>IFERROR(__xludf.DUMMYFUNCTION("FILTER(SemEval_2025_T2!$F$4:$F$100, 
  REGEXMATCH(SemEval_2025_T2!$A$4:$A$100, ""(?i)"" &amp; J$15 &amp; ""_title_description""), NOT(REGEXMATCH(SemEval_2025_T2!$A$4:$A$100, ""(?i)complete""))
)"),0.204599999999999)</f>
        <v>0.2046</v>
      </c>
      <c r="K30" s="21">
        <f>IFERROR(__xludf.DUMMYFUNCTION("FILTER(SemEval_2025_T2!$F$4:$F$100, 
  REGEXMATCH(SemEval_2025_T2!$A$4:$A$100, ""(?i)"" &amp; K$15 &amp; ""_title_description""), NOT(REGEXMATCH(SemEval_2025_T2!$A$4:$A$100, ""(?i)complete""))
)"),0.1774)</f>
        <v>0.1774</v>
      </c>
      <c r="L30" s="21">
        <f>IFERROR(__xludf.DUMMYFUNCTION("FILTER(SemEval_2025_T2!$F$4:$F$100, 
  REGEXMATCH(SemEval_2025_T2!$A$4:$A$100, ""(?i)"" &amp; L$15 &amp; ""_title_description""), NOT(REGEXMATCH(SemEval_2025_T2!$A$4:$A$100, ""(?i)complete""))
)"),0.0782)</f>
        <v>0.0782</v>
      </c>
    </row>
    <row r="31">
      <c r="A31" s="21" t="s">
        <v>33</v>
      </c>
      <c r="B31" s="21">
        <f>IFERROR(__xludf.DUMMYFUNCTION("FILTER(SemEval_2025_T2!$E$4:$E$100, 
  REGEXMATCH(SemEval_2025_T2!$A$4:$A$100, ""(?i)"" &amp; B$15 &amp; ""_gpt_title_description""), NOT(REGEXMATCH(SemEval_2025_T2!$A$4:$A$100, ""(?i)complete""))
)"),0.4574)</f>
        <v>0.4574</v>
      </c>
      <c r="C31" s="21">
        <f>IFERROR(__xludf.DUMMYFUNCTION("FILTER(SemEval_2025_T2!$E$4:$E$100, 
  REGEXMATCH(SemEval_2025_T2!$A$4:$A$100, ""(?i)"" &amp; C$15 &amp; ""_gpt_title_description""), NOT(REGEXMATCH(SemEval_2025_T2!$A$4:$A$100, ""(?i)complete""))
)"),0.3716)</f>
        <v>0.3716</v>
      </c>
      <c r="D31" s="21">
        <f>IFERROR(__xludf.DUMMYFUNCTION("FILTER(SemEval_2025_T2!$E$4:$E$100, 
  REGEXMATCH(SemEval_2025_T2!$A$4:$A$100, ""(?i)"" &amp; D$15 &amp; ""_gpt_title_description""), NOT(REGEXMATCH(SemEval_2025_T2!$A$4:$A$100, ""(?i)complete""))
)"),0.2834)</f>
        <v>0.2834</v>
      </c>
      <c r="E31" s="21">
        <f>IFERROR(__xludf.DUMMYFUNCTION("FILTER(SemEval_2025_T2!$E$4:$E$100, 
  REGEXMATCH(SemEval_2025_T2!$A$4:$A$100, ""(?i)"" &amp; E$15 &amp; ""_gpt_title_description""), NOT(REGEXMATCH(SemEval_2025_T2!$A$4:$A$100, ""(?i)complete""))
)"),0.175799999999999)</f>
        <v>0.1758</v>
      </c>
      <c r="H31" s="21" t="s">
        <v>33</v>
      </c>
      <c r="I31" s="21">
        <f>IFERROR(__xludf.DUMMYFUNCTION("FILTER(SemEval_2025_T2!$F$4:$F$100, 
  REGEXMATCH(SemEval_2025_T2!$A$4:$A$100, ""(?i)"" &amp; I$15 &amp; ""_gpt_title_description""), NOT(REGEXMATCH(SemEval_2025_T2!$A$4:$A$100, ""(?i)complete""))
)"),0.267)</f>
        <v>0.267</v>
      </c>
      <c r="J31" s="21">
        <f>IFERROR(__xludf.DUMMYFUNCTION("FILTER(SemEval_2025_T2!$F$4:$F$100, 
  REGEXMATCH(SemEval_2025_T2!$A$4:$A$100, ""(?i)"" &amp; J$15 &amp; ""_gpt_title_description""), NOT(REGEXMATCH(SemEval_2025_T2!$A$4:$A$100, ""(?i)complete""))
)"),0.2182)</f>
        <v>0.2182</v>
      </c>
      <c r="K31" s="21">
        <f>IFERROR(__xludf.DUMMYFUNCTION("FILTER(SemEval_2025_T2!$F$4:$F$100, 
  REGEXMATCH(SemEval_2025_T2!$A$4:$A$100, ""(?i)"" &amp; K$15 &amp; ""_gpt_title_description""), NOT(REGEXMATCH(SemEval_2025_T2!$A$4:$A$100, ""(?i)complete""))
)"),0.1776)</f>
        <v>0.1776</v>
      </c>
      <c r="L31" s="21">
        <f>IFERROR(__xludf.DUMMYFUNCTION("FILTER(SemEval_2025_T2!$F$4:$F$100, 
  REGEXMATCH(SemEval_2025_T2!$A$4:$A$100, ""(?i)"" &amp; L$15 &amp; ""_gpt_title_description""), NOT(REGEXMATCH(SemEval_2025_T2!$A$4:$A$100, ""(?i)complete""))
)"),0.0826)</f>
        <v>0.0826</v>
      </c>
    </row>
    <row r="32">
      <c r="A32" s="12" t="s">
        <v>51</v>
      </c>
      <c r="B32" s="15">
        <f t="shared" ref="B32:E32" si="12">B30-B31</f>
        <v>0.0108</v>
      </c>
      <c r="C32" s="15">
        <f t="shared" si="12"/>
        <v>-0.0002</v>
      </c>
      <c r="D32" s="15">
        <f t="shared" si="12"/>
        <v>-0.002</v>
      </c>
      <c r="E32" s="15">
        <f t="shared" si="12"/>
        <v>0.012</v>
      </c>
      <c r="F32" s="15">
        <f>AVERAGE(B32:E32)</f>
        <v>0.00515</v>
      </c>
      <c r="G32" s="15"/>
      <c r="H32" s="12" t="s">
        <v>51</v>
      </c>
      <c r="I32" s="15">
        <f t="shared" ref="I32:L32" si="13">I30-I31</f>
        <v>0.0186</v>
      </c>
      <c r="J32" s="15">
        <f t="shared" si="13"/>
        <v>-0.0136</v>
      </c>
      <c r="K32" s="15">
        <f t="shared" si="13"/>
        <v>-0.0002</v>
      </c>
      <c r="L32" s="15">
        <f t="shared" si="13"/>
        <v>-0.0044</v>
      </c>
      <c r="M32" s="15">
        <f>AVERAGE(I32:L32)</f>
        <v>0.0001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>
      <c r="A33" s="4" t="s">
        <v>25</v>
      </c>
      <c r="B33" s="21">
        <f>IFERROR(__xludf.DUMMYFUNCTION("FILTER(SemEval_2025_T2!$E$4:$E$100, 
  REGEXMATCH(SemEval_2025_T2!$A$4:$A$100, ""(?i)"" &amp; B$15 &amp; ""_title_description_complete"")
)"),0.453599999999999)</f>
        <v>0.4536</v>
      </c>
      <c r="C33" s="21">
        <f>IFERROR(__xludf.DUMMYFUNCTION("FILTER(SemEval_2025_T2!$E$4:$E$100, 
  REGEXMATCH(SemEval_2025_T2!$A$4:$A$100, ""(?i)"" &amp; C$15 &amp; ""_title_description_complete"")
)"),0.3854)</f>
        <v>0.3854</v>
      </c>
      <c r="D33" s="21">
        <f>IFERROR(__xludf.DUMMYFUNCTION("FILTER(SemEval_2025_T2!$E$4:$E$100, 
  REGEXMATCH(SemEval_2025_T2!$A$4:$A$100, ""(?i)"" &amp; D$15 &amp; ""_title_description_complete"")
)"),0.2652)</f>
        <v>0.2652</v>
      </c>
      <c r="E33" s="21">
        <f>IFERROR(__xludf.DUMMYFUNCTION("FILTER(SemEval_2025_T2!$E$4:$E$100, 
  REGEXMATCH(SemEval_2025_T2!$A$4:$A$100, ""(?i)"" &amp; E$15 &amp; ""_title_description_complete"")
)"),0.089)</f>
        <v>0.089</v>
      </c>
      <c r="H33" s="4" t="s">
        <v>25</v>
      </c>
      <c r="I33" s="21">
        <f>IFERROR(__xludf.DUMMYFUNCTION("FILTER(SemEval_2025_T2!$F$4:$F$100, 
  REGEXMATCH(SemEval_2025_T2!$A$4:$A$100, ""(?i)"" &amp; I$15 &amp; ""_title_description_complete"")
)"),0.2698)</f>
        <v>0.2698</v>
      </c>
      <c r="J33" s="21">
        <f>IFERROR(__xludf.DUMMYFUNCTION("FILTER(SemEval_2025_T2!$F$4:$F$100, 
  REGEXMATCH(SemEval_2025_T2!$A$4:$A$100, ""(?i)"" &amp; J$15 &amp; ""_title_description_complete"")
)"),0.1814)</f>
        <v>0.1814</v>
      </c>
      <c r="K33" s="21">
        <f>IFERROR(__xludf.DUMMYFUNCTION("FILTER(SemEval_2025_T2!$F$4:$F$100, 
  REGEXMATCH(SemEval_2025_T2!$A$4:$A$100, ""(?i)"" &amp; K$15 &amp; ""_title_description_complete"")
)"),0.0809999999999999)</f>
        <v>0.081</v>
      </c>
      <c r="L33" s="21">
        <f>IFERROR(__xludf.DUMMYFUNCTION("FILTER(SemEval_2025_T2!$F$4:$F$100, 
  REGEXMATCH(SemEval_2025_T2!$A$4:$A$100, ""(?i)"" &amp; L$15 &amp; ""_title_description_complete"")
)"),0.0288)</f>
        <v>0.0288</v>
      </c>
    </row>
    <row r="34">
      <c r="A34" s="21" t="s">
        <v>35</v>
      </c>
      <c r="B34" s="21">
        <f>IFERROR(__xludf.DUMMYFUNCTION("FILTER(SemEval_2025_T2!$E$4:$E$100, 
  REGEXMATCH(SemEval_2025_T2!$A$4:$A$100, ""(?i)"" &amp; B$15 &amp; ""_gpt_title_description_complete"")
)"),0.45)</f>
        <v>0.45</v>
      </c>
      <c r="C34" s="21">
        <f>IFERROR(__xludf.DUMMYFUNCTION("FILTER(SemEval_2025_T2!$E$4:$E$100, 
  REGEXMATCH(SemEval_2025_T2!$A$4:$A$100, ""(?i)"" &amp; C$15 &amp; ""_gpt_title_description_complete"")
)"),0.3804)</f>
        <v>0.3804</v>
      </c>
      <c r="D34" s="21">
        <f>IFERROR(__xludf.DUMMYFUNCTION("FILTER(SemEval_2025_T2!$E$4:$E$100, 
  REGEXMATCH(SemEval_2025_T2!$A$4:$A$100, ""(?i)"" &amp; D$15 &amp; ""_gpt_title_description_complete"")
)"),0.2804)</f>
        <v>0.2804</v>
      </c>
      <c r="E34" s="21">
        <f>IFERROR(__xludf.DUMMYFUNCTION("FILTER(SemEval_2025_T2!$E$4:$E$100, 
  REGEXMATCH(SemEval_2025_T2!$A$4:$A$100, ""(?i)"" &amp; E$15 &amp; ""_gpt_title_description_complete"")
)"),0.1236)</f>
        <v>0.1236</v>
      </c>
      <c r="H34" s="21" t="s">
        <v>35</v>
      </c>
      <c r="I34" s="21">
        <f>IFERROR(__xludf.DUMMYFUNCTION("FILTER(SemEval_2025_T2!$F$4:$F$100, 
  REGEXMATCH(SemEval_2025_T2!$A$4:$A$100, ""(?i)"" &amp; I$15 &amp; ""_gpt_title_description_complete"")
)"),0.2692)</f>
        <v>0.2692</v>
      </c>
      <c r="J34" s="21">
        <f>IFERROR(__xludf.DUMMYFUNCTION("FILTER(SemEval_2025_T2!$F$4:$F$100, 
  REGEXMATCH(SemEval_2025_T2!$A$4:$A$100, ""(?i)"" &amp; J$15 &amp; ""_gpt_title_description_complete"")
)"),0.1926)</f>
        <v>0.1926</v>
      </c>
      <c r="K34" s="21">
        <f>IFERROR(__xludf.DUMMYFUNCTION("FILTER(SemEval_2025_T2!$F$4:$F$100, 
  REGEXMATCH(SemEval_2025_T2!$A$4:$A$100, ""(?i)"" &amp; K$15 &amp; ""_gpt_title_description_complete"")
)"),0.136)</f>
        <v>0.136</v>
      </c>
      <c r="L34" s="21">
        <f>IFERROR(__xludf.DUMMYFUNCTION("FILTER(SemEval_2025_T2!$F$4:$F$100, 
  REGEXMATCH(SemEval_2025_T2!$A$4:$A$100, ""(?i)"" &amp; L$15 &amp; ""_gpt_title_description_complete"")
)"),0.044)</f>
        <v>0.044</v>
      </c>
    </row>
    <row r="35">
      <c r="A35" s="12" t="s">
        <v>52</v>
      </c>
      <c r="B35" s="15">
        <f t="shared" ref="B35:E35" si="14">B33-B34</f>
        <v>0.0036</v>
      </c>
      <c r="C35" s="15">
        <f t="shared" si="14"/>
        <v>0.005</v>
      </c>
      <c r="D35" s="15">
        <f t="shared" si="14"/>
        <v>-0.0152</v>
      </c>
      <c r="E35" s="15">
        <f t="shared" si="14"/>
        <v>-0.0346</v>
      </c>
      <c r="F35" s="15">
        <f>AVERAGE(B35:E35)</f>
        <v>-0.0103</v>
      </c>
      <c r="G35" s="15"/>
      <c r="H35" s="12" t="s">
        <v>52</v>
      </c>
      <c r="I35" s="15">
        <f t="shared" ref="I35:L35" si="15">I33-I34</f>
        <v>0.0006</v>
      </c>
      <c r="J35" s="15">
        <f t="shared" si="15"/>
        <v>-0.0112</v>
      </c>
      <c r="K35" s="15">
        <f t="shared" si="15"/>
        <v>-0.055</v>
      </c>
      <c r="L35" s="15">
        <f t="shared" si="15"/>
        <v>-0.0152</v>
      </c>
      <c r="M35" s="15">
        <f>AVERAGE(I35:L35)</f>
        <v>-0.0202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7">
      <c r="A37" s="4" t="s">
        <v>55</v>
      </c>
      <c r="B37" s="4" t="s">
        <v>4</v>
      </c>
      <c r="C37" s="4" t="s">
        <v>5</v>
      </c>
      <c r="D37" s="4" t="s">
        <v>6</v>
      </c>
      <c r="E37" s="4" t="s">
        <v>7</v>
      </c>
      <c r="H37" s="4" t="s">
        <v>56</v>
      </c>
      <c r="I37" s="4" t="s">
        <v>4</v>
      </c>
      <c r="J37" s="4" t="s">
        <v>5</v>
      </c>
      <c r="K37" s="4" t="s">
        <v>6</v>
      </c>
      <c r="L37" s="4" t="s">
        <v>7</v>
      </c>
    </row>
    <row r="38">
      <c r="A38" s="21" t="s">
        <v>15</v>
      </c>
      <c r="B38" s="21">
        <f>IFERROR(__xludf.DUMMYFUNCTION("FILTER(SemEval_2025_T2!$G$4:$G$100, 
  REGEXMATCH(SemEval_2025_T2!$A$4:$A$100, ""(?i)"" &amp; B$15 &amp; ""_only_title"")
)"),0.4362)</f>
        <v>0.4362</v>
      </c>
      <c r="C38" s="21">
        <f>IFERROR(__xludf.DUMMYFUNCTION("FILTER(SemEval_2025_T2!$C$4:$C$100, 
  REGEXMATCH(SemEval_2025_T2!$A$4:$A$100, ""(?i)"" &amp; C$15 &amp; ""_only_title"")
)"),0.2704)</f>
        <v>0.2704</v>
      </c>
      <c r="D38" s="21">
        <f>IFERROR(__xludf.DUMMYFUNCTION("FILTER(SemEval_2025_T2!$C$4:$C$100, 
  REGEXMATCH(SemEval_2025_T2!$A$4:$A$100, ""(?i)"" &amp; D$15 &amp; ""_only_title"")
)"),0.1898)</f>
        <v>0.1898</v>
      </c>
      <c r="E38" s="21">
        <f>IFERROR(__xludf.DUMMYFUNCTION("FILTER(SemEval_2025_T2!$C$4:$C$100, 
  REGEXMATCH(SemEval_2025_T2!$A$4:$A$100, ""(?i)"" &amp; E$15 &amp; ""_only_title"")
)"),0.1968)</f>
        <v>0.1968</v>
      </c>
      <c r="H38" s="21" t="s">
        <v>15</v>
      </c>
      <c r="I38" s="21">
        <f>IFERROR(__xludf.DUMMYFUNCTION("FILTER(SemEval_2025_T2!$D$4:$D$100, 
  REGEXMATCH(SemEval_2025_T2!$A$4:$A$100, ""(?i)"" &amp; I$15 &amp; ""_only_title"")
)"),0.188)</f>
        <v>0.188</v>
      </c>
      <c r="J38" s="21">
        <f>IFERROR(__xludf.DUMMYFUNCTION("FILTER(SemEval_2025_T2!$D$4:$D$100, 
  REGEXMATCH(SemEval_2025_T2!$A$4:$A$100, ""(?i)"" &amp; J$15 &amp; ""_only_title"")
)"),0.2434)</f>
        <v>0.2434</v>
      </c>
      <c r="K38" s="21">
        <f>IFERROR(__xludf.DUMMYFUNCTION("FILTER(SemEval_2025_T2!$D$4:$D$100, 
  REGEXMATCH(SemEval_2025_T2!$A$4:$A$100, ""(?i)"" &amp; K$15 &amp; ""_only_title"")
)"),0.1254)</f>
        <v>0.1254</v>
      </c>
      <c r="L38" s="21">
        <f>IFERROR(__xludf.DUMMYFUNCTION("FILTER(SemEval_2025_T2!$D$4:$D$100, 
  REGEXMATCH(SemEval_2025_T2!$A$4:$A$100, ""(?i)"" &amp; L$15 &amp; ""_only_title"")
)"),0.161199999999999)</f>
        <v>0.1612</v>
      </c>
    </row>
    <row r="39">
      <c r="A39" s="21" t="s">
        <v>31</v>
      </c>
      <c r="B39" s="21">
        <f>IFERROR(__xludf.DUMMYFUNCTION("FILTER(SemEval_2025_T2!$C$4:$C$100, 
  REGEXMATCH(SemEval_2025_T2!$A$4:$A$100, ""(?i)"" &amp; B$15 &amp; ""_gpt_only_title"")
)"),0.3814)</f>
        <v>0.3814</v>
      </c>
      <c r="C39" s="21">
        <f>IFERROR(__xludf.DUMMYFUNCTION("FILTER(SemEval_2025_T2!$C$4:$C$100, 
  REGEXMATCH(SemEval_2025_T2!$A$4:$A$100, ""(?i)"" &amp; C$15 &amp; ""_gpt_only_title"")
)"),0.2782)</f>
        <v>0.2782</v>
      </c>
      <c r="D39" s="21">
        <f>IFERROR(__xludf.DUMMYFUNCTION("FILTER(SemEval_2025_T2!$C$4:$C$100, 
  REGEXMATCH(SemEval_2025_T2!$A$4:$A$100, ""(?i)"" &amp; D$15 &amp; ""_gpt_only_title"")
)"),0.1596)</f>
        <v>0.1596</v>
      </c>
      <c r="E39" s="21">
        <f>IFERROR(__xludf.DUMMYFUNCTION("FILTER(SemEval_2025_T2!$C$4:$C$100, 
  REGEXMATCH(SemEval_2025_T2!$A$4:$A$100, ""(?i)"" &amp; E$15 &amp; ""_gpt_only_title"")
)"),0.1936)</f>
        <v>0.1936</v>
      </c>
      <c r="H39" s="21" t="s">
        <v>31</v>
      </c>
      <c r="I39" s="21">
        <f>IFERROR(__xludf.DUMMYFUNCTION("FILTER(SemEval_2025_T2!$D$4:$D$100, 
  REGEXMATCH(SemEval_2025_T2!$A$4:$A$100, ""(?i)"" &amp; I$15 &amp; ""_gpt_only_title"")
)"),0.2058)</f>
        <v>0.2058</v>
      </c>
      <c r="J39" s="21">
        <f>IFERROR(__xludf.DUMMYFUNCTION("FILTER(SemEval_2025_T2!$D$4:$D$100, 
  REGEXMATCH(SemEval_2025_T2!$A$4:$A$100, ""(?i)"" &amp; J$15 &amp; ""_gpt_only_title"")
)"),0.2544)</f>
        <v>0.2544</v>
      </c>
      <c r="K39" s="21">
        <f>IFERROR(__xludf.DUMMYFUNCTION("FILTER(SemEval_2025_T2!$D$4:$D$100, 
  REGEXMATCH(SemEval_2025_T2!$A$4:$A$100, ""(?i)"" &amp; K$15 &amp; ""_gpt_only_title"")
)"),0.0998)</f>
        <v>0.0998</v>
      </c>
      <c r="L39" s="21">
        <f>IFERROR(__xludf.DUMMYFUNCTION("FILTER(SemEval_2025_T2!$D$4:$D$100, 
  REGEXMATCH(SemEval_2025_T2!$A$4:$A$100, ""(?i)"" &amp; L$15 &amp; ""_gpt_only_title"")
)"),0.1488)</f>
        <v>0.1488</v>
      </c>
    </row>
    <row r="40">
      <c r="A40" s="12" t="s">
        <v>46</v>
      </c>
      <c r="B40" s="15">
        <f t="shared" ref="B40:E40" si="16">B38-B39</f>
        <v>0.0548</v>
      </c>
      <c r="C40" s="15">
        <f t="shared" si="16"/>
        <v>-0.0078</v>
      </c>
      <c r="D40" s="15">
        <f t="shared" si="16"/>
        <v>0.0302</v>
      </c>
      <c r="E40" s="15">
        <f t="shared" si="16"/>
        <v>0.0032</v>
      </c>
      <c r="F40" s="15">
        <f>AVERAGE(B40:E40)</f>
        <v>0.0201</v>
      </c>
      <c r="G40" s="15"/>
      <c r="H40" s="12" t="s">
        <v>46</v>
      </c>
      <c r="I40" s="15">
        <f t="shared" ref="I40:L40" si="17">I38-I39</f>
        <v>-0.0178</v>
      </c>
      <c r="J40" s="15">
        <f t="shared" si="17"/>
        <v>-0.011</v>
      </c>
      <c r="K40" s="15">
        <f t="shared" si="17"/>
        <v>0.0256</v>
      </c>
      <c r="L40" s="15">
        <f t="shared" si="17"/>
        <v>0.0124</v>
      </c>
      <c r="M40" s="15">
        <f>AVERAGE(I40:L40)</f>
        <v>0.0023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>
      <c r="A41" s="4" t="s">
        <v>20</v>
      </c>
      <c r="B41" s="21" t="str">
        <f>IFERROR(__xludf.DUMMYFUNCTION("FILTER(SemEval_2025_T2!$C$4:$C$100, 
  REGEXMATCH(SemEval_2025_T2!$A$4:$A$100, ""(?i)"" &amp; B$15 &amp; ""_title_description""), NOT(REGEXMATCH(SemEval_2025_T2!$A$4:$A$100, ""(?i)complete""))
)"),"")</f>
        <v/>
      </c>
      <c r="C41" s="21">
        <f>IFERROR(__xludf.DUMMYFUNCTION("FILTER(SemEval_2025_T2!$C$4:$C$100, 
  REGEXMATCH(SemEval_2025_T2!$A$4:$A$100, ""(?i)"" &amp; C$15 &amp; ""_title_description""), NOT(REGEXMATCH(SemEval_2025_T2!$A$4:$A$100, ""(?i)complete""))
)"),0.2542)</f>
        <v>0.2542</v>
      </c>
      <c r="D41" s="21">
        <f>IFERROR(__xludf.DUMMYFUNCTION("FILTER(SemEval_2025_T2!$C$4:$C$100, 
  REGEXMATCH(SemEval_2025_T2!$A$4:$A$100, ""(?i)"" &amp; D$15 &amp; ""_title_description""), NOT(REGEXMATCH(SemEval_2025_T2!$A$4:$A$100, ""(?i)complete""))
)"),0.1898)</f>
        <v>0.1898</v>
      </c>
      <c r="E41" s="21">
        <f>IFERROR(__xludf.DUMMYFUNCTION("FILTER(SemEval_2025_T2!$C$4:$C$100, 
  REGEXMATCH(SemEval_2025_T2!$A$4:$A$100, ""(?i)"" &amp; E$15 &amp; ""_title_description""), NOT(REGEXMATCH(SemEval_2025_T2!$A$4:$A$100, ""(?i)complete""))
)"),0.1724)</f>
        <v>0.1724</v>
      </c>
      <c r="H41" s="4" t="s">
        <v>20</v>
      </c>
      <c r="I41" s="21" t="str">
        <f>IFERROR(__xludf.DUMMYFUNCTION("FILTER(SemEval_2025_T2!$D$4:$D$100, 
  REGEXMATCH(SemEval_2025_T2!$A$4:$A$100, ""(?i)"" &amp; I$15 &amp; ""_title_description""), NOT(REGEXMATCH(SemEval_2025_T2!$A$4:$A$100, ""(?i)complete""))
)"),"")</f>
        <v/>
      </c>
      <c r="J41" s="21">
        <f>IFERROR(__xludf.DUMMYFUNCTION("FILTER(SemEval_2025_T2!$D$4:$D$100, 
  REGEXMATCH(SemEval_2025_T2!$A$4:$A$100, ""(?i)"" &amp; J$15 &amp; ""_title_description""), NOT(REGEXMATCH(SemEval_2025_T2!$A$4:$A$100, ""(?i)complete""))
)"),0.242)</f>
        <v>0.242</v>
      </c>
      <c r="K41" s="21">
        <f>IFERROR(__xludf.DUMMYFUNCTION("FILTER(SemEval_2025_T2!$D$4:$D$100, 
  REGEXMATCH(SemEval_2025_T2!$A$4:$A$100, ""(?i)"" &amp; K$15 &amp; ""_title_description""), NOT(REGEXMATCH(SemEval_2025_T2!$A$4:$A$100, ""(?i)complete""))
)"),0.118799999999999)</f>
        <v>0.1188</v>
      </c>
      <c r="L41" s="21">
        <f>IFERROR(__xludf.DUMMYFUNCTION("FILTER(SemEval_2025_T2!$D$4:$D$100, 
  REGEXMATCH(SemEval_2025_T2!$A$4:$A$100, ""(?i)"" &amp; L$15 &amp; ""_title_description""), NOT(REGEXMATCH(SemEval_2025_T2!$A$4:$A$100, ""(?i)complete""))
)"),0.1396)</f>
        <v>0.1396</v>
      </c>
    </row>
    <row r="42">
      <c r="A42" s="21" t="s">
        <v>33</v>
      </c>
      <c r="B42" s="21">
        <f>IFERROR(__xludf.DUMMYFUNCTION("FILTER(SemEval_2025_T2!$C$4:$C$100, 
  REGEXMATCH(SemEval_2025_T2!$A$4:$A$100, ""(?i)"" &amp; B$15 &amp; ""_gpt_title_description""), NOT(REGEXMATCH(SemEval_2025_T2!$A$4:$A$100, ""(?i)complete""))
)"),0.372)</f>
        <v>0.372</v>
      </c>
      <c r="C42" s="21">
        <f>IFERROR(__xludf.DUMMYFUNCTION("FILTER(SemEval_2025_T2!$C$4:$C$100, 
  REGEXMATCH(SemEval_2025_T2!$A$4:$A$100, ""(?i)"" &amp; C$15 &amp; ""_gpt_title_description""), NOT(REGEXMATCH(SemEval_2025_T2!$A$4:$A$100, ""(?i)complete""))
)"),0.2652)</f>
        <v>0.2652</v>
      </c>
      <c r="D42" s="21">
        <f>IFERROR(__xludf.DUMMYFUNCTION("FILTER(SemEval_2025_T2!$C$4:$C$100, 
  REGEXMATCH(SemEval_2025_T2!$A$4:$A$100, ""(?i)"" &amp; D$15 &amp; ""_gpt_title_description""), NOT(REGEXMATCH(SemEval_2025_T2!$A$4:$A$100, ""(?i)complete""))
)"),0.1788)</f>
        <v>0.1788</v>
      </c>
      <c r="E42" s="21">
        <f>IFERROR(__xludf.DUMMYFUNCTION("FILTER(SemEval_2025_T2!$C$4:$C$100, 
  REGEXMATCH(SemEval_2025_T2!$A$4:$A$100, ""(?i)"" &amp; E$15 &amp; ""_gpt_title_description""), NOT(REGEXMATCH(SemEval_2025_T2!$A$4:$A$100, ""(?i)complete""))
)"),0.1888)</f>
        <v>0.1888</v>
      </c>
      <c r="H42" s="21" t="s">
        <v>33</v>
      </c>
      <c r="I42" s="21">
        <f>IFERROR(__xludf.DUMMYFUNCTION("FILTER(SemEval_2025_T2!$D$4:$D$100, 
  REGEXMATCH(SemEval_2025_T2!$A$4:$A$100, ""(?i)"" &amp; I$15 &amp; ""_gpt_title_description""), NOT(REGEXMATCH(SemEval_2025_T2!$A$4:$A$100, ""(?i)complete""))
)"),0.2172)</f>
        <v>0.2172</v>
      </c>
      <c r="J42" s="21">
        <f>IFERROR(__xludf.DUMMYFUNCTION("FILTER(SemEval_2025_T2!$D$4:$D$100, 
  REGEXMATCH(SemEval_2025_T2!$A$4:$A$100, ""(?i)"" &amp; J$15 &amp; ""_gpt_title_description""), NOT(REGEXMATCH(SemEval_2025_T2!$A$4:$A$100, ""(?i)complete""))
)"),0.2544)</f>
        <v>0.2544</v>
      </c>
      <c r="K42" s="21">
        <f>IFERROR(__xludf.DUMMYFUNCTION("FILTER(SemEval_2025_T2!$D$4:$D$100, 
  REGEXMATCH(SemEval_2025_T2!$A$4:$A$100, ""(?i)"" &amp; K$15 &amp; ""_gpt_title_description""), NOT(REGEXMATCH(SemEval_2025_T2!$A$4:$A$100, ""(?i)complete""))
)"),0.0958)</f>
        <v>0.0958</v>
      </c>
      <c r="L42" s="21">
        <f>IFERROR(__xludf.DUMMYFUNCTION("FILTER(SemEval_2025_T2!$D$4:$D$100, 
  REGEXMATCH(SemEval_2025_T2!$A$4:$A$100, ""(?i)"" &amp; L$15 &amp; ""_gpt_title_description""), NOT(REGEXMATCH(SemEval_2025_T2!$A$4:$A$100, ""(?i)complete""))
)"),0.1394)</f>
        <v>0.1394</v>
      </c>
    </row>
    <row r="43">
      <c r="A43" s="12" t="s">
        <v>51</v>
      </c>
      <c r="B43" s="15">
        <f t="shared" ref="B43:E43" si="18">B41-B42</f>
        <v>-0.372</v>
      </c>
      <c r="C43" s="15">
        <f t="shared" si="18"/>
        <v>-0.011</v>
      </c>
      <c r="D43" s="15">
        <f t="shared" si="18"/>
        <v>0.011</v>
      </c>
      <c r="E43" s="15">
        <f t="shared" si="18"/>
        <v>-0.0164</v>
      </c>
      <c r="F43" s="15">
        <f>AVERAGE(C43:E43)</f>
        <v>-0.005466666667</v>
      </c>
      <c r="G43" s="15"/>
      <c r="H43" s="12" t="s">
        <v>51</v>
      </c>
      <c r="I43" s="15">
        <f t="shared" ref="I43:L43" si="19">I41-I42</f>
        <v>-0.2172</v>
      </c>
      <c r="J43" s="15">
        <f t="shared" si="19"/>
        <v>-0.0124</v>
      </c>
      <c r="K43" s="15">
        <f t="shared" si="19"/>
        <v>0.023</v>
      </c>
      <c r="L43" s="15">
        <f t="shared" si="19"/>
        <v>0.0002</v>
      </c>
      <c r="M43" s="15">
        <f>AVERAGE(J43:L43)</f>
        <v>0.0036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>
      <c r="A44" s="4" t="s">
        <v>25</v>
      </c>
      <c r="B44" s="21" t="str">
        <f>IFERROR(__xludf.DUMMYFUNCTION("FILTER(SemEval_2025_T2!$C$4:$C$100, 
  REGEXMATCH(SemEval_2025_T2!$A$4:$A$100, ""(?i)"" &amp; B$15 &amp; ""_title_description_complete"")
)"),"")</f>
        <v/>
      </c>
      <c r="C44" s="21" t="str">
        <f>IFERROR(__xludf.DUMMYFUNCTION("FILTER(SemEval_2025_T2!$C$4:$C$100, 
  REGEXMATCH(SemEval_2025_T2!$A$4:$A$100, ""(?i)"" &amp; C$15 &amp; ""_title_description_complete"")
)"),"")</f>
        <v/>
      </c>
      <c r="D44" s="21" t="str">
        <f>IFERROR(__xludf.DUMMYFUNCTION("FILTER(SemEval_2025_T2!$C$4:$C$100, 
  REGEXMATCH(SemEval_2025_T2!$A$4:$A$100, ""(?i)"" &amp; D$15 &amp; ""_title_description_complete"")
)"),"")</f>
        <v/>
      </c>
      <c r="E44" s="21">
        <f>IFERROR(__xludf.DUMMYFUNCTION("FILTER(SemEval_2025_T2!$C$4:$C$100, 
  REGEXMATCH(SemEval_2025_T2!$A$4:$A$100, ""(?i)"" &amp; E$15 &amp; ""_title_description_complete"")
)"),0.1444)</f>
        <v>0.1444</v>
      </c>
      <c r="H44" s="4" t="s">
        <v>25</v>
      </c>
      <c r="I44" s="21" t="str">
        <f>IFERROR(__xludf.DUMMYFUNCTION("FILTER(SemEval_2025_T2!$D$4:$D$100, 
  REGEXMATCH(SemEval_2025_T2!$A$4:$A$100, ""(?i)"" &amp; I$15 &amp; ""_title_description_complete"")
)"),"")</f>
        <v/>
      </c>
      <c r="J44" s="21" t="str">
        <f>IFERROR(__xludf.DUMMYFUNCTION("FILTER(SemEval_2025_T2!$D$4:$D$100, 
  REGEXMATCH(SemEval_2025_T2!$A$4:$A$100, ""(?i)"" &amp; J$15 &amp; ""_title_description_complete"")
)"),"")</f>
        <v/>
      </c>
      <c r="K44" s="21" t="str">
        <f>IFERROR(__xludf.DUMMYFUNCTION("FILTER(SemEval_2025_T2!$D$4:$D$100, 
  REGEXMATCH(SemEval_2025_T2!$A$4:$A$100, ""(?i)"" &amp; K$15 &amp; ""_title_description_complete"")
)"),"")</f>
        <v/>
      </c>
      <c r="L44" s="21">
        <f>IFERROR(__xludf.DUMMYFUNCTION("FILTER(SemEval_2025_T2!$D$4:$D$100, 
  REGEXMATCH(SemEval_2025_T2!$A$4:$A$100, ""(?i)"" &amp; L$15 &amp; ""_title_description_complete"")
)"),0.1102)</f>
        <v>0.1102</v>
      </c>
    </row>
    <row r="45">
      <c r="A45" s="21" t="s">
        <v>35</v>
      </c>
      <c r="B45" s="21" t="str">
        <f>IFERROR(__xludf.DUMMYFUNCTION("FILTER(SemEval_2025_T2!$C$4:$C$100, 
  REGEXMATCH(SemEval_2025_T2!$A$4:$A$100, ""(?i)"" &amp; B$15 &amp; ""_gpt_title_description_complete"")
)"),"")</f>
        <v/>
      </c>
      <c r="C45" s="21" t="str">
        <f>IFERROR(__xludf.DUMMYFUNCTION("FILTER(SemEval_2025_T2!$C$4:$C$100, 
  REGEXMATCH(SemEval_2025_T2!$A$4:$A$100, ""(?i)"" &amp; C$15 &amp; ""_gpt_title_description_complete"")
)"),"")</f>
        <v/>
      </c>
      <c r="D45" s="21" t="str">
        <f>IFERROR(__xludf.DUMMYFUNCTION("FILTER(SemEval_2025_T2!$C$4:$C$100, 
  REGEXMATCH(SemEval_2025_T2!$A$4:$A$100, ""(?i)"" &amp; D$15 &amp; ""_gpt_title_description_complete"")
)"),"")</f>
        <v/>
      </c>
      <c r="E45" s="21">
        <f>IFERROR(__xludf.DUMMYFUNCTION("FILTER(SemEval_2025_T2!$C$4:$C$100, 
  REGEXMATCH(SemEval_2025_T2!$A$4:$A$100, ""(?i)"" &amp; E$15 &amp; ""_gpt_title_description_complete"")
)"),0.2008)</f>
        <v>0.2008</v>
      </c>
      <c r="H45" s="21" t="s">
        <v>35</v>
      </c>
      <c r="I45" s="21" t="str">
        <f>IFERROR(__xludf.DUMMYFUNCTION("FILTER(SemEval_2025_T2!$D$4:$D$100, 
  REGEXMATCH(SemEval_2025_T2!$A$4:$A$100, ""(?i)"" &amp; I$15 &amp; ""_gpt_title_description_complete"")
)"),"")</f>
        <v/>
      </c>
      <c r="J45" s="21" t="str">
        <f>IFERROR(__xludf.DUMMYFUNCTION("FILTER(SemEval_2025_T2!$D$4:$D$100, 
  REGEXMATCH(SemEval_2025_T2!$A$4:$A$100, ""(?i)"" &amp; J$15 &amp; ""_gpt_title_description_complete"")
)"),"")</f>
        <v/>
      </c>
      <c r="K45" s="21" t="str">
        <f>IFERROR(__xludf.DUMMYFUNCTION("FILTER(SemEval_2025_T2!$D$4:$D$100, 
  REGEXMATCH(SemEval_2025_T2!$A$4:$A$100, ""(?i)"" &amp; K$15 &amp; ""_gpt_title_description_complete"")
)"),"")</f>
        <v/>
      </c>
      <c r="L45" s="21">
        <f>IFERROR(__xludf.DUMMYFUNCTION("FILTER(SemEval_2025_T2!$D$4:$D$100, 
  REGEXMATCH(SemEval_2025_T2!$A$4:$A$100, ""(?i)"" &amp; L$15 &amp; ""_gpt_title_description_complete"")
)"),0.1686)</f>
        <v>0.1686</v>
      </c>
    </row>
    <row r="46">
      <c r="A46" s="12" t="s">
        <v>52</v>
      </c>
      <c r="B46" s="15">
        <f t="shared" ref="B46:E46" si="20">B44-B45</f>
        <v>0</v>
      </c>
      <c r="C46" s="15">
        <f t="shared" si="20"/>
        <v>0</v>
      </c>
      <c r="D46" s="15">
        <f t="shared" si="20"/>
        <v>0</v>
      </c>
      <c r="E46" s="15">
        <f t="shared" si="20"/>
        <v>-0.0564</v>
      </c>
      <c r="F46" s="15">
        <f>AVERAGE(B46:E46)</f>
        <v>-0.0141</v>
      </c>
      <c r="G46" s="15"/>
      <c r="H46" s="12" t="s">
        <v>52</v>
      </c>
      <c r="I46" s="15">
        <f t="shared" ref="I46:L46" si="21">I44-I45</f>
        <v>0</v>
      </c>
      <c r="J46" s="15">
        <f t="shared" si="21"/>
        <v>0</v>
      </c>
      <c r="K46" s="15">
        <f t="shared" si="21"/>
        <v>0</v>
      </c>
      <c r="L46" s="15">
        <f t="shared" si="21"/>
        <v>-0.0584</v>
      </c>
      <c r="M46" s="15">
        <f>AVERAGE(I46:L46)</f>
        <v>-0.0146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50">
      <c r="E50" s="5">
        <f>AVERAGE(J5,J8,J11,M18,F18,F21,M21,F24,M24,M29,M32,M35,F29,F32,F35,F40,M40)</f>
        <v>0.00768516058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6.63"/>
  </cols>
  <sheetData>
    <row r="1">
      <c r="A1" s="4" t="s">
        <v>57</v>
      </c>
      <c r="B1" s="27"/>
      <c r="C1" s="27" t="s">
        <v>58</v>
      </c>
    </row>
    <row r="2">
      <c r="A2" s="28"/>
      <c r="B2" s="24"/>
      <c r="C2" s="24"/>
      <c r="E2" s="29" t="s">
        <v>59</v>
      </c>
      <c r="G2" s="24"/>
      <c r="I2" s="24"/>
    </row>
    <row r="3">
      <c r="A3" s="30"/>
      <c r="B3" s="31" t="s">
        <v>60</v>
      </c>
      <c r="C3" s="31" t="s">
        <v>61</v>
      </c>
      <c r="D3" s="31" t="s">
        <v>62</v>
      </c>
      <c r="E3" s="31" t="s">
        <v>61</v>
      </c>
      <c r="F3" s="31" t="s">
        <v>62</v>
      </c>
      <c r="G3" s="32" t="s">
        <v>61</v>
      </c>
      <c r="H3" s="32" t="s">
        <v>62</v>
      </c>
      <c r="I3" s="32" t="s">
        <v>61</v>
      </c>
      <c r="J3" s="32" t="s">
        <v>62</v>
      </c>
    </row>
    <row r="4">
      <c r="A4" s="30"/>
      <c r="B4" s="31"/>
      <c r="C4" s="31" t="s">
        <v>63</v>
      </c>
      <c r="D4" s="31" t="s">
        <v>63</v>
      </c>
      <c r="E4" s="31" t="s">
        <v>64</v>
      </c>
      <c r="F4" s="31" t="s">
        <v>64</v>
      </c>
      <c r="G4" s="32" t="s">
        <v>65</v>
      </c>
      <c r="H4" s="32" t="s">
        <v>65</v>
      </c>
      <c r="I4" s="32" t="s">
        <v>66</v>
      </c>
      <c r="J4" s="32" t="s">
        <v>66</v>
      </c>
    </row>
    <row r="5">
      <c r="A5" s="30"/>
      <c r="B5" s="33"/>
      <c r="C5" s="33"/>
      <c r="D5" s="33"/>
      <c r="E5" s="33"/>
      <c r="F5" s="33"/>
      <c r="G5" s="19"/>
      <c r="H5" s="19"/>
      <c r="I5" s="19"/>
      <c r="J5" s="19"/>
    </row>
    <row r="6">
      <c r="A6" s="30" t="s">
        <v>9</v>
      </c>
      <c r="B6" s="34" t="s">
        <v>67</v>
      </c>
      <c r="C6" s="35">
        <v>0.5419384931377862</v>
      </c>
      <c r="D6" s="35">
        <v>0.5117315859020619</v>
      </c>
      <c r="E6" s="33">
        <v>0.642831750679554</v>
      </c>
      <c r="F6" s="33">
        <v>0.597702377854602</v>
      </c>
      <c r="G6" s="14">
        <v>0.6053534738128943</v>
      </c>
      <c r="H6" s="14">
        <v>0.5565419113667803</v>
      </c>
      <c r="I6" s="19">
        <v>0.641372813923377</v>
      </c>
      <c r="J6" s="19">
        <v>0.586918258059075</v>
      </c>
    </row>
    <row r="7">
      <c r="A7" s="30"/>
      <c r="B7" s="34" t="s">
        <v>68</v>
      </c>
      <c r="C7" s="35">
        <v>0.5236087162767843</v>
      </c>
      <c r="D7" s="35">
        <v>0.4943390596078688</v>
      </c>
      <c r="E7" s="33">
        <v>0.400107417157464</v>
      </c>
      <c r="F7" s="33">
        <v>0.393652929014778</v>
      </c>
      <c r="G7" s="14">
        <v>0.5825720121897643</v>
      </c>
      <c r="H7" s="14">
        <v>0.5320940742117477</v>
      </c>
      <c r="I7" s="19">
        <v>0.517640159750091</v>
      </c>
      <c r="J7" s="19">
        <v>0.466203934203608</v>
      </c>
    </row>
    <row r="8">
      <c r="A8" s="24"/>
      <c r="B8" s="36"/>
      <c r="C8" s="33"/>
      <c r="D8" s="33"/>
      <c r="E8" s="33"/>
      <c r="F8" s="33"/>
      <c r="G8" s="19"/>
      <c r="H8" s="19"/>
      <c r="I8" s="19"/>
      <c r="J8" s="19"/>
    </row>
    <row r="9">
      <c r="A9" s="28" t="s">
        <v>11</v>
      </c>
      <c r="B9" s="34" t="s">
        <v>67</v>
      </c>
      <c r="C9" s="35">
        <v>0.5477188700832996</v>
      </c>
      <c r="D9" s="35">
        <v>0.5292887578858964</v>
      </c>
      <c r="E9" s="33">
        <v>0.634072891433604</v>
      </c>
      <c r="F9" s="33">
        <v>0.604647253792606</v>
      </c>
      <c r="G9" s="14">
        <v>0.6185795850294233</v>
      </c>
      <c r="H9" s="14">
        <v>0.5860634272731544</v>
      </c>
      <c r="I9" s="19">
        <v>0.641745007342877</v>
      </c>
      <c r="J9" s="19">
        <v>0.621603952821018</v>
      </c>
    </row>
    <row r="10">
      <c r="A10" s="24"/>
      <c r="B10" s="34" t="s">
        <v>68</v>
      </c>
      <c r="C10" s="35">
        <v>0.5377833669089732</v>
      </c>
      <c r="D10" s="35">
        <v>0.5131886961871358</v>
      </c>
      <c r="E10" s="33">
        <v>0.404810754696845</v>
      </c>
      <c r="F10" s="33">
        <v>0.397469270497135</v>
      </c>
      <c r="G10" s="14">
        <v>0.5984712708635663</v>
      </c>
      <c r="H10" s="14">
        <v>0.561488092033104</v>
      </c>
      <c r="I10" s="19">
        <v>0.537523492086359</v>
      </c>
      <c r="J10" s="19">
        <v>0.496005447230576</v>
      </c>
    </row>
    <row r="11">
      <c r="B11" s="4"/>
      <c r="C11" s="4"/>
      <c r="D11" s="4"/>
      <c r="E11" s="4"/>
      <c r="F11" s="4"/>
      <c r="G11" s="4"/>
      <c r="H11" s="4"/>
      <c r="I11" s="4"/>
      <c r="J11" s="4"/>
    </row>
    <row r="12">
      <c r="A12" s="4" t="s">
        <v>9</v>
      </c>
      <c r="B12" s="4"/>
      <c r="C12" s="37" t="s">
        <v>63</v>
      </c>
      <c r="D12" s="37" t="s">
        <v>63</v>
      </c>
      <c r="E12" s="37" t="s">
        <v>69</v>
      </c>
      <c r="F12" s="37" t="s">
        <v>69</v>
      </c>
      <c r="G12" s="32" t="s">
        <v>65</v>
      </c>
      <c r="H12" s="32" t="s">
        <v>65</v>
      </c>
      <c r="I12" s="32" t="s">
        <v>66</v>
      </c>
      <c r="J12" s="32" t="s">
        <v>66</v>
      </c>
    </row>
    <row r="13">
      <c r="B13" s="4"/>
      <c r="C13" s="37" t="s">
        <v>70</v>
      </c>
      <c r="D13" s="37" t="s">
        <v>71</v>
      </c>
      <c r="E13" s="37" t="s">
        <v>70</v>
      </c>
      <c r="F13" s="37" t="s">
        <v>71</v>
      </c>
      <c r="G13" s="32" t="s">
        <v>70</v>
      </c>
      <c r="H13" s="32" t="s">
        <v>71</v>
      </c>
      <c r="I13" s="32" t="s">
        <v>70</v>
      </c>
      <c r="J13" s="32" t="s">
        <v>71</v>
      </c>
    </row>
    <row r="14">
      <c r="A14" s="38" t="s">
        <v>37</v>
      </c>
      <c r="B14" s="4" t="s">
        <v>67</v>
      </c>
      <c r="C14" s="39">
        <f>AVERAGE(SemEval_2025_T2!$C$5,SemEval_2025_T2!$C$29,SemEval_2025_T2!$C$53,SemEval_2025_T2!$C$77)</f>
        <v>0.29325</v>
      </c>
      <c r="D14" s="39">
        <f>AVERAGE(SemEval_2025_T2!$D$5,SemEval_2025_T2!$D$29,SemEval_2025_T2!$D$53,SemEval_2025_T2!$D$77)</f>
        <v>0.2235</v>
      </c>
      <c r="E14" s="39">
        <f>IFERROR(__xludf.DUMMYFUNCTION("FILTER(RawData_Ensembles!$C$1:$C$99, 
  REGEXMATCH(RawData_Ensembles!$A$1:$A$99, ""(?i)"" &amp; $A$14), 
  REGEXMATCH(RawData_Ensembles!$A$1:$A$99, ""(?i)"" &amp; $E$12), REGEXMATCH(RawData_Ensembles!$A$1:$A$99, ""(?i)"" &amp; $B$14), REGEXMATCH(RawData_Ensembles!$A$"&amp;"1:$A$99, ""(?i)no_no"")
)"),0.287)</f>
        <v>0.287</v>
      </c>
      <c r="F14" s="39">
        <f>IFERROR(__xludf.DUMMYFUNCTION("FILTER(RawData_Ensembles!$D$1:$D$99, 
  REGEXMATCH(RawData_Ensembles!$A$1:$A$99, ""(?i)"" &amp; $A$14), 
  REGEXMATCH(RawData_Ensembles!$A$1:$A$99, ""(?i)"" &amp; $E$12), REGEXMATCH(RawData_Ensembles!$A$1:$A$99, ""(?i)"" &amp; $B$14), REGEXMATCH(RawData_Ensembles!$A$"&amp;"1:$A$99, ""(?i)no_no"")
)"),0.287)</f>
        <v>0.287</v>
      </c>
      <c r="G14" s="19">
        <f>AVERAGE(SemEval_2025_T2!$C$5,SemEval_2025_T2!$C$29,SemEval_2025_T2!$C$53)</f>
        <v>0.3173333333</v>
      </c>
      <c r="H14" s="19">
        <f>AVERAGE(SemEval_2025_T2!$D$5,SemEval_2025_T2!$D$29,SemEval_2025_T2!$D$53)</f>
        <v>0.2343333333</v>
      </c>
      <c r="I14" s="19">
        <f>IFERROR(__xludf.DUMMYFUNCTION("FILTER(RawData_Ensembles!$C$1:$C$99, 
  REGEXMATCH(RawData_Ensembles!$A$1:$A$99, ""(?i)"" &amp; $A$14), 
  REGEXMATCH(RawData_Ensembles!$A$1:$A$99, ""(?i)"" &amp; $I$12), REGEXMATCH(RawData_Ensembles!$A$1:$A$99, ""(?i)"" &amp; $B$14), REGEXMATCH(RawData_Ensembles!$A$"&amp;"1:$A$99, ""(?i)no_no"")
)"),0.3)</f>
        <v>0.3</v>
      </c>
      <c r="J14" s="19">
        <f>IFERROR(__xludf.DUMMYFUNCTION("FILTER(RawData_Ensembles!$D$1:$D$99, 
  REGEXMATCH(RawData_Ensembles!$A$1:$A$99, ""(?i)"" &amp; $A$14), 
  REGEXMATCH(RawData_Ensembles!$A$1:$A$99, ""(?i)"" &amp; $I$12), REGEXMATCH(RawData_Ensembles!$A$1:$A$99, ""(?i)"" &amp; $B$14), REGEXMATCH(RawData_Ensembles!$A$"&amp;"1:$A$99, ""(?i)no_no"")
)"),0.3)</f>
        <v>0.3</v>
      </c>
    </row>
    <row r="15">
      <c r="A15" s="38"/>
      <c r="B15" s="4" t="s">
        <v>68</v>
      </c>
      <c r="C15" s="39">
        <f>AVERAGE(SemEval_2025_T2!$C$6,SemEval_2025_T2!$C$30,SemEval_2025_T2!$C$54,SemEval_2025_T2!$C$78)</f>
        <v>0.333</v>
      </c>
      <c r="D15" s="39">
        <f>AVERAGE(SemEval_2025_T2!$D$6,SemEval_2025_T2!$D$30,SemEval_2025_T2!$D$54,SemEval_2025_T2!$D$78)</f>
        <v>0.21825</v>
      </c>
      <c r="E15" s="39">
        <f>IFERROR(__xludf.DUMMYFUNCTION("FILTER(RawData_Ensembles!$C$1:$C$99, 
  REGEXMATCH(RawData_Ensembles!$A$1:$A$99, ""(?i)"" &amp; $A$14), 
  REGEXMATCH(RawData_Ensembles!$A$1:$A$99, ""(?i)"" &amp; $E$12), REGEXMATCH(RawData_Ensembles!$A$1:$A$99, ""(?i)"" &amp; $B$15), REGEXMATCH(RawData_Ensembles!$A$"&amp;"1:$A$99, ""(?i)no_no"")
)"),0.328)</f>
        <v>0.328</v>
      </c>
      <c r="F15" s="39">
        <f>IFERROR(__xludf.DUMMYFUNCTION("FILTER(RawData_Ensembles!$D$1:$D$99, 
  REGEXMATCH(RawData_Ensembles!$A$1:$A$99, ""(?i)"" &amp; $A$14), 
  REGEXMATCH(RawData_Ensembles!$A$1:$A$99, ""(?i)"" &amp; $E$12), REGEXMATCH(RawData_Ensembles!$A$1:$A$99, ""(?i)"" &amp; $B$15), REGEXMATCH(RawData_Ensembles!$A$"&amp;"1:$A$99, ""(?i)no_no"")
)"),0.193)</f>
        <v>0.193</v>
      </c>
      <c r="G15" s="19">
        <f>AVERAGE(SemEval_2025_T2!$C$6,SemEval_2025_T2!$C$30,SemEval_2025_T2!$C$54)</f>
        <v>0.3666666667</v>
      </c>
      <c r="H15" s="19">
        <f>AVERAGE(SemEval_2025_T2!$D$6,SemEval_2025_T2!$D$30,SemEval_2025_T2!$D$54)</f>
        <v>0.2453333333</v>
      </c>
      <c r="I15" s="19">
        <f>IFERROR(__xludf.DUMMYFUNCTION("FILTER(RawData_Ensembles!$C$1:$C$99, 
  REGEXMATCH(RawData_Ensembles!$A$1:$A$99, ""(?i)"" &amp; $A$14), 
  REGEXMATCH(RawData_Ensembles!$A$1:$A$99, ""(?i)"" &amp; $I$12), REGEXMATCH(RawData_Ensembles!$A$1:$A$99, ""(?i)"" &amp; $B$15), REGEXMATCH(RawData_Ensembles!$A$"&amp;"1:$A$99, ""(?i)no_no"")
)"),0.391)</f>
        <v>0.391</v>
      </c>
      <c r="J15" s="19">
        <f>IFERROR(__xludf.DUMMYFUNCTION("FILTER(RawData_Ensembles!$D$1:$D$99, 
  REGEXMATCH(RawData_Ensembles!$A$1:$A$99, ""(?i)"" &amp; $A$14), 
  REGEXMATCH(RawData_Ensembles!$A$1:$A$99, ""(?i)"" &amp; $I$12), REGEXMATCH(RawData_Ensembles!$A$1:$A$99, ""(?i)"" &amp; $B$15), REGEXMATCH(RawData_Ensembles!$A$"&amp;"1:$A$99, ""(?i)no_no"")
)"),0.241)</f>
        <v>0.241</v>
      </c>
    </row>
    <row r="16">
      <c r="A16" s="38" t="s">
        <v>36</v>
      </c>
      <c r="B16" s="4" t="s">
        <v>67</v>
      </c>
      <c r="C16" s="39">
        <f>AVERAGE(SemEval_2025_T2!$E$5,SemEval_2025_T2!$E$29,SemEval_2025_T2!$E$53,SemEval_2025_T2!$E$77)</f>
        <v>0.36325</v>
      </c>
      <c r="D16" s="39">
        <f>AVERAGE(SemEval_2025_T2!$F$5,SemEval_2025_T2!$F$29,SemEval_2025_T2!$F$53,SemEval_2025_T2!$F$77)</f>
        <v>0.24725</v>
      </c>
      <c r="E16" s="39">
        <f>IFERROR(__xludf.DUMMYFUNCTION("FILTER(RawData_Ensembles!$C$1:$C$99, 
  REGEXMATCH(RawData_Ensembles!$A$1:$A$99, ""(?i)"" &amp; $A$16), 
  REGEXMATCH(RawData_Ensembles!$A$1:$A$99, ""(?i)"" &amp; $E$12), REGEXMATCH(RawData_Ensembles!$A$1:$A$99, ""(?i)"" &amp; $B$14), REGEXMATCH(RawData_Ensembles!$A$"&amp;"1:$A$99, ""(?i)no_no"")
)"),0.29)</f>
        <v>0.29</v>
      </c>
      <c r="F16" s="39">
        <f>IFERROR(__xludf.DUMMYFUNCTION("FILTER(RawData_Ensembles!$D$1:$D$99, 
  REGEXMATCH(RawData_Ensembles!$A$1:$A$99, ""(?i)"" &amp; $A$16), 
  REGEXMATCH(RawData_Ensembles!$A$1:$A$99, ""(?i)"" &amp; $E$12), REGEXMATCH(RawData_Ensembles!$A$1:$A$99, ""(?i)"" &amp; $B$14), REGEXMATCH(RawData_Ensembles!$A$"&amp;"1:$A$99, ""(?i)no_no"")
)"),0.289)</f>
        <v>0.289</v>
      </c>
      <c r="G16" s="19">
        <f>AVERAGE(SemEval_2025_T2!$E$5,SemEval_2025_T2!$E$29,SemEval_2025_T2!$E$53)</f>
        <v>0.3946666667</v>
      </c>
      <c r="H16" s="19">
        <f>AVERAGE(SemEval_2025_T2!$F$5,SemEval_2025_T2!$F$29,SemEval_2025_T2!$F$53)</f>
        <v>0.2603333333</v>
      </c>
      <c r="I16" s="19">
        <f>IFERROR(__xludf.DUMMYFUNCTION("FILTER(RawData_Ensembles!$C$1:$C$99, 
  REGEXMATCH(RawData_Ensembles!$A$1:$A$99, ""(?i)"" &amp; $A$16), 
  REGEXMATCH(RawData_Ensembles!$A$1:$A$99, ""(?i)"" &amp; $I$12), REGEXMATCH(RawData_Ensembles!$A$1:$A$99, ""(?i)"" &amp; $B$14), REGEXMATCH(RawData_Ensembles!$A$"&amp;"1:$A$99, ""(?i)no_no"")
)"),0.312)</f>
        <v>0.312</v>
      </c>
      <c r="J16" s="19">
        <f>IFERROR(__xludf.DUMMYFUNCTION("FILTER(RawData_Ensembles!$D$1:$D$99, 
  REGEXMATCH(RawData_Ensembles!$A$1:$A$99, ""(?i)"" &amp; $A$16), 
  REGEXMATCH(RawData_Ensembles!$A$1:$A$99, ""(?i)"" &amp; $I$12), REGEXMATCH(RawData_Ensembles!$A$1:$A$99, ""(?i)"" &amp; $B$14), REGEXMATCH(RawData_Ensembles!$A$"&amp;"1:$A$99, ""(?i)no_no"")
)"),0.297)</f>
        <v>0.297</v>
      </c>
    </row>
    <row r="17">
      <c r="A17" s="38"/>
      <c r="B17" s="4" t="s">
        <v>68</v>
      </c>
      <c r="C17" s="39">
        <f>AVERAGE(SemEval_2025_T2!$E$6,SemEval_2025_T2!$E$30,SemEval_2025_T2!$E$54,SemEval_2025_T2!$E$78)</f>
        <v>0.36925</v>
      </c>
      <c r="D17" s="39">
        <f>AVERAGE(SemEval_2025_T2!$F$6,SemEval_2025_T2!$F$30,SemEval_2025_T2!$F$54,SemEval_2025_T2!$F$78)</f>
        <v>0.2355</v>
      </c>
      <c r="E17" s="39">
        <f>IFERROR(__xludf.DUMMYFUNCTION("FILTER(RawData_Ensembles!$C$1:$C$99, 
  REGEXMATCH(RawData_Ensembles!$A$1:$A$99, ""(?i)"" &amp; $A$16), 
  REGEXMATCH(RawData_Ensembles!$A$1:$A$99, ""(?i)"" &amp; $E$12), REGEXMATCH(RawData_Ensembles!$A$1:$A$99, ""(?i)"" &amp; $B$15), REGEXMATCH(RawData_Ensembles!$A$"&amp;"1:$A$99, ""(?i)no_no"")
)"),0.327)</f>
        <v>0.327</v>
      </c>
      <c r="F17" s="39">
        <f>IFERROR(__xludf.DUMMYFUNCTION("FILTER(RawData_Ensembles!$D$1:$D$99, 
  REGEXMATCH(RawData_Ensembles!$A$1:$A$99, ""(?i)"" &amp; $A$16), 
  REGEXMATCH(RawData_Ensembles!$A$1:$A$99, ""(?i)"" &amp; $E$12), REGEXMATCH(RawData_Ensembles!$A$1:$A$99, ""(?i)"" &amp; $B$15), REGEXMATCH(RawData_Ensembles!$A$"&amp;"1:$A$99, ""(?i)no_no"")
)"),0.177)</f>
        <v>0.177</v>
      </c>
      <c r="G17" s="19">
        <f>AVERAGE(SemEval_2025_T2!$E$6,SemEval_2025_T2!$E$30,SemEval_2025_T2!$E$54)</f>
        <v>0.4093333333</v>
      </c>
      <c r="H17" s="19">
        <f>AVERAGE(SemEval_2025_T2!$F$6,SemEval_2025_T2!$F$30,SemEval_2025_T2!$F$54)</f>
        <v>0.2706666667</v>
      </c>
      <c r="I17" s="19">
        <f>IFERROR(__xludf.DUMMYFUNCTION("FILTER(RawData_Ensembles!$C$1:$C$99, 
  REGEXMATCH(RawData_Ensembles!$A$1:$A$99, ""(?i)"" &amp; $A$16), 
  REGEXMATCH(RawData_Ensembles!$A$1:$A$99, ""(?i)"" &amp; $I$12), REGEXMATCH(RawData_Ensembles!$A$1:$A$99, ""(?i)"" &amp; $B$15), REGEXMATCH(RawData_Ensembles!$A$"&amp;"1:$A$99, ""(?i)no_no"")
)"),0.38)</f>
        <v>0.38</v>
      </c>
      <c r="J17" s="19">
        <f>IFERROR(__xludf.DUMMYFUNCTION("FILTER(RawData_Ensembles!$D$1:$D$99, 
  REGEXMATCH(RawData_Ensembles!$A$1:$A$99, ""(?i)"" &amp; $A$16), 
  REGEXMATCH(RawData_Ensembles!$A$1:$A$99, ""(?i)"" &amp; $I$12), REGEXMATCH(RawData_Ensembles!$A$1:$A$99, ""(?i)"" &amp; $B$15), REGEXMATCH(RawData_Ensembles!$A$"&amp;"1:$A$99, ""(?i)no_no"")
)"),0.231)</f>
        <v>0.231</v>
      </c>
    </row>
    <row r="18">
      <c r="A18" s="38" t="s">
        <v>29</v>
      </c>
      <c r="B18" s="4" t="s">
        <v>67</v>
      </c>
      <c r="C18" s="39">
        <f>AVERAGE(SemEval_2025_T2!$G$5,SemEval_2025_T2!$G$29,SemEval_2025_T2!$G$53,SemEval_2025_T2!$G$77)</f>
        <v>0.353</v>
      </c>
      <c r="D18" s="39">
        <f>AVERAGE(SemEval_2025_T2!$H$5,SemEval_2025_T2!$H$29,SemEval_2025_T2!$H$53,SemEval_2025_T2!$H$77)</f>
        <v>0.23225</v>
      </c>
      <c r="E18" s="39">
        <f>IFERROR(__xludf.DUMMYFUNCTION("FILTER(RawData_Ensembles!$C$1:$C$99, 
  REGEXMATCH(RawData_Ensembles!$A$1:$A$99, ""(?i)"" &amp; $A$18), 
  REGEXMATCH(RawData_Ensembles!$A$1:$A$99, ""(?i)"" &amp; $E$12), REGEXMATCH(RawData_Ensembles!$A$1:$A$99, ""(?i)"" &amp; $B$14), REGEXMATCH(RawData_Ensembles!$A$"&amp;"1:$A$99, ""(?i)no_no"")
)"),0.489)</f>
        <v>0.489</v>
      </c>
      <c r="F18" s="39">
        <f>IFERROR(__xludf.DUMMYFUNCTION("FILTER(RawData_Ensembles!$D$1:$D$99, 
  REGEXMATCH(RawData_Ensembles!$A$1:$A$99, ""(?i)"" &amp; $A$18), 
  REGEXMATCH(RawData_Ensembles!$A$1:$A$99, ""(?i)"" &amp; $E$12), REGEXMATCH(RawData_Ensembles!$A$1:$A$99, ""(?i)"" &amp; $B$14), REGEXMATCH(RawData_Ensembles!$A$"&amp;"1:$A$99, ""(?i)no_no"")
)"),0.378)</f>
        <v>0.378</v>
      </c>
      <c r="G18" s="19">
        <f>AVERAGE(SemEval_2025_T2!$G$5,SemEval_2025_T2!$G$29,SemEval_2025_T2!$G$53)</f>
        <v>0.405</v>
      </c>
      <c r="H18" s="19">
        <f>AVERAGE(SemEval_2025_T2!$H$5,SemEval_2025_T2!$H$29,SemEval_2025_T2!$H$53)</f>
        <v>0.2603333333</v>
      </c>
      <c r="I18" s="19">
        <f>IFERROR(__xludf.DUMMYFUNCTION("FILTER(RawData_Ensembles!$C$1:$C$99, 
  REGEXMATCH(RawData_Ensembles!$A$1:$A$99, ""(?i)"" &amp; $A$18), 
  REGEXMATCH(RawData_Ensembles!$A$1:$A$99, ""(?i)"" &amp; $I$12), REGEXMATCH(RawData_Ensembles!$A$1:$A$99, ""(?i)"" &amp; $B$14), REGEXMATCH(RawData_Ensembles!$A$"&amp;"1:$A$99, ""(?i)no_no"")
)"),0.447)</f>
        <v>0.447</v>
      </c>
      <c r="J18" s="19">
        <f>IFERROR(__xludf.DUMMYFUNCTION("FILTER(RawData_Ensembles!$D$1:$D$99, 
  REGEXMATCH(RawData_Ensembles!$A$1:$A$99, ""(?i)"" &amp; $A$18), 
  REGEXMATCH(RawData_Ensembles!$A$1:$A$99, ""(?i)"" &amp; $I$12), REGEXMATCH(RawData_Ensembles!$A$1:$A$99, ""(?i)"" &amp; $B$14), REGEXMATCH(RawData_Ensembles!$A$"&amp;"1:$A$99, ""(?i)no_no"")
)"),0.293)</f>
        <v>0.293</v>
      </c>
    </row>
    <row r="19">
      <c r="A19" s="38"/>
      <c r="B19" s="4" t="s">
        <v>68</v>
      </c>
      <c r="C19" s="39">
        <f>AVERAGE(SemEval_2025_T2!$G$6,SemEval_2025_T2!$G$30,SemEval_2025_T2!$G$54,SemEval_2025_T2!$G$78)</f>
        <v>0.35375</v>
      </c>
      <c r="D19" s="39">
        <f>AVERAGE(SemEval_2025_T2!$H$6,SemEval_2025_T2!$H$30,SemEval_2025_T2!$H$54,SemEval_2025_T2!$H$78)</f>
        <v>0.227</v>
      </c>
      <c r="E19" s="39">
        <f>IFERROR(__xludf.DUMMYFUNCTION("FILTER(RawData_Ensembles!$C$1:$C$99, 
  REGEXMATCH(RawData_Ensembles!$A$1:$A$99, ""(?i)"" &amp; $A$18), 
  REGEXMATCH(RawData_Ensembles!$A$1:$A$99, ""(?i)"" &amp; $E$12), REGEXMATCH(RawData_Ensembles!$A$1:$A$99, ""(?i)"" &amp; $B$15), REGEXMATCH(RawData_Ensembles!$A$"&amp;"1:$A$99, ""(?i)no_no"")
)"),0.31)</f>
        <v>0.31</v>
      </c>
      <c r="F19" s="39">
        <f>IFERROR(__xludf.DUMMYFUNCTION("FILTER(RawData_Ensembles!$D$1:$D$99, 
  REGEXMATCH(RawData_Ensembles!$A$1:$A$99, ""(?i)"" &amp; $A$18), 
  REGEXMATCH(RawData_Ensembles!$A$1:$A$99, ""(?i)"" &amp; $E$12), REGEXMATCH(RawData_Ensembles!$A$1:$A$99, ""(?i)"" &amp; $B$15), REGEXMATCH(RawData_Ensembles!$A$"&amp;"1:$A$99, ""(?i)no_no"")
)"),0.199)</f>
        <v>0.199</v>
      </c>
      <c r="G19" s="19">
        <f>AVERAGE(SemEval_2025_T2!$G$6,SemEval_2025_T2!$G$30,SemEval_2025_T2!$G$54)</f>
        <v>0.401</v>
      </c>
      <c r="H19" s="19">
        <f>AVERAGE(SemEval_2025_T2!$H$6,SemEval_2025_T2!$H$30,SemEval_2025_T2!$H$54)</f>
        <v>0.2583333333</v>
      </c>
      <c r="I19" s="19">
        <f>IFERROR(__xludf.DUMMYFUNCTION("FILTER(RawData_Ensembles!$C$1:$C$99, 
  REGEXMATCH(RawData_Ensembles!$A$1:$A$99, ""(?i)"" &amp; $A$18), 
  REGEXMATCH(RawData_Ensembles!$A$1:$A$99, ""(?i)"" &amp; $I$12), REGEXMATCH(RawData_Ensembles!$A$1:$A$99, ""(?i)"" &amp; $B$15), REGEXMATCH(RawData_Ensembles!$A$"&amp;"1:$A$99, ""(?i)no_no"")
)"),0.396)</f>
        <v>0.396</v>
      </c>
      <c r="J19" s="19">
        <f>IFERROR(__xludf.DUMMYFUNCTION("FILTER(RawData_Ensembles!$D$1:$D$99, 
  REGEXMATCH(RawData_Ensembles!$A$1:$A$99, ""(?i)"" &amp; $A$18), 
  REGEXMATCH(RawData_Ensembles!$A$1:$A$99, ""(?i)"" &amp; $I$12), REGEXMATCH(RawData_Ensembles!$A$1:$A$99, ""(?i)"" &amp; $B$15), REGEXMATCH(RawData_Ensembles!$A$"&amp;"1:$A$99, ""(?i)no_no"")
)"),0.261)</f>
        <v>0.261</v>
      </c>
    </row>
    <row r="21">
      <c r="C21" s="4" t="s">
        <v>72</v>
      </c>
      <c r="D21" s="4" t="s">
        <v>73</v>
      </c>
      <c r="E21" s="4" t="s">
        <v>72</v>
      </c>
      <c r="F21" s="4" t="s">
        <v>73</v>
      </c>
    </row>
    <row r="22">
      <c r="B22" s="4" t="s">
        <v>67</v>
      </c>
      <c r="C22" s="21">
        <f t="shared" ref="C22:D22" si="1">E14-C14</f>
        <v>-0.00625</v>
      </c>
      <c r="D22" s="21">
        <f t="shared" si="1"/>
        <v>0.0635</v>
      </c>
      <c r="E22" s="21">
        <f t="shared" ref="E22:F22" si="2">I14-G14</f>
        <v>-0.01733333333</v>
      </c>
      <c r="F22" s="21">
        <f t="shared" si="2"/>
        <v>0.06566666667</v>
      </c>
    </row>
    <row r="23">
      <c r="B23" s="4" t="s">
        <v>68</v>
      </c>
      <c r="C23" s="21">
        <f t="shared" ref="C23:D23" si="3">E15-C15</f>
        <v>-0.005</v>
      </c>
      <c r="D23" s="21">
        <f t="shared" si="3"/>
        <v>-0.02525</v>
      </c>
      <c r="E23" s="21">
        <f t="shared" ref="E23:F23" si="4">I15-G15</f>
        <v>0.02433333333</v>
      </c>
      <c r="F23" s="21">
        <f t="shared" si="4"/>
        <v>-0.004333333333</v>
      </c>
    </row>
    <row r="24">
      <c r="B24" s="4" t="s">
        <v>67</v>
      </c>
      <c r="C24" s="21">
        <f t="shared" ref="C24:D24" si="5">E16-C16</f>
        <v>-0.07325</v>
      </c>
      <c r="D24" s="21">
        <f t="shared" si="5"/>
        <v>0.04175</v>
      </c>
      <c r="E24" s="21">
        <f t="shared" ref="E24:F24" si="6">I16-G16</f>
        <v>-0.08266666667</v>
      </c>
      <c r="F24" s="21">
        <f t="shared" si="6"/>
        <v>0.03666666667</v>
      </c>
    </row>
    <row r="25">
      <c r="B25" s="4" t="s">
        <v>68</v>
      </c>
      <c r="C25" s="21">
        <f t="shared" ref="C25:D25" si="7">E17-C17</f>
        <v>-0.04225</v>
      </c>
      <c r="D25" s="21">
        <f t="shared" si="7"/>
        <v>-0.0585</v>
      </c>
      <c r="E25" s="21">
        <f t="shared" ref="E25:F25" si="8">I17-G17</f>
        <v>-0.02933333333</v>
      </c>
      <c r="F25" s="21">
        <f t="shared" si="8"/>
        <v>-0.03966666667</v>
      </c>
    </row>
    <row r="26">
      <c r="B26" s="4" t="s">
        <v>67</v>
      </c>
      <c r="C26" s="21">
        <f t="shared" ref="C26:D26" si="9">E18-C18</f>
        <v>0.136</v>
      </c>
      <c r="D26" s="21">
        <f t="shared" si="9"/>
        <v>0.14575</v>
      </c>
      <c r="E26" s="21">
        <f t="shared" ref="E26:F26" si="10">I18-G18</f>
        <v>0.042</v>
      </c>
      <c r="F26" s="21">
        <f t="shared" si="10"/>
        <v>0.03266666667</v>
      </c>
    </row>
    <row r="27">
      <c r="B27" s="4" t="s">
        <v>68</v>
      </c>
      <c r="C27" s="21">
        <f t="shared" ref="C27:D27" si="11">E19-C19</f>
        <v>-0.04375</v>
      </c>
      <c r="D27" s="21">
        <f t="shared" si="11"/>
        <v>-0.028</v>
      </c>
      <c r="E27" s="21">
        <f t="shared" ref="E27:F27" si="12">I19-G19</f>
        <v>-0.005</v>
      </c>
      <c r="F27" s="21">
        <f t="shared" si="12"/>
        <v>0.002666666667</v>
      </c>
    </row>
    <row r="28">
      <c r="B28" s="4" t="s">
        <v>74</v>
      </c>
      <c r="C28" s="21">
        <f t="shared" ref="C28:F28" si="13">COUNTIF(C22:C27,"&gt;0")</f>
        <v>1</v>
      </c>
      <c r="D28" s="21">
        <f t="shared" si="13"/>
        <v>3</v>
      </c>
      <c r="E28" s="21">
        <f t="shared" si="13"/>
        <v>2</v>
      </c>
      <c r="F28" s="21">
        <f t="shared" si="13"/>
        <v>4</v>
      </c>
      <c r="G28" s="21">
        <f>SUM(C28:F28)*100/24</f>
        <v>41.66666667</v>
      </c>
    </row>
    <row r="29">
      <c r="B29" s="4" t="s">
        <v>67</v>
      </c>
      <c r="C29" s="21">
        <f t="shared" ref="C29:F29" si="14">COUNTIF(C22,"&gt;0") + COUNTIF(C24,"&gt;0") + COUNTIF(C26,"&gt;0")</f>
        <v>1</v>
      </c>
      <c r="D29" s="21">
        <f t="shared" si="14"/>
        <v>3</v>
      </c>
      <c r="E29" s="21">
        <f t="shared" si="14"/>
        <v>1</v>
      </c>
      <c r="F29" s="21">
        <f t="shared" si="14"/>
        <v>3</v>
      </c>
      <c r="G29" s="21">
        <f t="shared" ref="G29:G30" si="16">SUM(C29:F29)*100/12</f>
        <v>66.66666667</v>
      </c>
    </row>
    <row r="30">
      <c r="B30" s="4" t="s">
        <v>68</v>
      </c>
      <c r="C30" s="21">
        <f t="shared" ref="C30:F30" si="15">COUNTIF(C23,"&gt;0") + COUNTIF(C25,"&gt;0") + COUNTIF(C27,"&gt;0")</f>
        <v>0</v>
      </c>
      <c r="D30" s="21">
        <f t="shared" si="15"/>
        <v>0</v>
      </c>
      <c r="E30" s="21">
        <f t="shared" si="15"/>
        <v>1</v>
      </c>
      <c r="F30" s="21">
        <f t="shared" si="15"/>
        <v>1</v>
      </c>
      <c r="G30" s="21">
        <f t="shared" si="16"/>
        <v>16.66666667</v>
      </c>
    </row>
    <row r="33">
      <c r="A33" s="4" t="s">
        <v>11</v>
      </c>
      <c r="B33" s="4"/>
      <c r="C33" s="37" t="s">
        <v>63</v>
      </c>
      <c r="D33" s="37" t="s">
        <v>63</v>
      </c>
      <c r="E33" s="37" t="s">
        <v>69</v>
      </c>
      <c r="F33" s="37" t="s">
        <v>69</v>
      </c>
      <c r="G33" s="32" t="s">
        <v>65</v>
      </c>
      <c r="H33" s="32" t="s">
        <v>65</v>
      </c>
      <c r="I33" s="32" t="s">
        <v>66</v>
      </c>
      <c r="J33" s="32" t="s">
        <v>66</v>
      </c>
    </row>
    <row r="34">
      <c r="B34" s="4"/>
      <c r="C34" s="37" t="s">
        <v>70</v>
      </c>
      <c r="D34" s="37" t="s">
        <v>71</v>
      </c>
      <c r="E34" s="37" t="s">
        <v>70</v>
      </c>
      <c r="F34" s="37" t="s">
        <v>71</v>
      </c>
      <c r="G34" s="32" t="s">
        <v>70</v>
      </c>
      <c r="H34" s="32" t="s">
        <v>71</v>
      </c>
      <c r="I34" s="32" t="s">
        <v>70</v>
      </c>
      <c r="J34" s="32" t="s">
        <v>71</v>
      </c>
    </row>
    <row r="35">
      <c r="A35" s="38" t="s">
        <v>37</v>
      </c>
      <c r="B35" s="4" t="s">
        <v>67</v>
      </c>
      <c r="C35" s="39">
        <f>AVERAGE(SemEval_2025_T2!$C$8,SemEval_2025_T2!$C$32,SemEval_2025_T2!$C$56,SemEval_2025_T2!$C$80)</f>
        <v>0.32</v>
      </c>
      <c r="D35" s="39">
        <f>AVERAGE(SemEval_2025_T2!$D$8,SemEval_2025_T2!$D$32,SemEval_2025_T2!$D$56,SemEval_2025_T2!$D$80)</f>
        <v>0.25775</v>
      </c>
      <c r="E35" s="39">
        <f>IFERROR(__xludf.DUMMYFUNCTION("FILTER(RawData_Ensembles!$C$1:$C$99, 
  REGEXMATCH(RawData_Ensembles!$A$1:$A$99, ""(?i)"" &amp; $A$14), 
  REGEXMATCH(RawData_Ensembles!$A$1:$A$99, ""(?i)"" &amp; $E$12), REGEXMATCH(RawData_Ensembles!$A$1:$A$99, ""(?i)"" &amp; $B$14), REGEXMATCH(RawData_Ensembles!$A$"&amp;"1:$A$99, ""(?i)original_original"")
)"),0.299)</f>
        <v>0.299</v>
      </c>
      <c r="F35" s="39">
        <f>IFERROR(__xludf.DUMMYFUNCTION("FILTER(RawData_Ensembles!$D$1:$D$99, 
  REGEXMATCH(RawData_Ensembles!$A$1:$A$99, ""(?i)"" &amp; $A$14), 
  REGEXMATCH(RawData_Ensembles!$A$1:$A$99, ""(?i)"" &amp; $E$12), REGEXMATCH(RawData_Ensembles!$A$1:$A$99, ""(?i)"" &amp; $B$14), REGEXMATCH(RawData_Ensembles!$A$"&amp;"1:$A$99, ""(?i)original_original"")
)"),0.296)</f>
        <v>0.296</v>
      </c>
      <c r="G35" s="39">
        <f>AVERAGE(SemEval_2025_T2!$C$8,SemEval_2025_T2!$C$32,SemEval_2025_T2!$C$56)</f>
        <v>0.3343333333</v>
      </c>
      <c r="H35" s="39">
        <f>AVERAGE(SemEval_2025_T2!$D$8,SemEval_2025_T2!$D$32,SemEval_2025_T2!$D$56)</f>
        <v>0.2676666667</v>
      </c>
      <c r="I35" s="19">
        <f>IFERROR(__xludf.DUMMYFUNCTION("FILTER(RawData_Ensembles!$C$1:$C$99, 
  REGEXMATCH(RawData_Ensembles!$A$1:$A$99, ""(?i)"" &amp; $A$14), 
  REGEXMATCH(RawData_Ensembles!$A$1:$A$99, ""(?i)"" &amp; $I$12), REGEXMATCH(RawData_Ensembles!$A$1:$A$99, ""(?i)"" &amp; $B$14), REGEXMATCH(RawData_Ensembles!$A$"&amp;"1:$A$99, ""(?i)original_original"")
)"),0.328)</f>
        <v>0.328</v>
      </c>
      <c r="J35" s="19">
        <f>IFERROR(__xludf.DUMMYFUNCTION("FILTER(RawData_Ensembles!$D$1:$D$99, 
  REGEXMATCH(RawData_Ensembles!$A$1:$A$99, ""(?i)"" &amp; $A$14), 
  REGEXMATCH(RawData_Ensembles!$A$1:$A$99, ""(?i)"" &amp; $I$12), REGEXMATCH(RawData_Ensembles!$A$1:$A$99, ""(?i)"" &amp; $B$14), REGEXMATCH(RawData_Ensembles!$A$"&amp;"1:$A$99, ""(?i)original_original"")
)"),0.326)</f>
        <v>0.326</v>
      </c>
    </row>
    <row r="36">
      <c r="A36" s="38"/>
      <c r="B36" s="4" t="s">
        <v>68</v>
      </c>
      <c r="C36" s="39">
        <f>AVERAGE(SemEval_2025_T2!$C$9,SemEval_2025_T2!$C$39,SemEval_2025_T2!$C$57,SemEval_2025_T2!$C$81)</f>
        <v>0.32125</v>
      </c>
      <c r="D36" s="39">
        <f>AVERAGE(SemEval_2025_T2!$D$9,SemEval_2025_T2!$D$39,SemEval_2025_T2!$D$57,SemEval_2025_T2!$D$81)</f>
        <v>0.197</v>
      </c>
      <c r="E36" s="39">
        <f>IFERROR(__xludf.DUMMYFUNCTION("FILTER(RawData_Ensembles!$C$1:$C$99, 
  REGEXMATCH(RawData_Ensembles!$A$1:$A$99, ""(?i)"" &amp; $A$14), 
  REGEXMATCH(RawData_Ensembles!$A$1:$A$99, ""(?i)"" &amp; $E$12), REGEXMATCH(RawData_Ensembles!$A$1:$A$99, ""(?i)"" &amp; $B$15), REGEXMATCH(RawData_Ensembles!$A$"&amp;"1:$A$99, ""(?i)original_original"")
)"),0.32)</f>
        <v>0.32</v>
      </c>
      <c r="F36" s="39">
        <f>IFERROR(__xludf.DUMMYFUNCTION("FILTER(RawData_Ensembles!$D$1:$D$99, 
  REGEXMATCH(RawData_Ensembles!$A$1:$A$99, ""(?i)"" &amp; $A$14), 
  REGEXMATCH(RawData_Ensembles!$A$1:$A$99, ""(?i)"" &amp; $E$12), REGEXMATCH(RawData_Ensembles!$A$1:$A$99, ""(?i)"" &amp; $B$15), REGEXMATCH(RawData_Ensembles!$A$"&amp;"1:$A$99, ""(?i)original_original"")
)"),0.184)</f>
        <v>0.184</v>
      </c>
      <c r="G36" s="39">
        <f>AVERAGE(SemEval_2025_T2!$C$9,SemEval_2025_T2!$C$39,SemEval_2025_T2!$C$57)</f>
        <v>0.3536666667</v>
      </c>
      <c r="H36" s="39">
        <f>AVERAGE(SemEval_2025_T2!$D$9,SemEval_2025_T2!$D$39,SemEval_2025_T2!$D$57)</f>
        <v>0.2223333333</v>
      </c>
      <c r="I36" s="19">
        <f>IFERROR(__xludf.DUMMYFUNCTION("FILTER(RawData_Ensembles!$C$1:$C$99, 
  REGEXMATCH(RawData_Ensembles!$A$1:$A$99, ""(?i)"" &amp; $A$14), 
  REGEXMATCH(RawData_Ensembles!$A$1:$A$99, ""(?i)"" &amp; $I$12), REGEXMATCH(RawData_Ensembles!$A$1:$A$99, ""(?i)"" &amp; $B$15), REGEXMATCH(RawData_Ensembles!$A$"&amp;"1:$A$99, ""(?i)original_original"")
)"),0.372)</f>
        <v>0.372</v>
      </c>
      <c r="J36" s="19">
        <f>IFERROR(__xludf.DUMMYFUNCTION("FILTER(RawData_Ensembles!$D$1:$D$99, 
  REGEXMATCH(RawData_Ensembles!$A$1:$A$99, ""(?i)"" &amp; $A$14), 
  REGEXMATCH(RawData_Ensembles!$A$1:$A$99, ""(?i)"" &amp; $I$12), REGEXMATCH(RawData_Ensembles!$A$1:$A$99, ""(?i)"" &amp; $B$15), REGEXMATCH(RawData_Ensembles!$A$"&amp;"1:$A$99, ""(?i)original_original"")
)"),0.232)</f>
        <v>0.232</v>
      </c>
    </row>
    <row r="37">
      <c r="A37" s="38" t="s">
        <v>36</v>
      </c>
      <c r="B37" s="4" t="s">
        <v>67</v>
      </c>
      <c r="C37" s="39">
        <f>AVERAGE(SemEval_2025_T2!$E$8,SemEval_2025_T2!$E$32,SemEval_2025_T2!$E$56,SemEval_2025_T2!$E$80)</f>
        <v>0.27325</v>
      </c>
      <c r="D37" s="39">
        <f>AVERAGE(SemEval_2025_T2!$F$8,SemEval_2025_T2!$F$32,SemEval_2025_T2!$F$56,SemEval_2025_T2!$F$80)</f>
        <v>0.164</v>
      </c>
      <c r="E37" s="39">
        <f>IFERROR(__xludf.DUMMYFUNCTION("FILTER(RawData_Ensembles!$C$1:$C$99, 
  REGEXMATCH(RawData_Ensembles!$A$1:$A$99, ""(?i)"" &amp; $A$16), 
  REGEXMATCH(RawData_Ensembles!$A$1:$A$99, ""(?i)"" &amp; $E$12), REGEXMATCH(RawData_Ensembles!$A$1:$A$99, ""(?i)"" &amp; $B$14), REGEXMATCH(RawData_Ensembles!$A$"&amp;"1:$A$99, ""(?i)original_original"")
)"),0.228)</f>
        <v>0.228</v>
      </c>
      <c r="F37" s="39">
        <f>IFERROR(__xludf.DUMMYFUNCTION("FILTER(RawData_Ensembles!$D$1:$D$99, 
  REGEXMATCH(RawData_Ensembles!$A$1:$A$99, ""(?i)"" &amp; $A$16), 
  REGEXMATCH(RawData_Ensembles!$A$1:$A$99, ""(?i)"" &amp; $E$12), REGEXMATCH(RawData_Ensembles!$A$1:$A$99, ""(?i)"" &amp; $B$14), REGEXMATCH(RawData_Ensembles!$A$"&amp;"1:$A$99, ""(?i)original_original"")
)"),0.228)</f>
        <v>0.228</v>
      </c>
      <c r="G37" s="39">
        <f>AVERAGE(SemEval_2025_T2!$E$8,SemEval_2025_T2!$E$32,SemEval_2025_T2!$E$56)</f>
        <v>0.2953333333</v>
      </c>
      <c r="H37" s="39">
        <f>AVERAGE(SemEval_2025_T2!$F$8,SemEval_2025_T2!$F$32,SemEval_2025_T2!$F$56)</f>
        <v>0.1713333333</v>
      </c>
      <c r="I37" s="19">
        <f>IFERROR(__xludf.DUMMYFUNCTION("FILTER(RawData_Ensembles!$C$1:$C$99, 
  REGEXMATCH(RawData_Ensembles!$A$1:$A$99, ""(?i)"" &amp; $A$16), 
  REGEXMATCH(RawData_Ensembles!$A$1:$A$99, ""(?i)"" &amp; $I$12), REGEXMATCH(RawData_Ensembles!$A$1:$A$99, ""(?i)"" &amp; $B$14), REGEXMATCH(RawData_Ensembles!$A$"&amp;"1:$A$99, ""(?i)original_original"")
)"),0.149)</f>
        <v>0.149</v>
      </c>
      <c r="J37" s="19">
        <f>IFERROR(__xludf.DUMMYFUNCTION("FILTER(RawData_Ensembles!$D$1:$D$99, 
  REGEXMATCH(RawData_Ensembles!$A$1:$A$99, ""(?i)"" &amp; $A$16), 
  REGEXMATCH(RawData_Ensembles!$A$1:$A$99, ""(?i)"" &amp; $I$12), REGEXMATCH(RawData_Ensembles!$A$1:$A$99, ""(?i)"" &amp; $B$14), REGEXMATCH(RawData_Ensembles!$A$"&amp;"1:$A$99, ""(?i)original_original"")
)"),0.149)</f>
        <v>0.149</v>
      </c>
    </row>
    <row r="38">
      <c r="A38" s="38"/>
      <c r="B38" s="4" t="s">
        <v>68</v>
      </c>
      <c r="C38" s="39">
        <f>AVERAGE(SemEval_2025_T2!$E$9,SemEval_2025_T2!$E$39,SemEval_2025_T2!$E$57,SemEval_2025_T2!$E$81)</f>
        <v>0.3225</v>
      </c>
      <c r="D38" s="39">
        <f>AVERAGE(SemEval_2025_T2!$F$9,SemEval_2025_T2!$F$39,SemEval_2025_T2!$F$57,SemEval_2025_T2!$F$81)</f>
        <v>0.17075</v>
      </c>
      <c r="E38" s="39">
        <f>IFERROR(__xludf.DUMMYFUNCTION("FILTER(RawData_Ensembles!$C$1:$C$99, 
  REGEXMATCH(RawData_Ensembles!$A$1:$A$99, ""(?i)"" &amp; $A$16), 
  REGEXMATCH(RawData_Ensembles!$A$1:$A$99, ""(?i)"" &amp; $E$12), REGEXMATCH(RawData_Ensembles!$A$1:$A$99, ""(?i)"" &amp; $B$15), REGEXMATCH(RawData_Ensembles!$A$"&amp;"1:$A$99, ""(?i)original_original"")
)"),0.264)</f>
        <v>0.264</v>
      </c>
      <c r="F38" s="39">
        <f>IFERROR(__xludf.DUMMYFUNCTION("FILTER(RawData_Ensembles!$D$1:$D$99, 
  REGEXMATCH(RawData_Ensembles!$A$1:$A$99, ""(?i)"" &amp; $A$16), 
  REGEXMATCH(RawData_Ensembles!$A$1:$A$99, ""(?i)"" &amp; $E$12), REGEXMATCH(RawData_Ensembles!$A$1:$A$99, ""(?i)"" &amp; $B$15), REGEXMATCH(RawData_Ensembles!$A$"&amp;"1:$A$99, ""(?i)original_original"")
)"),0.138)</f>
        <v>0.138</v>
      </c>
      <c r="G38" s="39">
        <f>AVERAGE(SemEval_2025_T2!$E$9,SemEval_2025_T2!$E$39,SemEval_2025_T2!$E$57)</f>
        <v>0.3533333333</v>
      </c>
      <c r="H38" s="39">
        <f>AVERAGE(SemEval_2025_T2!$F$9,SemEval_2025_T2!$F$39,SemEval_2025_T2!$F$57)</f>
        <v>0.1903333333</v>
      </c>
      <c r="I38" s="19">
        <f>IFERROR(__xludf.DUMMYFUNCTION("FILTER(RawData_Ensembles!$C$1:$C$99, 
  REGEXMATCH(RawData_Ensembles!$A$1:$A$99, ""(?i)"" &amp; $A$16), 
  REGEXMATCH(RawData_Ensembles!$A$1:$A$99, ""(?i)"" &amp; $I$12), REGEXMATCH(RawData_Ensembles!$A$1:$A$99, ""(?i)"" &amp; $B$15), REGEXMATCH(RawData_Ensembles!$A$"&amp;"1:$A$99, ""(?i)original_original"")
)"),0.281)</f>
        <v>0.281</v>
      </c>
      <c r="J38" s="19">
        <f>IFERROR(__xludf.DUMMYFUNCTION("FILTER(RawData_Ensembles!$D$1:$D$99, 
  REGEXMATCH(RawData_Ensembles!$A$1:$A$99, ""(?i)"" &amp; $A$16), 
  REGEXMATCH(RawData_Ensembles!$A$1:$A$99, ""(?i)"" &amp; $I$12), REGEXMATCH(RawData_Ensembles!$A$1:$A$99, ""(?i)"" &amp; $B$15), REGEXMATCH(RawData_Ensembles!$A$"&amp;"1:$A$99, ""(?i)original_original"")
)"),0.161)</f>
        <v>0.161</v>
      </c>
    </row>
    <row r="39">
      <c r="A39" s="38" t="s">
        <v>29</v>
      </c>
      <c r="B39" s="4" t="s">
        <v>67</v>
      </c>
      <c r="C39" s="39">
        <f>AVERAGE(SemEval_2025_T2!$G$8,SemEval_2025_T2!$G$32,SemEval_2025_T2!$G$56,SemEval_2025_T2!$G$80)</f>
        <v>0.3725</v>
      </c>
      <c r="D39" s="39">
        <f>AVERAGE(SemEval_2025_T2!$H$8,SemEval_2025_T2!$H$32,SemEval_2025_T2!$H$56,SemEval_2025_T2!$H$80)</f>
        <v>0.24075</v>
      </c>
      <c r="E39" s="39">
        <f>IFERROR(__xludf.DUMMYFUNCTION("FILTER(RawData_Ensembles!$C$1:$C$99, 
  REGEXMATCH(RawData_Ensembles!$A$1:$A$99, ""(?i)"" &amp; $A$18), 
  REGEXMATCH(RawData_Ensembles!$A$1:$A$99, ""(?i)"" &amp; $E$12), REGEXMATCH(RawData_Ensembles!$A$1:$A$99, ""(?i)"" &amp; $B$14), REGEXMATCH(RawData_Ensembles!$A$"&amp;"1:$A$99, ""(?i)original_original"")
)"),0.509)</f>
        <v>0.509</v>
      </c>
      <c r="F39" s="39">
        <f>IFERROR(__xludf.DUMMYFUNCTION("FILTER(RawData_Ensembles!$D$1:$D$99, 
  REGEXMATCH(RawData_Ensembles!$A$1:$A$99, ""(?i)"" &amp; $A$18), 
  REGEXMATCH(RawData_Ensembles!$A$1:$A$99, ""(?i)"" &amp; $E$12), REGEXMATCH(RawData_Ensembles!$A$1:$A$99, ""(?i)"" &amp; $B$14), REGEXMATCH(RawData_Ensembles!$A$"&amp;"1:$A$99, ""(?i)original_original"")
)"),0.4)</f>
        <v>0.4</v>
      </c>
      <c r="G39" s="39">
        <f>AVERAGE(SemEval_2025_T2!$G$8,SemEval_2025_T2!$G$32,SemEval_2025_T2!$G$56)</f>
        <v>0.4313333333</v>
      </c>
      <c r="H39" s="39">
        <f>AVERAGE(SemEval_2025_T2!$H$8,SemEval_2025_T2!$H$32,SemEval_2025_T2!$H$56)</f>
        <v>0.2736666667</v>
      </c>
      <c r="I39" s="19">
        <f>IFERROR(__xludf.DUMMYFUNCTION("FILTER(RawData_Ensembles!$C$1:$C$99, 
  REGEXMATCH(RawData_Ensembles!$A$1:$A$99, ""(?i)"" &amp; $A$18), 
  REGEXMATCH(RawData_Ensembles!$A$1:$A$99, ""(?i)"" &amp; $I$12), REGEXMATCH(RawData_Ensembles!$A$1:$A$99, ""(?i)"" &amp; $B$14), REGEXMATCH(RawData_Ensembles!$A$"&amp;"1:$A$99, ""(?i)original_original"")
)"),0.556)</f>
        <v>0.556</v>
      </c>
      <c r="J39" s="19">
        <f>IFERROR(__xludf.DUMMYFUNCTION("FILTER(RawData_Ensembles!$D$1:$D$99, 
  REGEXMATCH(RawData_Ensembles!$A$1:$A$99, ""(?i)"" &amp; $A$18), 
  REGEXMATCH(RawData_Ensembles!$A$1:$A$99, ""(?i)"" &amp; $I$12), REGEXMATCH(RawData_Ensembles!$A$1:$A$99, ""(?i)"" &amp; $B$14), REGEXMATCH(RawData_Ensembles!$A$"&amp;"1:$A$99, ""(?i)original_original"")
)"),0.39)</f>
        <v>0.39</v>
      </c>
    </row>
    <row r="40">
      <c r="A40" s="38"/>
      <c r="B40" s="4" t="s">
        <v>68</v>
      </c>
      <c r="C40" s="39">
        <f>AVERAGE(SemEval_2025_T2!$G$9,SemEval_2025_T2!$G$39,SemEval_2025_T2!$G$57,SemEval_2025_T2!$G$81)</f>
        <v>0.36475</v>
      </c>
      <c r="D40" s="39">
        <f>AVERAGE(SemEval_2025_T2!$H$9,SemEval_2025_T2!$H$39,SemEval_2025_T2!$H$57,SemEval_2025_T2!$H$81)</f>
        <v>0.23375</v>
      </c>
      <c r="E40" s="39">
        <f>IFERROR(__xludf.DUMMYFUNCTION("FILTER(RawData_Ensembles!$C$1:$C$99, 
  REGEXMATCH(RawData_Ensembles!$A$1:$A$99, ""(?i)"" &amp; $A$18), 
  REGEXMATCH(RawData_Ensembles!$A$1:$A$99, ""(?i)"" &amp; $E$12), REGEXMATCH(RawData_Ensembles!$A$1:$A$99, ""(?i)"" &amp; $B$15), REGEXMATCH(RawData_Ensembles!$A$"&amp;"1:$A$99, ""(?i)original_original"")
)"),0.303)</f>
        <v>0.303</v>
      </c>
      <c r="F40" s="39">
        <f>IFERROR(__xludf.DUMMYFUNCTION("FILTER(RawData_Ensembles!$D$1:$D$99, 
  REGEXMATCH(RawData_Ensembles!$A$1:$A$99, ""(?i)"" &amp; $A$18), 
  REGEXMATCH(RawData_Ensembles!$A$1:$A$99, ""(?i)"" &amp; $E$12), REGEXMATCH(RawData_Ensembles!$A$1:$A$99, ""(?i)"" &amp; $B$15), REGEXMATCH(RawData_Ensembles!$A$"&amp;"1:$A$99, ""(?i)original_original"")
)"),0.196)</f>
        <v>0.196</v>
      </c>
      <c r="G40" s="39">
        <f>AVERAGE(SemEval_2025_T2!$G$9,SemEval_2025_T2!$G$39,SemEval_2025_T2!$G$57)</f>
        <v>0.4186666667</v>
      </c>
      <c r="H40" s="39">
        <f>AVERAGE(SemEval_2025_T2!$H$9,SemEval_2025_T2!$H$39,SemEval_2025_T2!$H$57)</f>
        <v>0.2723333333</v>
      </c>
      <c r="I40" s="19">
        <f>IFERROR(__xludf.DUMMYFUNCTION("FILTER(RawData_Ensembles!$C$1:$C$99, 
  REGEXMATCH(RawData_Ensembles!$A$1:$A$99, ""(?i)"" &amp; $A$18), 
  REGEXMATCH(RawData_Ensembles!$A$1:$A$99, ""(?i)"" &amp; $I$12), REGEXMATCH(RawData_Ensembles!$A$1:$A$99, ""(?i)"" &amp; $B$15), REGEXMATCH(RawData_Ensembles!$A$"&amp;"1:$A$99, ""(?i)original_original"")
)"),0.417)</f>
        <v>0.417</v>
      </c>
      <c r="J40" s="19">
        <f>IFERROR(__xludf.DUMMYFUNCTION("FILTER(RawData_Ensembles!$D$1:$D$99, 
  REGEXMATCH(RawData_Ensembles!$A$1:$A$99, ""(?i)"" &amp; $A$18), 
  REGEXMATCH(RawData_Ensembles!$A$1:$A$99, ""(?i)"" &amp; $I$12), REGEXMATCH(RawData_Ensembles!$A$1:$A$99, ""(?i)"" &amp; $B$15), REGEXMATCH(RawData_Ensembles!$A$"&amp;"1:$A$99, ""(?i)original_original"")
)"),0.28)</f>
        <v>0.28</v>
      </c>
    </row>
    <row r="42">
      <c r="C42" s="4" t="s">
        <v>72</v>
      </c>
      <c r="D42" s="4" t="s">
        <v>73</v>
      </c>
      <c r="E42" s="4" t="s">
        <v>72</v>
      </c>
      <c r="F42" s="4" t="s">
        <v>73</v>
      </c>
    </row>
    <row r="43">
      <c r="B43" s="4" t="s">
        <v>67</v>
      </c>
      <c r="C43" s="21">
        <f t="shared" ref="C43:D43" si="17">E35-C35</f>
        <v>-0.021</v>
      </c>
      <c r="D43" s="21">
        <f t="shared" si="17"/>
        <v>0.03825</v>
      </c>
      <c r="E43" s="21">
        <f t="shared" ref="E43:F43" si="18">I35-G35</f>
        <v>-0.006333333333</v>
      </c>
      <c r="F43" s="21">
        <f t="shared" si="18"/>
        <v>0.05833333333</v>
      </c>
    </row>
    <row r="44">
      <c r="B44" s="4" t="s">
        <v>68</v>
      </c>
      <c r="C44" s="21">
        <f t="shared" ref="C44:D44" si="19">E36-C36</f>
        <v>-0.00125</v>
      </c>
      <c r="D44" s="21">
        <f t="shared" si="19"/>
        <v>-0.013</v>
      </c>
      <c r="E44" s="21">
        <f t="shared" ref="E44:F44" si="20">I36-G36</f>
        <v>0.01833333333</v>
      </c>
      <c r="F44" s="21">
        <f t="shared" si="20"/>
        <v>0.009666666667</v>
      </c>
    </row>
    <row r="45">
      <c r="B45" s="4" t="s">
        <v>67</v>
      </c>
      <c r="C45" s="21">
        <f t="shared" ref="C45:D45" si="21">E37-C37</f>
        <v>-0.04525</v>
      </c>
      <c r="D45" s="21">
        <f t="shared" si="21"/>
        <v>0.064</v>
      </c>
      <c r="E45" s="21">
        <f t="shared" ref="E45:F45" si="22">I37-G37</f>
        <v>-0.1463333333</v>
      </c>
      <c r="F45" s="21">
        <f t="shared" si="22"/>
        <v>-0.02233333333</v>
      </c>
    </row>
    <row r="46">
      <c r="B46" s="4" t="s">
        <v>68</v>
      </c>
      <c r="C46" s="21">
        <f t="shared" ref="C46:D46" si="23">E38-C38</f>
        <v>-0.0585</v>
      </c>
      <c r="D46" s="21">
        <f t="shared" si="23"/>
        <v>-0.03275</v>
      </c>
      <c r="E46" s="21">
        <f t="shared" ref="E46:F46" si="24">I38-G38</f>
        <v>-0.07233333333</v>
      </c>
      <c r="F46" s="21">
        <f t="shared" si="24"/>
        <v>-0.02933333333</v>
      </c>
    </row>
    <row r="47">
      <c r="B47" s="4" t="s">
        <v>67</v>
      </c>
      <c r="C47" s="21">
        <f t="shared" ref="C47:D47" si="25">E39-C39</f>
        <v>0.1365</v>
      </c>
      <c r="D47" s="21">
        <f t="shared" si="25"/>
        <v>0.15925</v>
      </c>
      <c r="E47" s="21">
        <f t="shared" ref="E47:F47" si="26">I39-G39</f>
        <v>0.1246666667</v>
      </c>
      <c r="F47" s="21">
        <f t="shared" si="26"/>
        <v>0.1163333333</v>
      </c>
    </row>
    <row r="48">
      <c r="B48" s="4" t="s">
        <v>68</v>
      </c>
      <c r="C48" s="21">
        <f t="shared" ref="C48:D48" si="27">E40-C40</f>
        <v>-0.06175</v>
      </c>
      <c r="D48" s="21">
        <f t="shared" si="27"/>
        <v>-0.03775</v>
      </c>
      <c r="E48" s="21">
        <f t="shared" ref="E48:F48" si="28">I40-G40</f>
        <v>-0.001666666667</v>
      </c>
      <c r="F48" s="21">
        <f t="shared" si="28"/>
        <v>0.007666666667</v>
      </c>
    </row>
    <row r="49">
      <c r="B49" s="4" t="s">
        <v>74</v>
      </c>
      <c r="C49" s="21">
        <f t="shared" ref="C49:F49" si="29">COUNTIF(C43:C48,"&gt;0")</f>
        <v>1</v>
      </c>
      <c r="D49" s="21">
        <f t="shared" si="29"/>
        <v>3</v>
      </c>
      <c r="E49" s="21">
        <f t="shared" si="29"/>
        <v>2</v>
      </c>
      <c r="F49" s="21">
        <f t="shared" si="29"/>
        <v>4</v>
      </c>
      <c r="G49" s="21">
        <f>SUM(C49:F49)*100/24</f>
        <v>41.66666667</v>
      </c>
    </row>
    <row r="50">
      <c r="B50" s="4" t="s">
        <v>67</v>
      </c>
      <c r="C50" s="21">
        <f t="shared" ref="C50:F50" si="30">COUNTIF(C43,"&gt;0") + COUNTIF(C45,"&gt;0") + COUNTIF(C47,"&gt;0")</f>
        <v>1</v>
      </c>
      <c r="D50" s="21">
        <f t="shared" si="30"/>
        <v>3</v>
      </c>
      <c r="E50" s="21">
        <f t="shared" si="30"/>
        <v>1</v>
      </c>
      <c r="F50" s="21">
        <f t="shared" si="30"/>
        <v>2</v>
      </c>
      <c r="G50" s="21">
        <f t="shared" ref="G50:G51" si="32">SUM(C50:F50)*100/12</f>
        <v>58.33333333</v>
      </c>
    </row>
    <row r="51">
      <c r="B51" s="4" t="s">
        <v>68</v>
      </c>
      <c r="C51" s="21">
        <f t="shared" ref="C51:F51" si="31">COUNTIF(C44,"&gt;0") + COUNTIF(C46,"&gt;0") + COUNTIF(C48,"&gt;0")</f>
        <v>0</v>
      </c>
      <c r="D51" s="21">
        <f t="shared" si="31"/>
        <v>0</v>
      </c>
      <c r="E51" s="21">
        <f t="shared" si="31"/>
        <v>1</v>
      </c>
      <c r="F51" s="21">
        <f t="shared" si="31"/>
        <v>2</v>
      </c>
      <c r="G51" s="21">
        <f t="shared" si="32"/>
        <v>25</v>
      </c>
    </row>
    <row r="53">
      <c r="C53" s="4" t="s">
        <v>75</v>
      </c>
      <c r="D53" s="4" t="s">
        <v>76</v>
      </c>
    </row>
    <row r="54">
      <c r="A54" s="4" t="s">
        <v>77</v>
      </c>
      <c r="B54" s="4" t="s">
        <v>67</v>
      </c>
      <c r="C54" s="21">
        <f t="shared" ref="C54:C55" si="33">AVERAGE(C22,C24,C26,C43,C45,C47)</f>
        <v>0.021125</v>
      </c>
      <c r="D54" s="21">
        <f t="shared" ref="D54:D55" si="34">AVERAGE(E22,E24,E26,E43,E45,E47)</f>
        <v>-0.01433333333</v>
      </c>
    </row>
    <row r="55">
      <c r="B55" s="4" t="s">
        <v>78</v>
      </c>
      <c r="C55" s="21">
        <f t="shared" si="33"/>
        <v>-0.03541666667</v>
      </c>
      <c r="D55" s="21">
        <f t="shared" si="34"/>
        <v>-0.01094444444</v>
      </c>
    </row>
    <row r="56">
      <c r="A56" s="4" t="s">
        <v>79</v>
      </c>
      <c r="B56" s="4" t="s">
        <v>80</v>
      </c>
      <c r="C56" s="21">
        <f t="shared" ref="C56:C57" si="35">AVERAGE(D22,D24,D26,D43,D45,D47)</f>
        <v>0.08541666667</v>
      </c>
      <c r="D56" s="21">
        <f t="shared" ref="D56:D57" si="36">AVERAGE(F22,F24,F26,F43,F45,F47)</f>
        <v>0.04788888889</v>
      </c>
    </row>
    <row r="57">
      <c r="B57" s="4" t="s">
        <v>78</v>
      </c>
      <c r="C57" s="21">
        <f t="shared" si="35"/>
        <v>-0.03254166667</v>
      </c>
      <c r="D57" s="21">
        <f t="shared" si="36"/>
        <v>-0.008888888889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5" max="6" width="12.75"/>
    <col customWidth="1" min="7" max="8" width="11.75"/>
    <col customWidth="1" min="11" max="11" width="20.75"/>
    <col customWidth="1" min="12" max="12" width="13.38"/>
    <col customWidth="1" min="15" max="17" width="20.0"/>
  </cols>
  <sheetData>
    <row r="1">
      <c r="A1" s="22"/>
      <c r="B1" s="4"/>
      <c r="C1" s="40" t="s">
        <v>61</v>
      </c>
      <c r="D1" s="4" t="s">
        <v>62</v>
      </c>
      <c r="E1" s="40" t="s">
        <v>61</v>
      </c>
      <c r="F1" s="4" t="s">
        <v>62</v>
      </c>
      <c r="G1" s="40" t="s">
        <v>61</v>
      </c>
      <c r="H1" s="4" t="s">
        <v>62</v>
      </c>
      <c r="I1" s="40" t="s">
        <v>61</v>
      </c>
      <c r="J1" s="4" t="s">
        <v>62</v>
      </c>
      <c r="K1" s="41" t="s">
        <v>61</v>
      </c>
      <c r="L1" s="37" t="s">
        <v>62</v>
      </c>
      <c r="M1" s="37" t="s">
        <v>61</v>
      </c>
      <c r="N1" s="37" t="s">
        <v>62</v>
      </c>
      <c r="O1" s="42" t="s">
        <v>61</v>
      </c>
      <c r="P1" s="32" t="s">
        <v>62</v>
      </c>
      <c r="Q1" s="32" t="s">
        <v>61</v>
      </c>
      <c r="R1" s="32" t="s">
        <v>62</v>
      </c>
    </row>
    <row r="2">
      <c r="A2" s="43" t="s">
        <v>81</v>
      </c>
      <c r="B2" s="44"/>
      <c r="C2" s="45" t="s">
        <v>4</v>
      </c>
      <c r="D2" s="44"/>
      <c r="E2" s="45" t="s">
        <v>5</v>
      </c>
      <c r="F2" s="44"/>
      <c r="G2" s="45" t="s">
        <v>6</v>
      </c>
      <c r="H2" s="44"/>
      <c r="I2" s="45" t="s">
        <v>7</v>
      </c>
      <c r="J2" s="44"/>
      <c r="K2" s="46" t="s">
        <v>63</v>
      </c>
      <c r="L2" s="46" t="s">
        <v>63</v>
      </c>
      <c r="M2" s="46" t="s">
        <v>64</v>
      </c>
      <c r="N2" s="46" t="s">
        <v>64</v>
      </c>
      <c r="O2" s="47" t="s">
        <v>65</v>
      </c>
      <c r="P2" s="47" t="s">
        <v>65</v>
      </c>
      <c r="Q2" s="47" t="s">
        <v>66</v>
      </c>
      <c r="R2" s="48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</row>
    <row r="3">
      <c r="A3" s="4" t="s">
        <v>9</v>
      </c>
      <c r="C3" s="50">
        <f>IFERROR(__xludf.DUMMYFUNCTION("FILTER(RawData_Dipro!$C$2:$C$389, 
  REGEXMATCH(RawData_Dipro!$A$2:$A$389, ""(?i)"" &amp; $A$3), 
  REGEXMATCH(RawData_Dipro!$A$2:$A$389, ""(?i)"" &amp; $C$2), REGEXMATCH(RawData_Dipro!$B$2:$B$389, ""(?i)"" &amp; $C$1), 
  NOT(REGEXMATCH(RawData_Dipro!$A$2:$A$389,  "&amp;"""(?i)ensemble"")) 
)"),0.634504615288617)</f>
        <v>0.6345046153</v>
      </c>
      <c r="D3" s="5">
        <f>IFERROR(__xludf.DUMMYFUNCTION("FILTER(RawData_Dipro!$C$2:$C$389, 
  REGEXMATCH(RawData_Dipro!$A$2:$A$389, ""(?i)"" &amp; $A$3), 
  REGEXMATCH(RawData_Dipro!$A$2:$A$389, ""(?i)"" &amp; $C$2), REGEXMATCH(RawData_Dipro!$B$2:$B$389, ""(?i)"" &amp; $D$1), 
  NOT(REGEXMATCH(RawData_Dipro!$A$2:$A$389,  "&amp;"""(?i)ensemble"")) 
)"),0.583394320061881)</f>
        <v>0.5833943201</v>
      </c>
      <c r="E3" s="50">
        <f>IFERROR(__xludf.DUMMYFUNCTION("FILTER(RawData_Dipro!$C$2:$C$389, 
  REGEXMATCH(RawData_Dipro!$A$2:$A$389, ""(?i)"" &amp; $A$3), 
  REGEXMATCH(RawData_Dipro!$A$2:$A$389, ""(?i)"" &amp; $E$2), REGEXMATCH(RawData_Dipro!$B$2:$B$389, ""(?i)"" &amp; $C$1), 
  NOT(REGEXMATCH(RawData_Dipro!$A$2:$A$389,  "&amp;"""(?i)ensemble"")) 
)"),0.612546907727468)</f>
        <v>0.6125469077</v>
      </c>
      <c r="F3" s="5">
        <f>IFERROR(__xludf.DUMMYFUNCTION("FILTER(RawData_Dipro!$C$2:$C$389, 
  REGEXMATCH(RawData_Dipro!$A$2:$A$389, ""(?i)"" &amp; $A$3), 
  REGEXMATCH(RawData_Dipro!$A$2:$A$389, ""(?i)"" &amp; $E$2), REGEXMATCH(RawData_Dipro!$B$2:$B$389, ""(?i)"" &amp; $D$1), 
  NOT(REGEXMATCH(RawData_Dipro!$A$2:$A$389,  "&amp;"""(?i)ensemble"")) 
)"),0.564694414756619)</f>
        <v>0.5646944148</v>
      </c>
      <c r="G3" s="50">
        <f>IFERROR(__xludf.DUMMYFUNCTION("FILTER(RawData_Dipro!$C$2:$C$389, 
  REGEXMATCH(RawData_Dipro!$A$2:$A$389, ""(?i)"" &amp; $A$3), 
  REGEXMATCH(RawData_Dipro!$A$2:$A$389, ""(?i)"" &amp; $G$2), REGEXMATCH(RawData_Dipro!$B$2:$B$389, ""(?i)"" &amp; $C$1), 
  NOT(REGEXMATCH(RawData_Dipro!$A$2:$A$389,  "&amp;"""(?i)ensemble"")) 
)"),0.551936514723647)</f>
        <v>0.5519365147</v>
      </c>
      <c r="H3" s="5">
        <f>IFERROR(__xludf.DUMMYFUNCTION("FILTER(RawData_Dipro!$C$2:$C$389, 
  REGEXMATCH(RawData_Dipro!$A$2:$A$389, ""(?i)"" &amp; $A$3), 
  REGEXMATCH(RawData_Dipro!$A$2:$A$389, ""(?i)"" &amp; $G$2), REGEXMATCH(RawData_Dipro!$B$2:$B$389, ""(?i)"" &amp; $D$1), 
  NOT(REGEXMATCH(RawData_Dipro!$A$2:$A$389,  "&amp;"""(?i)ensemble"")) 
)"),0.498994997427713)</f>
        <v>0.4989949974</v>
      </c>
      <c r="I3" s="50">
        <f>IFERROR(__xludf.DUMMYFUNCTION("FILTER(RawData_Dipro!$C$2:$C$389, 
  REGEXMATCH(RawData_Dipro!$A$2:$A$389, ""(?i)"" &amp; $A$3), 
  REGEXMATCH(RawData_Dipro!$A$2:$A$389, ""(?i)"" &amp; $I$2), REGEXMATCH(RawData_Dipro!$B$2:$B$389, ""(?i)"" &amp; $C$1), 
  NOT(REGEXMATCH(RawData_Dipro!$A$2:$A$389,  "&amp;"""(?i)ensemble"")) 
)"),0.333605146281453)</f>
        <v>0.3336051463</v>
      </c>
      <c r="J3" s="5">
        <f>IFERROR(__xludf.DUMMYFUNCTION("FILTER(RawData_Dipro!$C$2:$C$389, 
  REGEXMATCH(RawData_Dipro!$A$2:$A$389, ""(?i)"" &amp; $A$3), 
  REGEXMATCH(RawData_Dipro!$A$2:$A$389, ""(?i)"" &amp; $I$2), REGEXMATCH(RawData_Dipro!$B$2:$B$389, ""(?i)"" &amp; $D$1), 
  NOT(REGEXMATCH(RawData_Dipro!$A$2:$A$389,  "&amp;"""(?i)ensemble"")) 
)"),0.367508834746624)</f>
        <v>0.3675088347</v>
      </c>
      <c r="K3" s="51"/>
      <c r="L3" s="39"/>
      <c r="M3" s="39"/>
      <c r="N3" s="39"/>
      <c r="O3" s="19"/>
      <c r="P3" s="19"/>
      <c r="Q3" s="19"/>
      <c r="R3" s="19"/>
    </row>
    <row r="4">
      <c r="A4" s="4"/>
      <c r="B4" s="4" t="s">
        <v>67</v>
      </c>
      <c r="C4" s="50">
        <f>IFERROR(__xludf.DUMMYFUNCTION("FILTER(RawData_Dipro!$C$2:$C$389, 
  REGEXMATCH(RawData_Dipro!$A$2:$A$389, ""(?i)"" &amp; $A$3), 
  REGEXMATCH(RawData_Dipro!$A$2:$A$389, ""(?i)"" &amp; $C$2), REGEXMATCH(RawData_Dipro!$B$2:$B$389, ""(?i)"" &amp; $C$1), REGEXMATCH(RawData_Dipro!$A$2:$A$389, ""(?i)maj"&amp;"ority"")
)"),0.639468108366998)</f>
        <v>0.6394681084</v>
      </c>
      <c r="D4" s="5">
        <f>IFERROR(__xludf.DUMMYFUNCTION("FILTER(RawData_Dipro!$C$2:$C$389, 
  REGEXMATCH(RawData_Dipro!$A$2:$A$389, ""(?i)"" &amp; $A$3), 
  REGEXMATCH(RawData_Dipro!$A$2:$A$389, ""(?i)"" &amp; $C$2), REGEXMATCH(RawData_Dipro!$B$2:$B$389, ""(?i)"" &amp; $D$1), REGEXMATCH(RawData_Dipro!$A$2:$A$389, ""(?i)maj"&amp;"ority"")
)"),0.586910136857187)</f>
        <v>0.5869101369</v>
      </c>
      <c r="E4" s="50">
        <f>IFERROR(__xludf.DUMMYFUNCTION("FILTER(RawData_Dipro!$C$2:$C$389, 
  REGEXMATCH(RawData_Dipro!$A$2:$A$389, ""(?i)"" &amp; $A$3), 
  REGEXMATCH(RawData_Dipro!$A$2:$A$389, ""(?i)"" &amp; $E$2), REGEXMATCH(RawData_Dipro!$B$2:$B$389, ""(?i)"" &amp; $C$1), REGEXMATCH(RawData_Dipro!$A$2:$A$389, ""(?i)maj"&amp;"ority"")
)"),0.614143324352865)</f>
        <v>0.6141433244</v>
      </c>
      <c r="F4" s="5">
        <f>IFERROR(__xludf.DUMMYFUNCTION("FILTER(RawData_Dipro!$C$2:$C$389, 
  REGEXMATCH(RawData_Dipro!$A$2:$A$389, ""(?i)"" &amp; $A$3), 
  REGEXMATCH(RawData_Dipro!$A$2:$A$389, ""(?i)"" &amp; $E$2), REGEXMATCH(RawData_Dipro!$B$2:$B$389, ""(?i)"" &amp; $D$1), REGEXMATCH(RawData_Dipro!$A$2:$A$389, ""(?i)maj"&amp;"ority"")
)"),0.567494699039484)</f>
        <v>0.567494699</v>
      </c>
      <c r="G4" s="50">
        <f>IFERROR(__xludf.DUMMYFUNCTION("FILTER(RawData_Dipro!$C$2:$C$389, 
  REGEXMATCH(RawData_Dipro!$A$2:$A$389, ""(?i)"" &amp; $A$3), 
  REGEXMATCH(RawData_Dipro!$A$2:$A$389, ""(?i)"" &amp; $G$2), REGEXMATCH(RawData_Dipro!$B$2:$B$389, ""(?i)"" &amp; $C$1), REGEXMATCH(RawData_Dipro!$A$2:$A$389, ""(?i)maj"&amp;"ority"")
)"),0.56244898871882)</f>
        <v>0.5624489887</v>
      </c>
      <c r="H4" s="5">
        <f>IFERROR(__xludf.DUMMYFUNCTION("FILTER(RawData_Dipro!$C$2:$C$389, 
  REGEXMATCH(RawData_Dipro!$A$2:$A$389, ""(?i)"" &amp; $A$3), 
  REGEXMATCH(RawData_Dipro!$A$2:$A$389, ""(?i)"" &amp; $G$2), REGEXMATCH(RawData_Dipro!$B$2:$B$389, ""(?i)"" &amp; $D$1), REGEXMATCH(RawData_Dipro!$A$2:$A$389, ""(?i)maj"&amp;"ority"")
)"),0.51522089820367)</f>
        <v>0.5152208982</v>
      </c>
      <c r="I4" s="50">
        <f>IFERROR(__xludf.DUMMYFUNCTION("FILTER(RawData_Dipro!$C$2:$C$389, 
  REGEXMATCH(RawData_Dipro!$A$2:$A$389, ""(?i)"" &amp; $A$3), 
  REGEXMATCH(RawData_Dipro!$A$2:$A$389, ""(?i)"" &amp; $I$2), REGEXMATCH(RawData_Dipro!$B$2:$B$389, ""(?i)"" &amp; $C$1), REGEXMATCH(RawData_Dipro!$A$2:$A$389, ""(?i)maj"&amp;"ority"")
)"),0.351693551112462)</f>
        <v>0.3516935511</v>
      </c>
      <c r="J4" s="5">
        <f>IFERROR(__xludf.DUMMYFUNCTION("FILTER(RawData_Dipro!$C$2:$C$389, 
  REGEXMATCH(RawData_Dipro!$A$2:$A$389, ""(?i)"" &amp; $A$3), 
  REGEXMATCH(RawData_Dipro!$A$2:$A$389, ""(?i)"" &amp; $I$2), REGEXMATCH(RawData_Dipro!$B$2:$B$389, ""(?i)"" &amp; $D$1), REGEXMATCH(RawData_Dipro!$A$2:$A$389, ""(?i)maj"&amp;"ority"")
)"),0.377300609507907)</f>
        <v>0.3773006095</v>
      </c>
      <c r="K4" s="52">
        <f t="shared" ref="K4:L4" si="1">AVERAGE(C4,E4,G4,I4)</f>
        <v>0.5419384931</v>
      </c>
      <c r="L4" s="52">
        <f t="shared" si="1"/>
        <v>0.5117315859</v>
      </c>
      <c r="M4" s="39">
        <f>IFERROR(__xludf.DUMMYFUNCTION("FILTER(RawData_Ensembles!$C$1:$C$99, 
  REGEXMATCH(RawData_Ensembles!$A$1:$A$99, ""(?i)"" &amp; $M$2), 
  REGEXMATCH(RawData_Ensembles!$A$1:$A$99, ""(?i)"" &amp; $A$3), REGEXMATCH(RawData_Ensembles!$B$1:$B$99, ""(?i)"" &amp; $M$1), REGEXMATCH(RawData_Ensembles!$A$1:$"&amp;"A$99, ""(?i)dipro""), REGEXMATCH(RawData_Ensembles!$A$1:$A$99, ""(?i)"" &amp; $B$4)
)"),0.642831750679554)</f>
        <v>0.6428317507</v>
      </c>
      <c r="N4" s="39">
        <f>IFERROR(__xludf.DUMMYFUNCTION("FILTER(RawData_Ensembles!$C$1:$C$99, 
  REGEXMATCH(RawData_Ensembles!$A$1:$A$99, ""(?i)"" &amp; $M$2), 
  REGEXMATCH(RawData_Ensembles!$A$1:$A$99, ""(?i)"" &amp; $A$3), REGEXMATCH(RawData_Ensembles!$B$1:$B$99, ""(?i)"" &amp; $N$1), REGEXMATCH(RawData_Ensembles!$A$1:$"&amp;"A$99, ""(?i)dipro""), REGEXMATCH(RawData_Ensembles!$A$1:$A$99, ""(?i)"" &amp; $B$4)
)"),0.597702377854602)</f>
        <v>0.5977023779</v>
      </c>
      <c r="O4" s="53">
        <f t="shared" ref="O4:P4" si="2">AVERAGE(C4,E4,G4)</f>
        <v>0.6053534738</v>
      </c>
      <c r="P4" s="53">
        <f t="shared" si="2"/>
        <v>0.5565419114</v>
      </c>
      <c r="Q4" s="19">
        <f>IFERROR(__xludf.DUMMYFUNCTION("FILTER(RawData_Ensembles!$C$1:$C$99, 
  REGEXMATCH(RawData_Ensembles!$A$1:$A$99, ""(?i)"" &amp; $Q$2), 
  REGEXMATCH(RawData_Ensembles!$A$1:$A$99, ""(?i)"" &amp; $A$3), REGEXMATCH(RawData_Ensembles!$B$1:$B$99, ""(?i)"" &amp; $M$1), REGEXMATCH(RawData_Ensembles!$A$1:$"&amp;"A$99, ""(?i)dipro""), REGEXMATCH(RawData_Ensembles!$A$1:$A$99, ""(?i)"" &amp; $B$4)
)"),0.641372813923377)</f>
        <v>0.6413728139</v>
      </c>
      <c r="R4" s="19">
        <f>IFERROR(__xludf.DUMMYFUNCTION("FILTER(RawData_Ensembles!$C$1:$C$99, 
  REGEXMATCH(RawData_Ensembles!$A$1:$A$99, ""(?i)"" &amp; $Q$2), 
  REGEXMATCH(RawData_Ensembles!$A$1:$A$99, ""(?i)"" &amp; $A$3), REGEXMATCH(RawData_Ensembles!$B$1:$B$99, ""(?i)"" &amp; $N$1), REGEXMATCH(RawData_Ensembles!$A$1:$"&amp;"A$99, ""(?i)dipro""), REGEXMATCH(RawData_Ensembles!$A$1:$A$99, ""(?i)"" &amp; $B$4)
)"),0.586918258059075)</f>
        <v>0.5869182581</v>
      </c>
    </row>
    <row r="5">
      <c r="A5" s="44"/>
      <c r="B5" s="44" t="s">
        <v>68</v>
      </c>
      <c r="C5" s="54">
        <f>IFERROR(__xludf.DUMMYFUNCTION("FILTER(RawData_Dipro!$C$2:$C$389, 
  REGEXMATCH(RawData_Dipro!$A$2:$A$389, ""(?i)"" &amp; $A$3), 
  REGEXMATCH(RawData_Dipro!$A$2:$A$389, ""(?i)"" &amp; $C$2), REGEXMATCH(RawData_Dipro!$B$2:$B$389, ""(?i)"" &amp; $C$1), REGEXMATCH(RawData_Dipro!$A$2:$A$389, ""(?i)inc"&amp;"lusion"")
)"),0.615371009437579)</f>
        <v>0.6153710094</v>
      </c>
      <c r="D5" s="55">
        <f>IFERROR(__xludf.DUMMYFUNCTION("FILTER(RawData_Dipro!$C$2:$C$389, 
  REGEXMATCH(RawData_Dipro!$A$2:$A$389, ""(?i)"" &amp; $A$3), 
  REGEXMATCH(RawData_Dipro!$A$2:$A$389, ""(?i)"" &amp; $C$2), REGEXMATCH(RawData_Dipro!$B$2:$B$389, ""(?i)"" &amp; $D$1), REGEXMATCH(RawData_Dipro!$A$2:$A$389, ""(?i)inc"&amp;"lusion"")
)"),0.567564024262873)</f>
        <v>0.5675640243</v>
      </c>
      <c r="E5" s="54">
        <f>IFERROR(__xludf.DUMMYFUNCTION("FILTER(RawData_Dipro!$C$2:$C$389, 
  REGEXMATCH(RawData_Dipro!$A$2:$A$389, ""(?i)"" &amp; $A$3), 
  REGEXMATCH(RawData_Dipro!$A$2:$A$389, ""(?i)"" &amp; $E$2), REGEXMATCH(RawData_Dipro!$B$2:$B$389, ""(?i)"" &amp; $C$1), REGEXMATCH(RawData_Dipro!$A$2:$A$389, ""(?i)inc"&amp;"lusion"")
)"),0.608184915595477)</f>
        <v>0.6081849156</v>
      </c>
      <c r="F5" s="55">
        <f>IFERROR(__xludf.DUMMYFUNCTION("FILTER(RawData_Dipro!$C$2:$C$389, 
  REGEXMATCH(RawData_Dipro!$A$2:$A$389, ""(?i)"" &amp; $A$3), 
  REGEXMATCH(RawData_Dipro!$A$2:$A$389, ""(?i)"" &amp; $E$2), REGEXMATCH(RawData_Dipro!$B$2:$B$389, ""(?i)"" &amp; $D$1), REGEXMATCH(RawData_Dipro!$A$2:$A$389, ""(?i)inc"&amp;"lusion"")
)"),0.558082339274077)</f>
        <v>0.5580823393</v>
      </c>
      <c r="G5" s="54">
        <f>IFERROR(__xludf.DUMMYFUNCTION("FILTER(RawData_Dipro!$C$2:$C$389, 
  REGEXMATCH(RawData_Dipro!$A$2:$A$389, ""(?i)"" &amp; $A$3), 
  REGEXMATCH(RawData_Dipro!$A$2:$A$389, ""(?i)"" &amp; $G$2), REGEXMATCH(RawData_Dipro!$B$2:$B$389, ""(?i)"" &amp; $C$1), REGEXMATCH(RawData_Dipro!$A$2:$A$389, ""(?i)inc"&amp;"lusion"")
)"),0.524160111536237)</f>
        <v>0.5241601115</v>
      </c>
      <c r="H5" s="55">
        <f>IFERROR(__xludf.DUMMYFUNCTION("FILTER(RawData_Dipro!$C$2:$C$389, 
  REGEXMATCH(RawData_Dipro!$A$2:$A$389, ""(?i)"" &amp; $A$3), 
  REGEXMATCH(RawData_Dipro!$A$2:$A$389, ""(?i)"" &amp; $G$2), REGEXMATCH(RawData_Dipro!$B$2:$B$389, ""(?i)"" &amp; $D$1), REGEXMATCH(RawData_Dipro!$A$2:$A$389, ""(?i)inc"&amp;"lusion"")
)"),0.470635859098293)</f>
        <v>0.4706358591</v>
      </c>
      <c r="I5" s="54">
        <f>IFERROR(__xludf.DUMMYFUNCTION("FILTER(RawData_Dipro!$C$2:$C$389, 
  REGEXMATCH(RawData_Dipro!$A$2:$A$389, ""(?i)"" &amp; $A$3), 
  REGEXMATCH(RawData_Dipro!$A$2:$A$389, ""(?i)"" &amp; $I$2), REGEXMATCH(RawData_Dipro!$B$2:$B$389, ""(?i)"" &amp; $C$1), REGEXMATCH(RawData_Dipro!$A$2:$A$389, ""(?i)inc"&amp;"lusion"")
)"),0.346718828537844)</f>
        <v>0.3467188285</v>
      </c>
      <c r="J5" s="55">
        <f>IFERROR(__xludf.DUMMYFUNCTION("FILTER(RawData_Dipro!$C$2:$C$389, 
  REGEXMATCH(RawData_Dipro!$A$2:$A$389, ""(?i)"" &amp; $A$3), 
  REGEXMATCH(RawData_Dipro!$A$2:$A$389, ""(?i)"" &amp; $I$2), REGEXMATCH(RawData_Dipro!$B$2:$B$389, ""(?i)"" &amp; $D$1), REGEXMATCH(RawData_Dipro!$A$2:$A$389, ""(?i)inc"&amp;"lusion"")
)"),0.381074015796232)</f>
        <v>0.3810740158</v>
      </c>
      <c r="K5" s="52">
        <f t="shared" ref="K5:L5" si="3">AVERAGE(C5,E5,G5,I5)</f>
        <v>0.5236087163</v>
      </c>
      <c r="L5" s="52">
        <f t="shared" si="3"/>
        <v>0.4943390596</v>
      </c>
      <c r="M5" s="39">
        <f>IFERROR(__xludf.DUMMYFUNCTION("FILTER(RawData_Ensembles!$C$1:$C$99, 
  REGEXMATCH(RawData_Ensembles!$A$1:$A$99, ""(?i)"" &amp; $M$2), 
  REGEXMATCH(RawData_Ensembles!$A$1:$A$99, ""(?i)"" &amp; $A$3), REGEXMATCH(RawData_Ensembles!$B$1:$B$99, ""(?i)"" &amp; $M$1), REGEXMATCH(RawData_Ensembles!$A$1:$"&amp;"A$99, ""(?i)dipro""), REGEXMATCH(RawData_Ensembles!$A$1:$A$99, ""(?i)"" &amp; $B$5)
)"),0.400107417157464)</f>
        <v>0.4001074172</v>
      </c>
      <c r="N5" s="39">
        <f>IFERROR(__xludf.DUMMYFUNCTION("FILTER(RawData_Ensembles!$C$1:$C$99, 
  REGEXMATCH(RawData_Ensembles!$A$1:$A$99, ""(?i)"" &amp; $M$2), 
  REGEXMATCH(RawData_Ensembles!$A$1:$A$99, ""(?i)"" &amp; $A$3), REGEXMATCH(RawData_Ensembles!$B$1:$B$99, ""(?i)"" &amp; $N$1), REGEXMATCH(RawData_Ensembles!$A$1:$"&amp;"A$99, ""(?i)dipro""), REGEXMATCH(RawData_Ensembles!$A$1:$A$99, ""(?i)"" &amp; $B$5)
)"),0.393652929014778)</f>
        <v>0.393652929</v>
      </c>
      <c r="O5" s="53">
        <f t="shared" ref="O5:P5" si="4">AVERAGE(C5,E5,G5)</f>
        <v>0.5825720122</v>
      </c>
      <c r="P5" s="53">
        <f t="shared" si="4"/>
        <v>0.5320940742</v>
      </c>
      <c r="Q5" s="19">
        <f>IFERROR(__xludf.DUMMYFUNCTION("FILTER(RawData_Ensembles!$C$1:$C$99, 
  REGEXMATCH(RawData_Ensembles!$A$1:$A$99, ""(?i)"" &amp; $Q$2), 
  REGEXMATCH(RawData_Ensembles!$A$1:$A$99, ""(?i)"" &amp; $A$3), REGEXMATCH(RawData_Ensembles!$B$1:$B$99, ""(?i)"" &amp; $M$1), REGEXMATCH(RawData_Ensembles!$A$1:$"&amp;"A$99, ""(?i)dipro""), REGEXMATCH(RawData_Ensembles!$A$1:$A$99, ""(?i)"" &amp; $B$5)
)"),0.517640159750091)</f>
        <v>0.5176401598</v>
      </c>
      <c r="R5" s="19">
        <f>IFERROR(__xludf.DUMMYFUNCTION("FILTER(RawData_Ensembles!$C$1:$C$99, 
  REGEXMATCH(RawData_Ensembles!$A$1:$A$99, ""(?i)"" &amp; $Q$2), 
  REGEXMATCH(RawData_Ensembles!$A$1:$A$99, ""(?i)"" &amp; $A$3), REGEXMATCH(RawData_Ensembles!$B$1:$B$99, ""(?i)"" &amp; $N$1), REGEXMATCH(RawData_Ensembles!$A$1:$"&amp;"A$99, ""(?i)dipro""), REGEXMATCH(RawData_Ensembles!$A$1:$A$99, ""(?i)"" &amp; $B$5)
)"),0.466203934203608)</f>
        <v>0.4662039342</v>
      </c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</row>
    <row r="6">
      <c r="A6" s="4" t="s">
        <v>11</v>
      </c>
      <c r="C6" s="50">
        <f>IFERROR(__xludf.DUMMYFUNCTION("FILTER(RawData_Dipro!$C$2:$C$389, 
  REGEXMATCH(RawData_Dipro!$A$2:$A$389, ""(?i)"" &amp; $A$6), 
  REGEXMATCH(RawData_Dipro!$A$2:$A$389, ""(?i)"" &amp; $C$2), REGEXMATCH(RawData_Dipro!$B$2:$B$389, ""(?i)"" &amp; $C$1), 
  NOT(REGEXMATCH(RawData_Dipro!$A$2:$A$389,  "&amp;"""(?i)ensemble"")) 
)"),0.638654812715595)</f>
        <v>0.6386548127</v>
      </c>
      <c r="D6" s="5">
        <f>IFERROR(__xludf.DUMMYFUNCTION("FILTER(RawData_Dipro!$C$2:$C$389, 
  REGEXMATCH(RawData_Dipro!$A$2:$A$389, ""(?i)"" &amp; $A$6), 
  REGEXMATCH(RawData_Dipro!$A$2:$A$389, ""(?i)"" &amp; $C$2), REGEXMATCH(RawData_Dipro!$B$2:$B$389, ""(?i)"" &amp; $D$1), 
  NOT(REGEXMATCH(RawData_Dipro!$A$2:$A$389,  "&amp;"""(?i)ensemble"")) 
)"),0.613462791622532)</f>
        <v>0.6134627916</v>
      </c>
      <c r="E6" s="50">
        <f>IFERROR(__xludf.DUMMYFUNCTION("FILTER(RawData_Dipro!$C$2:$C$389, 
  REGEXMATCH(RawData_Dipro!$A$2:$A$389, ""(?i)"" &amp; $A$6), 
  REGEXMATCH(RawData_Dipro!$A$2:$A$389, ""(?i)"" &amp; $E$2), REGEXMATCH(RawData_Dipro!$B$2:$B$389, ""(?i)"" &amp; $C$1), 
  NOT(REGEXMATCH(RawData_Dipro!$A$2:$A$389,  "&amp;"""(?i)ensemble"")) 
)"),0.624175131263906)</f>
        <v>0.6241751313</v>
      </c>
      <c r="F6" s="5">
        <f>IFERROR(__xludf.DUMMYFUNCTION("FILTER(RawData_Dipro!$C$2:$C$389, 
  REGEXMATCH(RawData_Dipro!$A$2:$A$389, ""(?i)"" &amp; $A$6), 
  REGEXMATCH(RawData_Dipro!$A$2:$A$389, ""(?i)"" &amp; $E$2), REGEXMATCH(RawData_Dipro!$B$2:$B$389, ""(?i)"" &amp; $D$1), 
  NOT(REGEXMATCH(RawData_Dipro!$A$2:$A$389,  "&amp;"""(?i)ensemble"")) 
)"),0.593223331315557)</f>
        <v>0.5932233313</v>
      </c>
      <c r="G6" s="50">
        <f>IFERROR(__xludf.DUMMYFUNCTION("FILTER(RawData_Dipro!$C$2:$C$389, 
  REGEXMATCH(RawData_Dipro!$A$2:$A$389, ""(?i)"" &amp; $A$6), 
  REGEXMATCH(RawData_Dipro!$A$2:$A$389, ""(?i)"" &amp; $G$2), REGEXMATCH(RawData_Dipro!$B$2:$B$389, ""(?i)"" &amp; $C$1), 
  NOT(REGEXMATCH(RawData_Dipro!$A$2:$A$389,  "&amp;"""(?i)ensemble"")) 
)"),0.572478446675392)</f>
        <v>0.5724784467</v>
      </c>
      <c r="H6" s="5">
        <f>IFERROR(__xludf.DUMMYFUNCTION("FILTER(RawData_Dipro!$C$2:$C$389, 
  REGEXMATCH(RawData_Dipro!$A$2:$A$389, ""(?i)"" &amp; $A$6), 
  REGEXMATCH(RawData_Dipro!$A$2:$A$389, ""(?i)"" &amp; $G$2), REGEXMATCH(RawData_Dipro!$B$2:$B$389, ""(?i)"" &amp; $D$1), 
  NOT(REGEXMATCH(RawData_Dipro!$A$2:$A$389,  "&amp;"""(?i)ensemble"")) 
)"),0.534765902917699)</f>
        <v>0.5347659029</v>
      </c>
      <c r="I6" s="50">
        <f>IFERROR(__xludf.DUMMYFUNCTION("FILTER(RawData_Dipro!$C$2:$C$389, 
  REGEXMATCH(RawData_Dipro!$A$2:$A$389, ""(?i)"" &amp; $A$6), 
  REGEXMATCH(RawData_Dipro!$A$2:$A$389, ""(?i)"" &amp; $I$2), REGEXMATCH(RawData_Dipro!$B$2:$B$389, ""(?i)"" &amp; $C$1), 
  NOT(REGEXMATCH(RawData_Dipro!$A$2:$A$389,  "&amp;"""(?i)ensemble"")) 
)"),0.335225441305954)</f>
        <v>0.3352254413</v>
      </c>
      <c r="J6" s="5">
        <f>IFERROR(__xludf.DUMMYFUNCTION("FILTER(RawData_Dipro!$C$2:$C$389, 
  REGEXMATCH(RawData_Dipro!$A$2:$A$389, ""(?i)"" &amp; $A$6), 
  REGEXMATCH(RawData_Dipro!$A$2:$A$389, ""(?i)"" &amp; $I$2), REGEXMATCH(RawData_Dipro!$B$2:$B$389, ""(?i)"" &amp; $D$1), 
  NOT(REGEXMATCH(RawData_Dipro!$A$2:$A$389,  "&amp;"""(?i)ensemble"")) 
)"),0.352567599779278)</f>
        <v>0.3525675998</v>
      </c>
      <c r="K6" s="56"/>
    </row>
    <row r="7">
      <c r="A7" s="4"/>
      <c r="B7" s="4" t="s">
        <v>67</v>
      </c>
      <c r="C7" s="50">
        <f>IFERROR(__xludf.DUMMYFUNCTION("FILTER(RawData_Dipro!$C$2:$C$389, 
  REGEXMATCH(RawData_Dipro!$A$2:$A$389, ""(?i)"" &amp; $A$6), 
  REGEXMATCH(RawData_Dipro!$A$2:$A$389, ""(?i)"" &amp; $C$2), REGEXMATCH(RawData_Dipro!$B$2:$B$389, ""(?i)"" &amp; $C$1), REGEXMATCH(RawData_Dipro!$A$2:$A$389, ""(?i)maj"&amp;"ority"")
)"),0.639646077436995)</f>
        <v>0.6396460774</v>
      </c>
      <c r="D7" s="5">
        <f>IFERROR(__xludf.DUMMYFUNCTION("FILTER(RawData_Dipro!$C$2:$C$389, 
  REGEXMATCH(RawData_Dipro!$A$2:$A$389, ""(?i)"" &amp; $A$6), 
  REGEXMATCH(RawData_Dipro!$A$2:$A$389, ""(?i)"" &amp; $C$2), REGEXMATCH(RawData_Dipro!$B$2:$B$389, ""(?i)"" &amp; $D$1), REGEXMATCH(RawData_Dipro!$A$2:$A$389, ""(?i)maj"&amp;"ority"")
)"),0.614953029601582)</f>
        <v>0.6149530296</v>
      </c>
      <c r="E7" s="50">
        <f>IFERROR(__xludf.DUMMYFUNCTION("FILTER(RawData_Dipro!$C$2:$C$389, 
  REGEXMATCH(RawData_Dipro!$A$2:$A$389, ""(?i)"" &amp; $A$6), 
  REGEXMATCH(RawData_Dipro!$A$2:$A$389, ""(?i)"" &amp; $E$2), REGEXMATCH(RawData_Dipro!$B$2:$B$389, ""(?i)"" &amp; $C$1), REGEXMATCH(RawData_Dipro!$A$2:$A$389, ""(?i)maj"&amp;"ority"")
)"),0.626618245702897)</f>
        <v>0.6266182457</v>
      </c>
      <c r="F7" s="5">
        <f>IFERROR(__xludf.DUMMYFUNCTION("FILTER(RawData_Dipro!$C$2:$C$389, 
  REGEXMATCH(RawData_Dipro!$A$2:$A$389, ""(?i)"" &amp; $A$6), 
  REGEXMATCH(RawData_Dipro!$A$2:$A$389, ""(?i)"" &amp; $E$2), REGEXMATCH(RawData_Dipro!$B$2:$B$389, ""(?i)"" &amp; $D$1), REGEXMATCH(RawData_Dipro!$A$2:$A$389, ""(?i)maj"&amp;"ority"")
)"),0.593678659817672)</f>
        <v>0.5936786598</v>
      </c>
      <c r="G7" s="50">
        <f>IFERROR(__xludf.DUMMYFUNCTION("FILTER(RawData_Dipro!$C$2:$C$389, 
  REGEXMATCH(RawData_Dipro!$A$2:$A$389, ""(?i)"" &amp; $A$6), 
  REGEXMATCH(RawData_Dipro!$A$2:$A$389, ""(?i)"" &amp; $G$2), REGEXMATCH(RawData_Dipro!$B$2:$B$389, ""(?i)"" &amp; $C$1), REGEXMATCH(RawData_Dipro!$A$2:$A$389, ""(?i)maj"&amp;"ority"")
)"),0.589474431948378)</f>
        <v>0.5894744319</v>
      </c>
      <c r="H7" s="5">
        <f>IFERROR(__xludf.DUMMYFUNCTION("FILTER(RawData_Dipro!$C$2:$C$389, 
  REGEXMATCH(RawData_Dipro!$A$2:$A$389, ""(?i)"" &amp; $A$6), 
  REGEXMATCH(RawData_Dipro!$A$2:$A$389, ""(?i)"" &amp; $G$2), REGEXMATCH(RawData_Dipro!$B$2:$B$389, ""(?i)"" &amp; $D$1), REGEXMATCH(RawData_Dipro!$A$2:$A$389, ""(?i)maj"&amp;"ority"")
)"),0.549558592400209)</f>
        <v>0.5495585924</v>
      </c>
      <c r="I7" s="50">
        <f>IFERROR(__xludf.DUMMYFUNCTION("FILTER(RawData_Dipro!$C$2:$C$389, 
  REGEXMATCH(RawData_Dipro!$A$2:$A$389, ""(?i)"" &amp; $A$6), 
  REGEXMATCH(RawData_Dipro!$A$2:$A$389, ""(?i)"" &amp; $I$2), REGEXMATCH(RawData_Dipro!$B$2:$B$389, ""(?i)"" &amp; $C$1), REGEXMATCH(RawData_Dipro!$A$2:$A$389, ""(?i)maj"&amp;"ority"")
)"),0.335136725244928)</f>
        <v>0.3351367252</v>
      </c>
      <c r="J7" s="5">
        <f>IFERROR(__xludf.DUMMYFUNCTION("FILTER(RawData_Dipro!$C$2:$C$389, 
  REGEXMATCH(RawData_Dipro!$A$2:$A$389, ""(?i)"" &amp; $A$6), 
  REGEXMATCH(RawData_Dipro!$A$2:$A$389, ""(?i)"" &amp; $I$2), REGEXMATCH(RawData_Dipro!$B$2:$B$389, ""(?i)"" &amp; $D$1), REGEXMATCH(RawData_Dipro!$A$2:$A$389, ""(?i)maj"&amp;"ority"")
)"),0.358964749724122)</f>
        <v>0.3589647497</v>
      </c>
      <c r="K7" s="52">
        <f t="shared" ref="K7:L7" si="5">AVERAGE(C7,E7,G7,I7)</f>
        <v>0.5477188701</v>
      </c>
      <c r="L7" s="52">
        <f t="shared" si="5"/>
        <v>0.5292887579</v>
      </c>
      <c r="M7" s="39">
        <f>IFERROR(__xludf.DUMMYFUNCTION("FILTER(RawData_Ensembles!$C$1:$C$99, 
  REGEXMATCH(RawData_Ensembles!$A$1:$A$99, ""(?i)"" &amp; $M$2), 
  REGEXMATCH(RawData_Ensembles!$A$1:$A$99, ""(?i)"" &amp; $A$6), REGEXMATCH(RawData_Ensembles!$B$1:$B$99, ""(?i)"" &amp; $M$1), REGEXMATCH(RawData_Ensembles!$A$1:$"&amp;"A$99, ""(?i)dipro""), REGEXMATCH(RawData_Ensembles!$A$1:$A$99, ""(?i)"" &amp; $B$4)
)"),0.634072891433604)</f>
        <v>0.6340728914</v>
      </c>
      <c r="N7" s="39">
        <f>IFERROR(__xludf.DUMMYFUNCTION("FILTER(RawData_Ensembles!$C$1:$C$99, 
  REGEXMATCH(RawData_Ensembles!$A$1:$A$99, ""(?i)"" &amp; $M$2), 
  REGEXMATCH(RawData_Ensembles!$A$1:$A$99, ""(?i)"" &amp; $A$6), REGEXMATCH(RawData_Ensembles!$B$1:$B$99, ""(?i)"" &amp; $N$1), REGEXMATCH(RawData_Ensembles!$A$1:$"&amp;"A$99, ""(?i)dipro""), REGEXMATCH(RawData_Ensembles!$A$1:$A$99, ""(?i)"" &amp; $B$4)
)"),0.604647253792606)</f>
        <v>0.6046472538</v>
      </c>
      <c r="O7" s="53">
        <f t="shared" ref="O7:P7" si="6">AVERAGE(C7,E7,G7)</f>
        <v>0.618579585</v>
      </c>
      <c r="P7" s="53">
        <f t="shared" si="6"/>
        <v>0.5860634273</v>
      </c>
      <c r="Q7" s="19">
        <f>IFERROR(__xludf.DUMMYFUNCTION("FILTER(RawData_Ensembles!$C$1:$C$99, 
  REGEXMATCH(RawData_Ensembles!$A$1:$A$99, ""(?i)"" &amp; $Q$2), 
  REGEXMATCH(RawData_Ensembles!$A$1:$A$99, ""(?i)"" &amp; $A$6), REGEXMATCH(RawData_Ensembles!$B$1:$B$99, ""(?i)"" &amp; $M$1), REGEXMATCH(RawData_Ensembles!$A$1:$"&amp;"A$99, ""(?i)dipro""), REGEXMATCH(RawData_Ensembles!$A$1:$A$99, ""(?i)"" &amp; $B$4)
)"),0.641745007342877)</f>
        <v>0.6417450073</v>
      </c>
      <c r="R7" s="19">
        <f>IFERROR(__xludf.DUMMYFUNCTION("FILTER(RawData_Ensembles!$C$1:$C$99, 
  REGEXMATCH(RawData_Ensembles!$A$1:$A$99, ""(?i)"" &amp; $Q$2), 
  REGEXMATCH(RawData_Ensembles!$A$1:$A$99, ""(?i)"" &amp; $A$6), REGEXMATCH(RawData_Ensembles!$B$1:$B$99, ""(?i)"" &amp; $N$1), REGEXMATCH(RawData_Ensembles!$A$1:$"&amp;"A$99, ""(?i)dipro""), REGEXMATCH(RawData_Ensembles!$A$1:$A$99, ""(?i)"" &amp; $B$4)
)"),0.621603952821018)</f>
        <v>0.6216039528</v>
      </c>
      <c r="S7" s="57" t="s">
        <v>82</v>
      </c>
    </row>
    <row r="8">
      <c r="A8" s="44"/>
      <c r="B8" s="44" t="s">
        <v>68</v>
      </c>
      <c r="C8" s="54">
        <f>IFERROR(__xludf.DUMMYFUNCTION("FILTER(RawData_Dipro!$C$2:$C$389, 
  REGEXMATCH(RawData_Dipro!$A$2:$A$389, ""(?i)"" &amp; $A$6), 
  REGEXMATCH(RawData_Dipro!$A$2:$A$389, ""(?i)"" &amp; $C$2), REGEXMATCH(RawData_Dipro!$B$2:$B$389, ""(?i)"" &amp; $C$1), REGEXMATCH(RawData_Dipro!$A$2:$A$389, ""(?i)inc"&amp;"lusion"")
)"),0.621561027511779)</f>
        <v>0.6215610275</v>
      </c>
      <c r="D8" s="55">
        <f>IFERROR(__xludf.DUMMYFUNCTION("FILTER(RawData_Dipro!$C$2:$C$389, 
  REGEXMATCH(RawData_Dipro!$A$2:$A$389, ""(?i)"" &amp; $A$6), 
  REGEXMATCH(RawData_Dipro!$A$2:$A$389, ""(?i)"" &amp; $C$2), REGEXMATCH(RawData_Dipro!$B$2:$B$389, ""(?i)"" &amp; $D$1), REGEXMATCH(RawData_Dipro!$A$2:$A$389, ""(?i)inc"&amp;"lusion"")
)"),0.593407423447775)</f>
        <v>0.5934074234</v>
      </c>
      <c r="E8" s="54">
        <f>IFERROR(__xludf.DUMMYFUNCTION("FILTER(RawData_Dipro!$C$2:$C$389, 
  REGEXMATCH(RawData_Dipro!$A$2:$A$389, ""(?i)"" &amp; $A$6), 
  REGEXMATCH(RawData_Dipro!$A$2:$A$389, ""(?i)"" &amp; $E$2), REGEXMATCH(RawData_Dipro!$B$2:$B$389, ""(?i)"" &amp; $C$1), REGEXMATCH(RawData_Dipro!$A$2:$A$389, ""(?i)inc"&amp;"lusion"")
)"),0.62506442721654)</f>
        <v>0.6250644272</v>
      </c>
      <c r="F8" s="55">
        <f>IFERROR(__xludf.DUMMYFUNCTION("FILTER(RawData_Dipro!$C$2:$C$389, 
  REGEXMATCH(RawData_Dipro!$A$2:$A$389, ""(?i)"" &amp; $A$6), 
  REGEXMATCH(RawData_Dipro!$A$2:$A$389, ""(?i)"" &amp; $E$2), REGEXMATCH(RawData_Dipro!$B$2:$B$389, ""(?i)"" &amp; $D$1), REGEXMATCH(RawData_Dipro!$A$2:$A$389, ""(?i)inc"&amp;"lusion"")
)"),0.585483853546534)</f>
        <v>0.5854838535</v>
      </c>
      <c r="G8" s="54">
        <f>IFERROR(__xludf.DUMMYFUNCTION("FILTER(RawData_Dipro!$C$2:$C$389, 
  REGEXMATCH(RawData_Dipro!$A$2:$A$389, ""(?i)"" &amp; $A$6), 
  REGEXMATCH(RawData_Dipro!$A$2:$A$389, ""(?i)"" &amp; $G$2), REGEXMATCH(RawData_Dipro!$B$2:$B$389, ""(?i)"" &amp; $C$1), REGEXMATCH(RawData_Dipro!$A$2:$A$389, ""(?i)inc"&amp;"lusion"")
)"),0.54878835786238)</f>
        <v>0.5487883579</v>
      </c>
      <c r="H8" s="55">
        <f>IFERROR(__xludf.DUMMYFUNCTION("FILTER(RawData_Dipro!$C$2:$C$389, 
  REGEXMATCH(RawData_Dipro!$A$2:$A$389, ""(?i)"" &amp; $A$6), 
  REGEXMATCH(RawData_Dipro!$A$2:$A$389, ""(?i)"" &amp; $G$2), REGEXMATCH(RawData_Dipro!$B$2:$B$389, ""(?i)"" &amp; $D$1), REGEXMATCH(RawData_Dipro!$A$2:$A$389, ""(?i)inc"&amp;"lusion"")
)"),0.505572999105003)</f>
        <v>0.5055729991</v>
      </c>
      <c r="I8" s="54">
        <f>IFERROR(__xludf.DUMMYFUNCTION("FILTER(RawData_Dipro!$C$2:$C$389, 
  REGEXMATCH(RawData_Dipro!$A$2:$A$389, ""(?i)"" &amp; $A$6), 
  REGEXMATCH(RawData_Dipro!$A$2:$A$389, ""(?i)"" &amp; $I$2), REGEXMATCH(RawData_Dipro!$B$2:$B$389, ""(?i)"" &amp; $C$1), REGEXMATCH(RawData_Dipro!$A$2:$A$389, ""(?i)inc"&amp;"lusion"")
)"),0.355719655045194)</f>
        <v>0.355719655</v>
      </c>
      <c r="J8" s="55">
        <f>IFERROR(__xludf.DUMMYFUNCTION("FILTER(RawData_Dipro!$C$2:$C$389, 
  REGEXMATCH(RawData_Dipro!$A$2:$A$389, ""(?i)"" &amp; $A$6), 
  REGEXMATCH(RawData_Dipro!$A$2:$A$389, ""(?i)"" &amp; $I$2), REGEXMATCH(RawData_Dipro!$B$2:$B$389, ""(?i)"" &amp; $D$1), REGEXMATCH(RawData_Dipro!$A$2:$A$389, ""(?i)inc"&amp;"lusion"")
)"),0.368290508649231)</f>
        <v>0.3682905086</v>
      </c>
      <c r="K8" s="52">
        <f t="shared" ref="K8:L8" si="7">AVERAGE(C8,E8,G8,I8)</f>
        <v>0.5377833669</v>
      </c>
      <c r="L8" s="52">
        <f t="shared" si="7"/>
        <v>0.5131886962</v>
      </c>
      <c r="M8" s="39">
        <f>IFERROR(__xludf.DUMMYFUNCTION("FILTER(RawData_Ensembles!$C$1:$C$99, 
  REGEXMATCH(RawData_Ensembles!$A$1:$A$99, ""(?i)"" &amp; $M$2), 
  REGEXMATCH(RawData_Ensembles!$A$1:$A$99, ""(?i)"" &amp; $A$6), REGEXMATCH(RawData_Ensembles!$B$1:$B$99, ""(?i)"" &amp; $M$1), REGEXMATCH(RawData_Ensembles!$A$1:$"&amp;"A$99, ""(?i)dipro""), REGEXMATCH(RawData_Ensembles!$A$1:$A$99, ""(?i)"" &amp; $B$5)
)"),0.404810754696845)</f>
        <v>0.4048107547</v>
      </c>
      <c r="N8" s="39">
        <f>IFERROR(__xludf.DUMMYFUNCTION("FILTER(RawData_Ensembles!$C$1:$C$99, 
  REGEXMATCH(RawData_Ensembles!$A$1:$A$99, ""(?i)"" &amp; $M$2), 
  REGEXMATCH(RawData_Ensembles!$A$1:$A$99, ""(?i)"" &amp; $A$6), REGEXMATCH(RawData_Ensembles!$B$1:$B$99, ""(?i)"" &amp; $N$1), REGEXMATCH(RawData_Ensembles!$A$1:$"&amp;"A$99, ""(?i)dipro""), REGEXMATCH(RawData_Ensembles!$A$1:$A$99, ""(?i)"" &amp; $B$5)
)"),0.397469270497135)</f>
        <v>0.3974692705</v>
      </c>
      <c r="O8" s="53">
        <f t="shared" ref="O8:P8" si="8">AVERAGE(C8,E8,G8)</f>
        <v>0.5984712709</v>
      </c>
      <c r="P8" s="53">
        <f t="shared" si="8"/>
        <v>0.561488092</v>
      </c>
      <c r="Q8" s="19">
        <f>IFERROR(__xludf.DUMMYFUNCTION("FILTER(RawData_Ensembles!$C$1:$C$99, 
  REGEXMATCH(RawData_Ensembles!$A$1:$A$99, ""(?i)"" &amp; $Q$2), 
  REGEXMATCH(RawData_Ensembles!$A$1:$A$99, ""(?i)"" &amp; $A$6), REGEXMATCH(RawData_Ensembles!$B$1:$B$99, ""(?i)"" &amp; $M$1), REGEXMATCH(RawData_Ensembles!$A$1:$"&amp;"A$99, ""(?i)dipro""), REGEXMATCH(RawData_Ensembles!$A$1:$A$99, ""(?i)"" &amp; $B$5)
)"),0.537523492086359)</f>
        <v>0.5375234921</v>
      </c>
      <c r="R8" s="19">
        <f>IFERROR(__xludf.DUMMYFUNCTION("FILTER(RawData_Ensembles!$C$1:$C$99, 
  REGEXMATCH(RawData_Ensembles!$A$1:$A$99, ""(?i)"" &amp; $Q$2), 
  REGEXMATCH(RawData_Ensembles!$A$1:$A$99, ""(?i)"" &amp; $A$6), REGEXMATCH(RawData_Ensembles!$B$1:$B$99, ""(?i)"" &amp; $N$1), REGEXMATCH(RawData_Ensembles!$A$1:$"&amp;"A$99, ""(?i)dipro""), REGEXMATCH(RawData_Ensembles!$A$1:$A$99, ""(?i)"" &amp; $B$5)
)"),0.496005447230576)</f>
        <v>0.4960054472</v>
      </c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</row>
    <row r="9">
      <c r="A9" s="4" t="s">
        <v>15</v>
      </c>
      <c r="C9" s="50">
        <f>IFERROR(__xludf.DUMMYFUNCTION("FILTER(RawData_Dipro!$C$2:$C$389, 
  REGEXMATCH(RawData_Dipro!$A$2:$A$389, ""(?i)"" &amp; $C$2 &amp; ""_only_title""), 
  REGEXMATCH(RawData_Dipro!$A$2:$A$389, ""(?i)"" &amp; $C$2), REGEXMATCH(RawData_Dipro!$B$2:$B$389, ""(?i)"" &amp; $C$1), 
  NOT(REGEXMATCH(RawData_Dip"&amp;"ro!$A$2:$A$389,  ""(?i)ensemble"")) 
)"),0.621040280030557)</f>
        <v>0.62104028</v>
      </c>
      <c r="D9" s="5">
        <f>IFERROR(__xludf.DUMMYFUNCTION("FILTER(RawData_Dipro!$C$2:$C$389, 
  REGEXMATCH(RawData_Dipro!$A$2:$A$389, ""(?i)"" &amp; $C$2 &amp; ""_only_title""), 
  REGEXMATCH(RawData_Dipro!$A$2:$A$389, ""(?i)"" &amp; $C$2), REGEXMATCH(RawData_Dipro!$B$2:$B$389, ""(?i)"" &amp; $D$1), 
  NOT(REGEXMATCH(RawData_Dip"&amp;"ro!$A$2:$A$389,  ""(?i)ensemble"")) 
)"),0.571358654012934)</f>
        <v>0.571358654</v>
      </c>
      <c r="E9" s="50">
        <f>IFERROR(__xludf.DUMMYFUNCTION("FILTER(RawData_Dipro!$C$2:$C$389, 
  REGEXMATCH(RawData_Dipro!$A$2:$A$389, ""(?i)"" &amp; $E$2 &amp; ""_only_title""), 
  REGEXMATCH(RawData_Dipro!$A$2:$A$389, ""(?i)"" &amp; $E$2), REGEXMATCH(RawData_Dipro!$B$2:$B$389, ""(?i)"" &amp; $C$1), 
  NOT(REGEXMATCH(RawData_Dip"&amp;"ro!$A$2:$A$389,  ""(?i)ensemble"")) 
)"),0.57620875615112)</f>
        <v>0.5762087562</v>
      </c>
      <c r="F9" s="5">
        <f>IFERROR(__xludf.DUMMYFUNCTION("FILTER(RawData_Dipro!$C$2:$C$389, 
  REGEXMATCH(RawData_Dipro!$A$2:$A$389, ""(?i)"" &amp; $E$2 &amp; ""_only_title""), 
  REGEXMATCH(RawData_Dipro!$A$2:$A$389, ""(?i)"" &amp; $E$2), REGEXMATCH(RawData_Dipro!$B$2:$B$389, ""(?i)"" &amp; $D$1), 
  NOT(REGEXMATCH(RawData_Dip"&amp;"ro!$A$2:$A$389,  ""(?i)ensemble"")) 
)"),0.531274741257453)</f>
        <v>0.5312747413</v>
      </c>
      <c r="G9" s="50">
        <f>IFERROR(__xludf.DUMMYFUNCTION("FILTER(RawData_Dipro!$C$2:$C$389, 
  REGEXMATCH(RawData_Dipro!$A$2:$A$389, ""(?i)"" &amp; $G$2 &amp; ""_only_title""), 
  REGEXMATCH(RawData_Dipro!$A$2:$A$389, ""(?i)"" &amp; $G$2), REGEXMATCH(RawData_Dipro!$B$2:$B$389, ""(?i)"" &amp; $C$1), 
  NOT(REGEXMATCH(RawData_Dip"&amp;"ro!$A$2:$A$389,  ""(?i)ensemble"")) 
)"),0.506150051999198)</f>
        <v>0.506150052</v>
      </c>
      <c r="H9" s="5">
        <f>IFERROR(__xludf.DUMMYFUNCTION("FILTER(RawData_Dipro!$C$2:$C$389, 
  REGEXMATCH(RawData_Dipro!$A$2:$A$389, ""(?i)"" &amp; $G$2 &amp; ""_only_title""), 
  REGEXMATCH(RawData_Dipro!$A$2:$A$389, ""(?i)"" &amp; $G$2), REGEXMATCH(RawData_Dipro!$B$2:$B$389, ""(?i)"" &amp; $D$1), 
  NOT(REGEXMATCH(RawData_Dip"&amp;"ro!$A$2:$A$389,  ""(?i)ensemble"")) 
)"),0.483697863941618)</f>
        <v>0.4836978639</v>
      </c>
      <c r="I9" s="50">
        <f>IFERROR(__xludf.DUMMYFUNCTION("FILTER(RawData_Dipro!$C$2:$C$389, 
  REGEXMATCH(RawData_Dipro!$A$2:$A$389, ""(?i)"" &amp; $I$2 &amp; ""_only_title""), 
  REGEXMATCH(RawData_Dipro!$A$2:$A$389, ""(?i)"" &amp; $I$2), REGEXMATCH(RawData_Dipro!$B$2:$B$389, ""(?i)"" &amp; $C$1), 
  NOT(REGEXMATCH(RawData_Dip"&amp;"ro!$A$2:$A$389,  ""(?i)ensemble"")) 
)"),0.286129356930116)</f>
        <v>0.2861293569</v>
      </c>
      <c r="J9" s="5">
        <f>IFERROR(__xludf.DUMMYFUNCTION("FILTER(RawData_Dipro!$C$2:$C$389, 
  REGEXMATCH(RawData_Dipro!$A$2:$A$389, ""(?i)"" &amp; $I$2 &amp; ""_only_title""), 
  REGEXMATCH(RawData_Dipro!$A$2:$A$389, ""(?i)"" &amp; $I$2), REGEXMATCH(RawData_Dipro!$B$2:$B$389, ""(?i)"" &amp; $D$1), 
  NOT(REGEXMATCH(RawData_Dip"&amp;"ro!$A$2:$A$389,  ""(?i)ensemble"")) 
)"),0.29837198245895)</f>
        <v>0.2983719825</v>
      </c>
      <c r="K9" s="56"/>
    </row>
    <row r="10">
      <c r="A10" s="4"/>
      <c r="B10" s="4" t="s">
        <v>67</v>
      </c>
      <c r="C10" s="50">
        <f>IFERROR(__xludf.DUMMYFUNCTION("FILTER(RawData_Dipro!$C$2:$C$389, 
  REGEXMATCH(RawData_Dipro!$A$2:$A$389, ""(?i)"" &amp; $C$2 &amp; ""_only_title""), 
  REGEXMATCH(RawData_Dipro!$A$2:$A$389, ""(?i)"" &amp; $C$2), REGEXMATCH(RawData_Dipro!$B$2:$B$389, ""(?i)"" &amp; $C$1), REGEXMATCH(RawData_Dipro!$A$2"&amp;":$A$389, ""(?i)majority"")
)"),0.624855407556112)</f>
        <v>0.6248554076</v>
      </c>
      <c r="D10" s="5">
        <f>IFERROR(__xludf.DUMMYFUNCTION("FILTER(RawData_Dipro!$C$2:$C$389, 
  REGEXMATCH(RawData_Dipro!$A$2:$A$389, ""(?i)"" &amp; $C$2 &amp; ""_only_title""), 
  REGEXMATCH(RawData_Dipro!$A$2:$A$389, ""(?i)"" &amp; $C$2), REGEXMATCH(RawData_Dipro!$B$2:$B$389, ""(?i)"" &amp; $D$1), REGEXMATCH(RawData_Dipro!$A$2"&amp;":$A$389, ""(?i)majority"")
)"),0.575399237958114)</f>
        <v>0.575399238</v>
      </c>
      <c r="E10" s="50">
        <f>IFERROR(__xludf.DUMMYFUNCTION("FILTER(RawData_Dipro!$C$2:$C$389, 
  REGEXMATCH(RawData_Dipro!$A$2:$A$389, ""(?i)"" &amp; $E$2 &amp; ""_only_title""), 
  REGEXMATCH(RawData_Dipro!$A$2:$A$389, ""(?i)"" &amp; $E$2), REGEXMATCH(RawData_Dipro!$B$2:$B$389, ""(?i)"" &amp; $C$1), REGEXMATCH(RawData_Dipro!$A$2"&amp;":$A$389, ""(?i)majority"")
)"),0.577055105263409)</f>
        <v>0.5770551053</v>
      </c>
      <c r="F10" s="5">
        <f>IFERROR(__xludf.DUMMYFUNCTION("FILTER(RawData_Dipro!$C$2:$C$389, 
  REGEXMATCH(RawData_Dipro!$A$2:$A$389, ""(?i)"" &amp; $E$2 &amp; ""_only_title""), 
  REGEXMATCH(RawData_Dipro!$A$2:$A$389, ""(?i)"" &amp; $E$2), REGEXMATCH(RawData_Dipro!$B$2:$B$389, ""(?i)"" &amp; $D$1), REGEXMATCH(RawData_Dipro!$A$2"&amp;":$A$389, ""(?i)majority"")
)"),0.533034058413912)</f>
        <v>0.5330340584</v>
      </c>
      <c r="G10" s="50">
        <f>IFERROR(__xludf.DUMMYFUNCTION("FILTER(RawData_Dipro!$C$2:$C$389, 
  REGEXMATCH(RawData_Dipro!$A$2:$A$389, ""(?i)"" &amp; $G$2 &amp; ""_only_title""), 
  REGEXMATCH(RawData_Dipro!$A$2:$A$389, ""(?i)"" &amp; $G$2), REGEXMATCH(RawData_Dipro!$B$2:$B$389, ""(?i)"" &amp; $C$1), REGEXMATCH(RawData_Dipro!$A$2"&amp;":$A$389, ""(?i)majority"")
)"),0.537368496679701)</f>
        <v>0.5373684967</v>
      </c>
      <c r="H10" s="5">
        <f>IFERROR(__xludf.DUMMYFUNCTION("FILTER(RawData_Dipro!$C$2:$C$389, 
  REGEXMATCH(RawData_Dipro!$A$2:$A$389, ""(?i)"" &amp; $G$2 &amp; ""_only_title""), 
  REGEXMATCH(RawData_Dipro!$A$2:$A$389, ""(?i)"" &amp; $G$2), REGEXMATCH(RawData_Dipro!$B$2:$B$389, ""(?i)"" &amp; $D$1), REGEXMATCH(RawData_Dipro!$A$2"&amp;":$A$389, ""(?i)majority"")
)"),0.501922622275995)</f>
        <v>0.5019226223</v>
      </c>
      <c r="I10" s="50">
        <f>IFERROR(__xludf.DUMMYFUNCTION("FILTER(RawData_Dipro!$C$2:$C$389, 
  REGEXMATCH(RawData_Dipro!$A$2:$A$389, ""(?i)"" &amp; $I$2 &amp; ""_only_title""), 
  REGEXMATCH(RawData_Dipro!$A$2:$A$389, ""(?i)"" &amp; $I$2), REGEXMATCH(RawData_Dipro!$B$2:$B$389, ""(?i)"" &amp; $C$1), REGEXMATCH(RawData_Dipro!$A$2"&amp;":$A$389, ""(?i)majority"")
)"),0.276068224253389)</f>
        <v>0.2760682243</v>
      </c>
      <c r="J10" s="5">
        <f>IFERROR(__xludf.DUMMYFUNCTION("FILTER(RawData_Dipro!$C$2:$C$389, 
  REGEXMATCH(RawData_Dipro!$A$2:$A$389, ""(?i)"" &amp; $I$2 &amp; ""_only_title""), 
  REGEXMATCH(RawData_Dipro!$A$2:$A$389, ""(?i)"" &amp; $I$2), REGEXMATCH(RawData_Dipro!$B$2:$B$389, ""(?i)"" &amp; $D$1), REGEXMATCH(RawData_Dipro!$A$2"&amp;":$A$389, ""(?i)majority"")
)"),0.292476913292134)</f>
        <v>0.2924769133</v>
      </c>
      <c r="K10" s="56"/>
    </row>
    <row r="11">
      <c r="A11" s="44"/>
      <c r="B11" s="44" t="s">
        <v>68</v>
      </c>
      <c r="C11" s="54">
        <f>IFERROR(__xludf.DUMMYFUNCTION("FILTER(RawData_Dipro!$C$2:$C$389, 
  REGEXMATCH(RawData_Dipro!$A$2:$A$389, ""(?i)"" &amp; $C$2 &amp; ""_only_title""), 
  REGEXMATCH(RawData_Dipro!$A$2:$A$389, ""(?i)"" &amp; $C$2), REGEXMATCH(RawData_Dipro!$B$2:$B$389, ""(?i)"" &amp; $C$1), REGEXMATCH(RawData_Dipro!$A$2"&amp;":$A$389, ""(?i)inclusion"")
)"),0.599118413697072)</f>
        <v>0.5991184137</v>
      </c>
      <c r="D11" s="55">
        <f>IFERROR(__xludf.DUMMYFUNCTION("FILTER(RawData_Dipro!$C$2:$C$389, 
  REGEXMATCH(RawData_Dipro!$A$2:$A$389, ""(?i)"" &amp; $C$2 &amp; ""_only_title""), 
  REGEXMATCH(RawData_Dipro!$A$2:$A$389, ""(?i)"" &amp; $C$2), REGEXMATCH(RawData_Dipro!$B$2:$B$389, ""(?i)"" &amp; $D$1), REGEXMATCH(RawData_Dipro!$A$2"&amp;":$A$389, ""(?i)inclusion"")
)"),0.556089368232305)</f>
        <v>0.5560893682</v>
      </c>
      <c r="E11" s="54">
        <f>IFERROR(__xludf.DUMMYFUNCTION("FILTER(RawData_Dipro!$C$2:$C$389, 
  REGEXMATCH(RawData_Dipro!$A$2:$A$389, ""(?i)"" &amp; $E$2 &amp; ""_only_title""), 
  REGEXMATCH(RawData_Dipro!$A$2:$A$389, ""(?i)"" &amp; $E$2), REGEXMATCH(RawData_Dipro!$B$2:$B$389, ""(?i)"" &amp; $C$1), REGEXMATCH(RawData_Dipro!$A$2"&amp;":$A$389, ""(?i)inclusion"")
)"),0.565967515491866)</f>
        <v>0.5659675155</v>
      </c>
      <c r="F11" s="55">
        <f>IFERROR(__xludf.DUMMYFUNCTION("FILTER(RawData_Dipro!$C$2:$C$389, 
  REGEXMATCH(RawData_Dipro!$A$2:$A$389, ""(?i)"" &amp; $E$2 &amp; ""_only_title""), 
  REGEXMATCH(RawData_Dipro!$A$2:$A$389, ""(?i)"" &amp; $E$2), REGEXMATCH(RawData_Dipro!$B$2:$B$389, ""(?i)"" &amp; $D$1), REGEXMATCH(RawData_Dipro!$A$2"&amp;":$A$389, ""(?i)inclusion"")
)"),0.52126123955447)</f>
        <v>0.5212612396</v>
      </c>
      <c r="G11" s="54">
        <f>IFERROR(__xludf.DUMMYFUNCTION("FILTER(RawData_Dipro!$C$2:$C$389, 
  REGEXMATCH(RawData_Dipro!$A$2:$A$389, ""(?i)"" &amp; $G$2 &amp; ""_only_title""), 
  REGEXMATCH(RawData_Dipro!$A$2:$A$389, ""(?i)"" &amp; $G$2), REGEXMATCH(RawData_Dipro!$B$2:$B$389, ""(?i)"" &amp; $C$1), REGEXMATCH(RawData_Dipro!$A$2"&amp;":$A$389, ""(?i)inclusion"")
)"),0.475889580830867)</f>
        <v>0.4758895808</v>
      </c>
      <c r="H11" s="55">
        <f>IFERROR(__xludf.DUMMYFUNCTION("FILTER(RawData_Dipro!$C$2:$C$389, 
  REGEXMATCH(RawData_Dipro!$A$2:$A$389, ""(?i)"" &amp; $G$2 &amp; ""_only_title""), 
  REGEXMATCH(RawData_Dipro!$A$2:$A$389, ""(?i)"" &amp; $G$2), REGEXMATCH(RawData_Dipro!$B$2:$B$389, ""(?i)"" &amp; $D$1), REGEXMATCH(RawData_Dipro!$A$2"&amp;":$A$389, ""(?i)inclusion"")
)"),0.458674843698748)</f>
        <v>0.4586748437</v>
      </c>
      <c r="I11" s="54">
        <f>IFERROR(__xludf.DUMMYFUNCTION("FILTER(RawData_Dipro!$C$2:$C$389, 
  REGEXMATCH(RawData_Dipro!$A$2:$A$389, ""(?i)"" &amp; $I$2 &amp; ""_only_title""), 
  REGEXMATCH(RawData_Dipro!$A$2:$A$389, ""(?i)"" &amp; $I$2), REGEXMATCH(RawData_Dipro!$B$2:$B$389, ""(?i)"" &amp; $C$1), REGEXMATCH(RawData_Dipro!$A$2"&amp;":$A$389, ""(?i)inclusion"")
)"),0.319578444985835)</f>
        <v>0.319578445</v>
      </c>
      <c r="J11" s="55">
        <f>IFERROR(__xludf.DUMMYFUNCTION("FILTER(RawData_Dipro!$C$2:$C$389, 
  REGEXMATCH(RawData_Dipro!$A$2:$A$389, ""(?i)"" &amp; $I$2 &amp; ""_only_title""), 
  REGEXMATCH(RawData_Dipro!$A$2:$A$389, ""(?i)"" &amp; $I$2), REGEXMATCH(RawData_Dipro!$B$2:$B$389, ""(?i)"" &amp; $D$1), REGEXMATCH(RawData_Dipro!$A$2"&amp;":$A$389, ""(?i)inclusion"")
)"),0.335193350072418)</f>
        <v>0.3351933501</v>
      </c>
      <c r="K11" s="58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</row>
    <row r="12">
      <c r="A12" s="4" t="s">
        <v>20</v>
      </c>
      <c r="C12" s="50">
        <f>IFERROR(__xludf.DUMMYFUNCTION("FILTER(RawData_Dipro!$C$2:$C$389, 
  REGEXMATCH(RawData_Dipro!$A$2:$A$389, ""(?i)"" &amp; $C$2 &amp; ""_description""), NOT(REGEXMATCH(RawData_Dipro!$A$2:$A$389, ""(?i)complete"")), 
  REGEXMATCH(RawData_Dipro!$A$2:$A$389, ""(?i)"" &amp; $C$2), REGEXMATCH(RawData_Dip"&amp;"ro!$B$2:$B$389, ""(?i)"" &amp; $C$1), 
  NOT(REGEXMATCH(RawData_Dipro!$A$2:$A$389,  ""(?i)ensemble"")) 
)"),0.631787462260468)</f>
        <v>0.6317874623</v>
      </c>
      <c r="D12" s="5">
        <f>IFERROR(__xludf.DUMMYFUNCTION("FILTER(RawData_Dipro!$C$2:$C$389, 
  REGEXMATCH(RawData_Dipro!$A$2:$A$389, ""(?i)"" &amp; $C$2 &amp; ""_description""), NOT(REGEXMATCH(RawData_Dipro!$A$2:$A$389, ""(?i)complete"")), 
  REGEXMATCH(RawData_Dipro!$A$2:$A$389, ""(?i)"" &amp; $C$2), REGEXMATCH(RawData_Dip"&amp;"ro!$B$2:$B$389, ""(?i)"" &amp; $D$1), 
  NOT(REGEXMATCH(RawData_Dipro!$A$2:$A$389,  ""(?i)ensemble"")) 
)"),0.618216042484733)</f>
        <v>0.6182160425</v>
      </c>
      <c r="E12" s="50">
        <f>IFERROR(__xludf.DUMMYFUNCTION("FILTER(RawData_Dipro!$C$2:$C$389, NOT(REGEXMATCH(RawData_Dipro!$A$2:$A$389, ""(?i)complete"")),
  REGEXMATCH(RawData_Dipro!$A$2:$A$389, ""(?i)"" &amp; $E$2 &amp; ""_description""), 
  REGEXMATCH(RawData_Dipro!$A$2:$A$389, ""(?i)"" &amp; $E$2), REGEXMATCH(RawData_Dipr"&amp;"o!$B$2:$B$389, ""(?i)"" &amp; $C$1), 
  NOT(REGEXMATCH(RawData_Dipro!$A$2:$A$389,  ""(?i)ensemble"")) 
)"),0.586439666342686)</f>
        <v>0.5864396663</v>
      </c>
      <c r="F12" s="5">
        <f>IFERROR(__xludf.DUMMYFUNCTION("FILTER(RawData_Dipro!$C$2:$C$389, NOT(REGEXMATCH(RawData_Dipro!$A$2:$A$389, ""(?i)complete"")),
  REGEXMATCH(RawData_Dipro!$A$2:$A$389, ""(?i)"" &amp; $E$2 &amp; ""_description""), 
  REGEXMATCH(RawData_Dipro!$A$2:$A$389, ""(?i)"" &amp; $E$2), REGEXMATCH(RawData_Dipr"&amp;"o!$B$2:$B$389, ""(?i)"" &amp; $D$1), 
  NOT(REGEXMATCH(RawData_Dipro!$A$2:$A$389,  ""(?i)ensemble"")) 
)"),0.569895182181278)</f>
        <v>0.5698951822</v>
      </c>
      <c r="G12" s="50">
        <f>IFERROR(__xludf.DUMMYFUNCTION("FILTER(RawData_Dipro!$C$2:$C$389, NOT(REGEXMATCH(RawData_Dipro!$A$2:$A$389, ""(?i)complete"")),
  REGEXMATCH(RawData_Dipro!$A$2:$A$389, ""(?i)"" &amp; $G$2 &amp; ""_description""), 
  REGEXMATCH(RawData_Dipro!$A$2:$A$389, ""(?i)"" &amp; $G$2), REGEXMATCH(RawData_Dipr"&amp;"o!$B$2:$B$389, ""(?i)"" &amp; $C$1), 
  NOT(REGEXMATCH(RawData_Dipro!$A$2:$A$389,  ""(?i)ensemble"")) 
)"),0.546258468663482)</f>
        <v>0.5462584687</v>
      </c>
      <c r="H12" s="5">
        <f>IFERROR(__xludf.DUMMYFUNCTION("FILTER(RawData_Dipro!$C$2:$C$389, NOT(REGEXMATCH(RawData_Dipro!$A$2:$A$389, ""(?i)complete"")),
  REGEXMATCH(RawData_Dipro!$A$2:$A$389, ""(?i)"" &amp; $G$2 &amp; ""_description""), 
  REGEXMATCH(RawData_Dipro!$A$2:$A$389, ""(?i)"" &amp; $G$2), REGEXMATCH(RawData_Dipr"&amp;"o!$B$2:$B$389, ""(?i)"" &amp; $D$1), 
  NOT(REGEXMATCH(RawData_Dipro!$A$2:$A$389,  ""(?i)ensemble"")) 
)"),0.512012998082786)</f>
        <v>0.5120129981</v>
      </c>
      <c r="I12" s="50">
        <f>IFERROR(__xludf.DUMMYFUNCTION("FILTER(RawData_Dipro!$C$2:$C$389, NOT(REGEXMATCH(RawData_Dipro!$A$2:$A$389, ""(?i)complete"")),
  REGEXMATCH(RawData_Dipro!$A$2:$A$389, ""(?i)"" &amp; $I$2 &amp; ""_description""), 
  REGEXMATCH(RawData_Dipro!$A$2:$A$389, ""(?i)"" &amp; $I$2), REGEXMATCH(RawData_Dipr"&amp;"o!$B$2:$B$389, ""(?i)"" &amp; $C$1), 
  NOT(REGEXMATCH(RawData_Dipro!$A$2:$A$389,  ""(?i)ensemble"")) 
)"),0.288938661231155)</f>
        <v>0.2889386612</v>
      </c>
      <c r="J12" s="5">
        <f>IFERROR(__xludf.DUMMYFUNCTION("FILTER(RawData_Dipro!$C$2:$C$389, NOT(REGEXMATCH(RawData_Dipro!$A$2:$A$389, ""(?i)complete"")),
  REGEXMATCH(RawData_Dipro!$A$2:$A$389, ""(?i)"" &amp; $I$2 &amp; ""_description""), 
  REGEXMATCH(RawData_Dipro!$A$2:$A$389, ""(?i)"" &amp; $I$2), REGEXMATCH(RawData_Dipr"&amp;"o!$B$2:$B$389, ""(?i)"" &amp; $D$1), 
  NOT(REGEXMATCH(RawData_Dipro!$A$2:$A$389,  ""(?i)ensemble"")) 
)"),0.329512617172151)</f>
        <v>0.3295126172</v>
      </c>
      <c r="K12" s="56"/>
    </row>
    <row r="13">
      <c r="A13" s="4"/>
      <c r="B13" s="4" t="s">
        <v>67</v>
      </c>
      <c r="C13" s="50">
        <f>IFERROR(__xludf.DUMMYFUNCTION("FILTER(RawData_Dipro!$C$2:$C$389, 
  REGEXMATCH(RawData_Dipro!$A$2:$A$389, ""(?i)"" &amp; $C$2 &amp; ""_description""), NOT(REGEXMATCH(RawData_Dipro!$A$2:$A$389, ""(?i)complete"")), 
  REGEXMATCH(RawData_Dipro!$A$2:$A$389, ""(?i)"" &amp; $C$2), REGEXMATCH(RawData_Dip"&amp;"ro!$B$2:$B$389, ""(?i)"" &amp; $C$1), REGEXMATCH(RawData_Dipro!$A$2:$A$389, ""(?i)majority"")
)"),0.633863956317775)</f>
        <v>0.6338639563</v>
      </c>
      <c r="D13" s="5">
        <f>IFERROR(__xludf.DUMMYFUNCTION("FILTER(RawData_Dipro!$C$2:$C$389, 
  REGEXMATCH(RawData_Dipro!$A$2:$A$389, ""(?i)"" &amp; $C$2 &amp; ""_description""), NOT(REGEXMATCH(RawData_Dipro!$A$2:$A$389, ""(?i)complete"")), 
  REGEXMATCH(RawData_Dipro!$A$2:$A$389, ""(?i)"" &amp; $C$2), REGEXMATCH(RawData_Dip"&amp;"ro!$B$2:$B$389, ""(?i)"" &amp; $D$1), REGEXMATCH(RawData_Dipro!$A$2:$A$389, ""(?i)majority"")
)"),0.620327525532822)</f>
        <v>0.6203275255</v>
      </c>
      <c r="E13" s="50">
        <f>IFERROR(__xludf.DUMMYFUNCTION("FILTER(RawData_Dipro!$C$2:$C$389, NOT(REGEXMATCH(RawData_Dipro!$A$2:$A$389, ""(?i)complete"")),
  REGEXMATCH(RawData_Dipro!$A$2:$A$389, ""(?i)"" &amp; $E$2 &amp; ""_description""), 
  REGEXMATCH(RawData_Dipro!$A$2:$A$389, ""(?i)"" &amp; $E$2), REGEXMATCH(RawData_Dipr"&amp;"o!$B$2:$B$389, ""(?i)"" &amp; $C$1), REGEXMATCH(RawData_Dipro!$A$2:$A$389, ""(?i)majority"")
)"),0.587539094270107)</f>
        <v>0.5875390943</v>
      </c>
      <c r="F13" s="5">
        <f>IFERROR(__xludf.DUMMYFUNCTION("FILTER(RawData_Dipro!$C$2:$C$389, NOT(REGEXMATCH(RawData_Dipro!$A$2:$A$389, ""(?i)complete"")),
  REGEXMATCH(RawData_Dipro!$A$2:$A$389, ""(?i)"" &amp; $E$2 &amp; ""_description""), 
  REGEXMATCH(RawData_Dipro!$A$2:$A$389, ""(?i)"" &amp; $E$2), REGEXMATCH(RawData_Dipr"&amp;"o!$B$2:$B$389, ""(?i)"" &amp; $D$1), REGEXMATCH(RawData_Dipro!$A$2:$A$389, ""(?i)majority"")
)"),0.57206098369349)</f>
        <v>0.5720609837</v>
      </c>
      <c r="G13" s="50">
        <f>IFERROR(__xludf.DUMMYFUNCTION("FILTER(RawData_Dipro!$C$2:$C$389, NOT(REGEXMATCH(RawData_Dipro!$A$2:$A$389, ""(?i)complete"")),
  REGEXMATCH(RawData_Dipro!$A$2:$A$389, ""(?i)"" &amp; $G$2 &amp; ""_description""), 
  REGEXMATCH(RawData_Dipro!$A$2:$A$389, ""(?i)"" &amp; $G$2), REGEXMATCH(RawData_Dipr"&amp;"o!$B$2:$B$389, ""(?i)"" &amp; $C$1), REGEXMATCH(RawData_Dipro!$A$2:$A$389, ""(?i)majority"")
)"),0.574595032322791)</f>
        <v>0.5745950323</v>
      </c>
      <c r="H13" s="5">
        <f>IFERROR(__xludf.DUMMYFUNCTION("FILTER(RawData_Dipro!$C$2:$C$389, NOT(REGEXMATCH(RawData_Dipro!$A$2:$A$389, ""(?i)complete"")),
  REGEXMATCH(RawData_Dipro!$A$2:$A$389, ""(?i)"" &amp; $G$2 &amp; ""_description""), 
  REGEXMATCH(RawData_Dipro!$A$2:$A$389, ""(?i)"" &amp; $G$2), REGEXMATCH(RawData_Dipr"&amp;"o!$B$2:$B$389, ""(?i)"" &amp; $D$1), REGEXMATCH(RawData_Dipro!$A$2:$A$389, ""(?i)majority"")
)"),0.536730815284441)</f>
        <v>0.5367308153</v>
      </c>
      <c r="I13" s="50">
        <f>IFERROR(__xludf.DUMMYFUNCTION("FILTER(RawData_Dipro!$C$2:$C$389, NOT(REGEXMATCH(RawData_Dipro!$A$2:$A$389, ""(?i)complete"")),
  REGEXMATCH(RawData_Dipro!$A$2:$A$389, ""(?i)"" &amp; $I$2 &amp; ""_description""), 
  REGEXMATCH(RawData_Dipro!$A$2:$A$389, ""(?i)"" &amp; $I$2), REGEXMATCH(RawData_Dipr"&amp;"o!$B$2:$B$389, ""(?i)"" &amp; $C$1), REGEXMATCH(RawData_Dipro!$A$2:$A$389, ""(?i)majority"")
)"),0.279935338785395)</f>
        <v>0.2799353388</v>
      </c>
      <c r="J13" s="5">
        <f>IFERROR(__xludf.DUMMYFUNCTION("FILTER(RawData_Dipro!$C$2:$C$389, NOT(REGEXMATCH(RawData_Dipro!$A$2:$A$389, ""(?i)complete"")),
  REGEXMATCH(RawData_Dipro!$A$2:$A$389, ""(?i)"" &amp; $I$2 &amp; ""_description""), 
  REGEXMATCH(RawData_Dipro!$A$2:$A$389, ""(?i)"" &amp; $I$2), REGEXMATCH(RawData_Dipr"&amp;"o!$B$2:$B$389, ""(?i)"" &amp; $D$1), REGEXMATCH(RawData_Dipro!$A$2:$A$389, ""(?i)majority"")
)"),0.338554835651074)</f>
        <v>0.3385548357</v>
      </c>
      <c r="K13" s="56"/>
    </row>
    <row r="14">
      <c r="A14" s="44"/>
      <c r="B14" s="44" t="s">
        <v>68</v>
      </c>
      <c r="C14" s="54">
        <f>IFERROR(__xludf.DUMMYFUNCTION("FILTER(RawData_Dipro!$C$2:$C$389, 
  REGEXMATCH(RawData_Dipro!$A$2:$A$389, ""(?i)"" &amp; $C$2 &amp; ""_description""), NOT(REGEXMATCH(RawData_Dipro!$A$2:$A$389, ""(?i)complete"")), 
  REGEXMATCH(RawData_Dipro!$A$2:$A$389, ""(?i)"" &amp; $C$2), REGEXMATCH(RawData_Dip"&amp;"ro!$B$2:$B$389, ""(?i)"" &amp; $C$1), REGEXMATCH(RawData_Dipro!$A$2:$A$389, ""(?i)inclusion"")
)"),0.619132771075762)</f>
        <v>0.6191327711</v>
      </c>
      <c r="D14" s="55">
        <f>IFERROR(__xludf.DUMMYFUNCTION("FILTER(RawData_Dipro!$C$2:$C$389, 
  REGEXMATCH(RawData_Dipro!$A$2:$A$389, ""(?i)"" &amp; $C$2 &amp; ""_description""), NOT(REGEXMATCH(RawData_Dipro!$A$2:$A$389, ""(?i)complete"")), 
  REGEXMATCH(RawData_Dipro!$A$2:$A$389, ""(?i)"" &amp; $C$2), REGEXMATCH(RawData_Dip"&amp;"ro!$B$2:$B$389, ""(?i)"" &amp; $D$1), REGEXMATCH(RawData_Dipro!$A$2:$A$389, ""(?i)inclusion"")
)"),0.609825794098951)</f>
        <v>0.6098257941</v>
      </c>
      <c r="E14" s="54">
        <f>IFERROR(__xludf.DUMMYFUNCTION("FILTER(RawData_Dipro!$C$2:$C$389, NOT(REGEXMATCH(RawData_Dipro!$A$2:$A$389, ""(?i)complete"")),
  REGEXMATCH(RawData_Dipro!$A$2:$A$389, ""(?i)"" &amp; $E$2 &amp; ""_description""), 
  REGEXMATCH(RawData_Dipro!$A$2:$A$389, ""(?i)"" &amp; $E$2), REGEXMATCH(RawData_Dipr"&amp;"o!$B$2:$B$389, ""(?i)"" &amp; $C$1), REGEXMATCH(RawData_Dipro!$A$2:$A$389, ""(?i)inclusion"")
)"),0.575989677858439)</f>
        <v>0.5759896779</v>
      </c>
      <c r="F14" s="55">
        <f>IFERROR(__xludf.DUMMYFUNCTION("FILTER(RawData_Dipro!$C$2:$C$389, NOT(REGEXMATCH(RawData_Dipro!$A$2:$A$389, ""(?i)complete"")),
  REGEXMATCH(RawData_Dipro!$A$2:$A$389, ""(?i)"" &amp; $E$2 &amp; ""_description""), 
  REGEXMATCH(RawData_Dipro!$A$2:$A$389, ""(?i)"" &amp; $E$2), REGEXMATCH(RawData_Dipr"&amp;"o!$B$2:$B$389, ""(?i)"" &amp; $D$1), REGEXMATCH(RawData_Dipro!$A$2:$A$389, ""(?i)inclusion"")
)"),0.559368804437415)</f>
        <v>0.5593688044</v>
      </c>
      <c r="G14" s="54">
        <f>IFERROR(__xludf.DUMMYFUNCTION("FILTER(RawData_Dipro!$C$2:$C$389, NOT(REGEXMATCH(RawData_Dipro!$A$2:$A$389, ""(?i)complete"")),
  REGEXMATCH(RawData_Dipro!$A$2:$A$389, ""(?i)"" &amp; $G$2 &amp; ""_description""), 
  REGEXMATCH(RawData_Dipro!$A$2:$A$389, ""(?i)"" &amp; $G$2), REGEXMATCH(RawData_Dipr"&amp;"o!$B$2:$B$389, ""(?i)"" &amp; $C$1), REGEXMATCH(RawData_Dipro!$A$2:$A$389, ""(?i)inclusion"")
)"),0.505656304289516)</f>
        <v>0.5056563043</v>
      </c>
      <c r="H14" s="55">
        <f>IFERROR(__xludf.DUMMYFUNCTION("FILTER(RawData_Dipro!$C$2:$C$389, NOT(REGEXMATCH(RawData_Dipro!$A$2:$A$389, ""(?i)complete"")),
  REGEXMATCH(RawData_Dipro!$A$2:$A$389, ""(?i)"" &amp; $G$2 &amp; ""_description""), 
  REGEXMATCH(RawData_Dipro!$A$2:$A$389, ""(?i)"" &amp; $G$2), REGEXMATCH(RawData_Dipr"&amp;"o!$B$2:$B$389, ""(?i)"" &amp; $D$1), REGEXMATCH(RawData_Dipro!$A$2:$A$389, ""(?i)inclusion"")
)"),0.477122368956368)</f>
        <v>0.477122369</v>
      </c>
      <c r="I14" s="54">
        <f>IFERROR(__xludf.DUMMYFUNCTION("FILTER(RawData_Dipro!$C$2:$C$389, NOT(REGEXMATCH(RawData_Dipro!$A$2:$A$389, ""(?i)complete"")),
  REGEXMATCH(RawData_Dipro!$A$2:$A$389, ""(?i)"" &amp; $I$2 &amp; ""_description""), 
  REGEXMATCH(RawData_Dipro!$A$2:$A$389, ""(?i)"" &amp; $I$2), REGEXMATCH(RawData_Dipr"&amp;"o!$B$2:$B$389, ""(?i)"" &amp; $C$1), REGEXMATCH(RawData_Dipro!$A$2:$A$389, ""(?i)inclusion"")
)"),0.32708042578216)</f>
        <v>0.3270804258</v>
      </c>
      <c r="J14" s="55">
        <f>IFERROR(__xludf.DUMMYFUNCTION("FILTER(RawData_Dipro!$C$2:$C$389, NOT(REGEXMATCH(RawData_Dipro!$A$2:$A$389, ""(?i)complete"")),
  REGEXMATCH(RawData_Dipro!$A$2:$A$389, ""(?i)"" &amp; $I$2 &amp; ""_description""), 
  REGEXMATCH(RawData_Dipro!$A$2:$A$389, ""(?i)"" &amp; $I$2), REGEXMATCH(RawData_Dipr"&amp;"o!$B$2:$B$389, ""(?i)"" &amp; $D$1), REGEXMATCH(RawData_Dipro!$A$2:$A$389, ""(?i)inclusion"")
)"),0.34934492666203)</f>
        <v>0.3493449267</v>
      </c>
      <c r="K14" s="58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</row>
    <row r="15">
      <c r="A15" s="4" t="s">
        <v>25</v>
      </c>
      <c r="C15" s="50">
        <f>IFERROR(__xludf.DUMMYFUNCTION("FILTER(RawData_Dipro!$C$2:$C$389, 
  REGEXMATCH(RawData_Dipro!$A$2:$A$389, ""(?i)"" &amp; $C$2 &amp; ""_description_complete""), 
  REGEXMATCH(RawData_Dipro!$A$2:$A$389, ""(?i)"" &amp; $C$2), REGEXMATCH(RawData_Dipro!$B$2:$B$389, ""(?i)"" &amp; $C$1), 
  NOT(REGEXMATCH(R"&amp;"awData_Dipro!$A$2:$A$389,  ""(?i)ensemble"")) 
)"),0.632355163340107)</f>
        <v>0.6323551633</v>
      </c>
      <c r="D15" s="5">
        <f>IFERROR(__xludf.DUMMYFUNCTION("FILTER(RawData_Dipro!$C$2:$C$389, 
  REGEXMATCH(RawData_Dipro!$A$2:$A$389, ""(?i)"" &amp; $C$2 &amp; ""_description_complete""), 
  REGEXMATCH(RawData_Dipro!$A$2:$A$389, ""(?i)"" &amp; $C$2), REGEXMATCH(RawData_Dipro!$B$2:$B$389, ""(?i)"" &amp; $D$1), 
  NOT(REGEXMATCH(R"&amp;"awData_Dipro!$A$2:$A$389,  ""(?i)ensemble"")) 
)"),0.606225827187698)</f>
        <v>0.6062258272</v>
      </c>
      <c r="E15" s="50">
        <f>IFERROR(__xludf.DUMMYFUNCTION("FILTER(RawData_Dipro!$C$2:$C$389, 
  REGEXMATCH(RawData_Dipro!$A$2:$A$389, ""(?i)"" &amp; $E$2 &amp; ""_description_complete""), 
  REGEXMATCH(RawData_Dipro!$A$2:$A$389, ""(?i)"" &amp; $E$2), REGEXMATCH(RawData_Dipro!$B$2:$B$389, ""(?i)"" &amp; $C$1), 
  NOT(REGEXMATCH(R"&amp;"awData_Dipro!$A$2:$A$389,  ""(?i)ensemble"")) 
)"),0.535090217689681)</f>
        <v>0.5350902177</v>
      </c>
      <c r="F15" s="5">
        <f>IFERROR(__xludf.DUMMYFUNCTION("FILTER(RawData_Dipro!$C$2:$C$389, 
  REGEXMATCH(RawData_Dipro!$A$2:$A$389, ""(?i)"" &amp; $E$2 &amp; ""_description_complete""), 
  REGEXMATCH(RawData_Dipro!$A$2:$A$389, ""(?i)"" &amp; $E$2), REGEXMATCH(RawData_Dipro!$B$2:$B$389, ""(?i)"" &amp; $D$1), 
  NOT(REGEXMATCH(R"&amp;"awData_Dipro!$A$2:$A$389,  ""(?i)ensemble"")) 
)"),0.477750371254548)</f>
        <v>0.4777503713</v>
      </c>
      <c r="G15" s="50">
        <f>IFERROR(__xludf.DUMMYFUNCTION("FILTER(RawData_Dipro!$C$2:$C$389, 
  REGEXMATCH(RawData_Dipro!$A$2:$A$389, ""(?i)"" &amp; $G$2 &amp; ""_description_complete""), 
  REGEXMATCH(RawData_Dipro!$A$2:$A$389, ""(?i)"" &amp; $G$2), REGEXMATCH(RawData_Dipro!$B$2:$B$389, ""(?i)"" &amp; $C$1), 
  NOT(REGEXMATCH(R"&amp;"awData_Dipro!$A$2:$A$389,  ""(?i)ensemble"")) 
)"),0.457442229094388)</f>
        <v>0.4574422291</v>
      </c>
      <c r="H15" s="5">
        <f>IFERROR(__xludf.DUMMYFUNCTION("FILTER(RawData_Dipro!$C$2:$C$389, 
  REGEXMATCH(RawData_Dipro!$A$2:$A$389, ""(?i)"" &amp; $G$2 &amp; ""_description_complete""), 
  REGEXMATCH(RawData_Dipro!$A$2:$A$389, ""(?i)"" &amp; $G$2), REGEXMATCH(RawData_Dipro!$B$2:$B$389, ""(?i)"" &amp; $D$1), 
  NOT(REGEXMATCH(R"&amp;"awData_Dipro!$A$2:$A$389,  ""(?i)ensemble"")) 
)"),0.427462251024684)</f>
        <v>0.427462251</v>
      </c>
      <c r="I15" s="50">
        <f>IFERROR(__xludf.DUMMYFUNCTION("FILTER(RawData_Dipro!$C$2:$C$389, 
  REGEXMATCH(RawData_Dipro!$A$2:$A$389, ""(?i)"" &amp; $I$2 &amp; ""_description_complete""), 
  REGEXMATCH(RawData_Dipro!$A$2:$A$389, ""(?i)"" &amp; $I$2), REGEXMATCH(RawData_Dipro!$B$2:$B$389, ""(?i)"" &amp; $C$1), 
  NOT(REGEXMATCH(R"&amp;"awData_Dipro!$A$2:$A$389,  ""(?i)ensemble"")) 
)"),0.245367655632764)</f>
        <v>0.2453676556</v>
      </c>
      <c r="J15" s="5">
        <f>IFERROR(__xludf.DUMMYFUNCTION("FILTER(RawData_Dipro!$C$2:$C$389, 
  REGEXMATCH(RawData_Dipro!$A$2:$A$389, ""(?i)"" &amp; $I$2 &amp; ""_description_complete""), 
  REGEXMATCH(RawData_Dipro!$A$2:$A$389, ""(?i)"" &amp; $I$2), REGEXMATCH(RawData_Dipro!$B$2:$B$389, ""(?i)"" &amp; $D$1), 
  NOT(REGEXMATCH(R"&amp;"awData_Dipro!$A$2:$A$389,  ""(?i)ensemble"")) 
)"),0.282654794342775)</f>
        <v>0.2826547943</v>
      </c>
      <c r="K15" s="56"/>
    </row>
    <row r="16">
      <c r="A16" s="4"/>
      <c r="B16" s="4" t="s">
        <v>67</v>
      </c>
      <c r="C16" s="50">
        <f>IFERROR(__xludf.DUMMYFUNCTION("FILTER(RawData_Dipro!$C$2:$C$389, 
  REGEXMATCH(RawData_Dipro!$A$2:$A$389, ""(?i)"" &amp; $C$2 &amp; ""_description_complete""), 
  REGEXMATCH(RawData_Dipro!$A$2:$A$389, ""(?i)"" &amp; $C$2), REGEXMATCH(RawData_Dipro!$B$2:$B$389, ""(?i)"" &amp; $C$1), REGEXMATCH(RawData_"&amp;"Dipro!$A$2:$A$389, ""(?i)majority"")
)"),0.632205916810062)</f>
        <v>0.6322059168</v>
      </c>
      <c r="D16" s="5">
        <f>IFERROR(__xludf.DUMMYFUNCTION("FILTER(RawData_Dipro!$C$2:$C$389, 
  REGEXMATCH(RawData_Dipro!$A$2:$A$389, ""(?i)"" &amp; $C$2 &amp; ""_description_complete""), 
  REGEXMATCH(RawData_Dipro!$A$2:$A$389, ""(?i)"" &amp; $C$2), REGEXMATCH(RawData_Dipro!$B$2:$B$389, ""(?i)"" &amp; $D$1), REGEXMATCH(RawData_"&amp;"Dipro!$A$2:$A$389, ""(?i)majority"")
)"),0.608399101396975)</f>
        <v>0.6083991014</v>
      </c>
      <c r="E16" s="50">
        <f>IFERROR(__xludf.DUMMYFUNCTION("FILTER(RawData_Dipro!$C$2:$C$389, 
  REGEXMATCH(RawData_Dipro!$A$2:$A$389, ""(?i)"" &amp; $E$2 &amp; ""_description_complete""), 
  REGEXMATCH(RawData_Dipro!$A$2:$A$389, ""(?i)"" &amp; $E$2), REGEXMATCH(RawData_Dipro!$B$2:$B$389, ""(?i)"" &amp; $C$1), REGEXMATCH(RawData_"&amp;"Dipro!$A$2:$A$389, ""(?i)majority"")
)"),0.53406959490258)</f>
        <v>0.5340695949</v>
      </c>
      <c r="F16" s="5">
        <f>IFERROR(__xludf.DUMMYFUNCTION("FILTER(RawData_Dipro!$C$2:$C$389, 
  REGEXMATCH(RawData_Dipro!$A$2:$A$389, ""(?i)"" &amp; $E$2 &amp; ""_description_complete""), 
  REGEXMATCH(RawData_Dipro!$A$2:$A$389, ""(?i)"" &amp; $E$2), REGEXMATCH(RawData_Dipro!$B$2:$B$389, ""(?i)"" &amp; $D$1), REGEXMATCH(RawData_"&amp;"Dipro!$A$2:$A$389, ""(?i)majority"")
)"),0.475719536119595)</f>
        <v>0.4757195361</v>
      </c>
      <c r="G16" s="50">
        <f>IFERROR(__xludf.DUMMYFUNCTION("FILTER(RawData_Dipro!$C$2:$C$389, 
  REGEXMATCH(RawData_Dipro!$A$2:$A$389, ""(?i)"" &amp; $G$2 &amp; ""_description_complete""), 
  REGEXMATCH(RawData_Dipro!$A$2:$A$389, ""(?i)"" &amp; $G$2), REGEXMATCH(RawData_Dipro!$B$2:$B$389, ""(?i)"" &amp; $C$1), REGEXMATCH(RawData_"&amp;"Dipro!$A$2:$A$389, ""(?i)majority"")
)"),0.50020370939895)</f>
        <v>0.5002037094</v>
      </c>
      <c r="H16" s="5">
        <f>IFERROR(__xludf.DUMMYFUNCTION("FILTER(RawData_Dipro!$C$2:$C$389, 
  REGEXMATCH(RawData_Dipro!$A$2:$A$389, ""(?i)"" &amp; $G$2 &amp; ""_description_complete""), 
  REGEXMATCH(RawData_Dipro!$A$2:$A$389, ""(?i)"" &amp; $G$2), REGEXMATCH(RawData_Dipro!$B$2:$B$389, ""(?i)"" &amp; $D$1), REGEXMATCH(RawData_"&amp;"Dipro!$A$2:$A$389, ""(?i)majority"")
)"),0.455431772223906)</f>
        <v>0.4554317722</v>
      </c>
      <c r="I16" s="50">
        <f>IFERROR(__xludf.DUMMYFUNCTION("FILTER(RawData_Dipro!$C$2:$C$389, 
  REGEXMATCH(RawData_Dipro!$A$2:$A$389, ""(?i)"" &amp; $I$2 &amp; ""_description_complete""), 
  REGEXMATCH(RawData_Dipro!$A$2:$A$389, ""(?i)"" &amp; $I$2), REGEXMATCH(RawData_Dipro!$B$2:$B$389, ""(?i)"" &amp; $C$1), REGEXMATCH(RawData_"&amp;"Dipro!$A$2:$A$389, ""(?i)majority"")
)"),0.217503977970605)</f>
        <v>0.217503978</v>
      </c>
      <c r="J16" s="5">
        <f>IFERROR(__xludf.DUMMYFUNCTION("FILTER(RawData_Dipro!$C$2:$C$389, 
  REGEXMATCH(RawData_Dipro!$A$2:$A$389, ""(?i)"" &amp; $I$2 &amp; ""_description_complete""), 
  REGEXMATCH(RawData_Dipro!$A$2:$A$389, ""(?i)"" &amp; $I$2), REGEXMATCH(RawData_Dipro!$B$2:$B$389, ""(?i)"" &amp; $D$1), REGEXMATCH(RawData_"&amp;"Dipro!$A$2:$A$389, ""(?i)majority"")
)"),0.276049449100619)</f>
        <v>0.2760494491</v>
      </c>
      <c r="K16" s="56"/>
    </row>
    <row r="17">
      <c r="A17" s="44"/>
      <c r="B17" s="44" t="s">
        <v>68</v>
      </c>
      <c r="C17" s="54">
        <f>IFERROR(__xludf.DUMMYFUNCTION("FILTER(RawData_Dipro!$C$2:$C$389, 
  REGEXMATCH(RawData_Dipro!$A$2:$A$389, ""(?i)"" &amp; $C$2 &amp; ""_description_complete""), 
  REGEXMATCH(RawData_Dipro!$A$2:$A$389, ""(?i)"" &amp; $C$2), REGEXMATCH(RawData_Dipro!$B$2:$B$389, ""(?i)"" &amp; $C$1), REGEXMATCH(RawData_"&amp;"Dipro!$A$2:$A$389, ""(?i)inclusion"")
)"),0.623665130624197)</f>
        <v>0.6236651306</v>
      </c>
      <c r="D17" s="55">
        <f>IFERROR(__xludf.DUMMYFUNCTION("FILTER(RawData_Dipro!$C$2:$C$389, 
  REGEXMATCH(RawData_Dipro!$A$2:$A$389, ""(?i)"" &amp; $C$2 &amp; ""_description_complete""), 
  REGEXMATCH(RawData_Dipro!$A$2:$A$389, ""(?i)"" &amp; $C$2), REGEXMATCH(RawData_Dipro!$B$2:$B$389, ""(?i)"" &amp; $D$1), REGEXMATCH(RawData_"&amp;"Dipro!$A$2:$A$389, ""(?i)inclusion"")
)"),0.593928228651202)</f>
        <v>0.5939282287</v>
      </c>
      <c r="E17" s="54">
        <f>IFERROR(__xludf.DUMMYFUNCTION("FILTER(RawData_Dipro!$C$2:$C$389, 
  REGEXMATCH(RawData_Dipro!$A$2:$A$389, ""(?i)"" &amp; $E$2 &amp; ""_description_complete""), 
  REGEXMATCH(RawData_Dipro!$A$2:$A$389, ""(?i)"" &amp; $E$2), REGEXMATCH(RawData_Dipro!$B$2:$B$389, ""(?i)"" &amp; $C$1), REGEXMATCH(RawData_"&amp;"Dipro!$A$2:$A$389, ""(?i)inclusion"")
)"),0.529201648845143)</f>
        <v>0.5292016488</v>
      </c>
      <c r="F17" s="55">
        <f>IFERROR(__xludf.DUMMYFUNCTION("FILTER(RawData_Dipro!$C$2:$C$389, 
  REGEXMATCH(RawData_Dipro!$A$2:$A$389, ""(?i)"" &amp; $E$2 &amp; ""_description_complete""), 
  REGEXMATCH(RawData_Dipro!$A$2:$A$389, ""(?i)"" &amp; $E$2), REGEXMATCH(RawData_Dipro!$B$2:$B$389, ""(?i)"" &amp; $D$1), REGEXMATCH(RawData_"&amp;"Dipro!$A$2:$A$389, ""(?i)inclusion"")
)"),0.483904295812941)</f>
        <v>0.4839042958</v>
      </c>
      <c r="G17" s="54">
        <f>IFERROR(__xludf.DUMMYFUNCTION("FILTER(RawData_Dipro!$C$2:$C$389, 
  REGEXMATCH(RawData_Dipro!$A$2:$A$389, ""(?i)"" &amp; $G$2 &amp; ""_description_complete""), 
  REGEXMATCH(RawData_Dipro!$A$2:$A$389, ""(?i)"" &amp; $G$2), REGEXMATCH(RawData_Dipro!$B$2:$B$389, ""(?i)"" &amp; $C$1), REGEXMATCH(RawData_"&amp;"Dipro!$A$2:$A$389, ""(?i)inclusion"")
)"),0.420755678424062)</f>
        <v>0.4207556784</v>
      </c>
      <c r="H17" s="55">
        <f>IFERROR(__xludf.DUMMYFUNCTION("FILTER(RawData_Dipro!$C$2:$C$389, 
  REGEXMATCH(RawData_Dipro!$A$2:$A$389, ""(?i)"" &amp; $G$2 &amp; ""_description_complete""), 
  REGEXMATCH(RawData_Dipro!$A$2:$A$389, ""(?i)"" &amp; $G$2), REGEXMATCH(RawData_Dipro!$B$2:$B$389, ""(?i)"" &amp; $D$1), REGEXMATCH(RawData_"&amp;"Dipro!$A$2:$A$389, ""(?i)inclusion"")
)"),0.406669665894335)</f>
        <v>0.4066696659</v>
      </c>
      <c r="I17" s="54">
        <f>IFERROR(__xludf.DUMMYFUNCTION("FILTER(RawData_Dipro!$C$2:$C$389, 
  REGEXMATCH(RawData_Dipro!$A$2:$A$389, ""(?i)"" &amp; $I$2 &amp; ""_description_complete""), 
  REGEXMATCH(RawData_Dipro!$A$2:$A$389, ""(?i)"" &amp; $I$2), REGEXMATCH(RawData_Dipro!$B$2:$B$389, ""(?i)"" &amp; $C$1), REGEXMATCH(RawData_"&amp;"Dipro!$A$2:$A$389, ""(?i)inclusion"")
)"),0.304614647958481)</f>
        <v>0.304614648</v>
      </c>
      <c r="J17" s="55">
        <f>IFERROR(__xludf.DUMMYFUNCTION("FILTER(RawData_Dipro!$C$2:$C$389, 
  REGEXMATCH(RawData_Dipro!$A$2:$A$389, ""(?i)"" &amp; $I$2 &amp; ""_description_complete""), 
  REGEXMATCH(RawData_Dipro!$A$2:$A$389, ""(?i)"" &amp; $I$2), REGEXMATCH(RawData_Dipro!$B$2:$B$389, ""(?i)"" &amp; $D$1), REGEXMATCH(RawData_"&amp;"Dipro!$A$2:$A$389, ""(?i)inclusion"")
)"),0.322799422799422)</f>
        <v>0.3227994228</v>
      </c>
      <c r="K17" s="58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</row>
    <row r="18">
      <c r="A18" s="4" t="s">
        <v>18</v>
      </c>
      <c r="C18" s="50">
        <f>IFERROR(__xludf.DUMMYFUNCTION("FILTER(RawData_Dipro!$C$2:$C$389, 
  REGEXMATCH(RawData_Dipro!$A$2:$A$389, ""(?i)"" &amp; $C$2 &amp; ""_zero_shot_gpt_only_title""), 
  REGEXMATCH(RawData_Dipro!$A$2:$A$389, ""(?i)"" &amp; $C$2), REGEXMATCH(RawData_Dipro!$B$2:$B$389, ""(?i)"" &amp; $C$1), 
  NOT(REGEXMAT"&amp;"CH(RawData_Dipro!$A$2:$A$389,  ""(?i)ensemble"")) 
)"),0.608500522443986)</f>
        <v>0.6085005224</v>
      </c>
      <c r="D18" s="5">
        <f>IFERROR(__xludf.DUMMYFUNCTION("FILTER(RawData_Dipro!$C$2:$C$389, 
  REGEXMATCH(RawData_Dipro!$A$2:$A$389, ""(?i)"" &amp; $C$2 &amp; ""_zero_shot_gpt_only_title""), 
  REGEXMATCH(RawData_Dipro!$A$2:$A$389, ""(?i)"" &amp; $C$2), REGEXMATCH(RawData_Dipro!$B$2:$B$389, ""(?i)"" &amp; $D$1), 
  NOT(REGEXMAT"&amp;"CH(RawData_Dipro!$A$2:$A$389,  ""(?i)ensemble"")) 
)"),0.565727300132339)</f>
        <v>0.5657273001</v>
      </c>
      <c r="E18" s="50">
        <f>IFERROR(__xludf.DUMMYFUNCTION("FILTER(RawData_Dipro!$C$2:$C$389, 
  REGEXMATCH(RawData_Dipro!$A$2:$A$389, ""(?i)"" &amp; $E$2 &amp; ""_zero_shot_gpt_only_title""), 
  REGEXMATCH(RawData_Dipro!$A$2:$A$389, ""(?i)"" &amp; $E$2), REGEXMATCH(RawData_Dipro!$B$2:$B$389, ""(?i)"" &amp; $C$1), 
  NOT(REGEXMAT"&amp;"CH(RawData_Dipro!$A$2:$A$389,  ""(?i)ensemble"")) 
)"),0.583927636565709)</f>
        <v>0.5839276366</v>
      </c>
      <c r="F18" s="5">
        <f>IFERROR(__xludf.DUMMYFUNCTION("FILTER(RawData_Dipro!$C$2:$C$389, 
  REGEXMATCH(RawData_Dipro!$A$2:$A$389, ""(?i)"" &amp; $E$2 &amp; ""_zero_shot_gpt_only_title""), 
  REGEXMATCH(RawData_Dipro!$A$2:$A$389, ""(?i)"" &amp; $E$2), REGEXMATCH(RawData_Dipro!$B$2:$B$389, ""(?i)"" &amp; $D$1), 
  NOT(REGEXMAT"&amp;"CH(RawData_Dipro!$A$2:$A$389,  ""(?i)ensemble"")) 
)"),0.523712547832867)</f>
        <v>0.5237125478</v>
      </c>
      <c r="G18" s="50">
        <f>IFERROR(__xludf.DUMMYFUNCTION("FILTER(RawData_Dipro!$C$2:$C$389, 
  REGEXMATCH(RawData_Dipro!$A$2:$A$389, ""(?i)"" &amp; $G$2 &amp; ""_zero_shot_gpt_only_title""), 
  REGEXMATCH(RawData_Dipro!$A$2:$A$389, ""(?i)"" &amp; $G$2), REGEXMATCH(RawData_Dipro!$B$2:$B$389, ""(?i)"" &amp; $C$1), 
  NOT(REGEXMAT"&amp;"CH(RawData_Dipro!$A$2:$A$389,  ""(?i)ensemble"")) 
)"),0.524902705155418)</f>
        <v>0.5249027052</v>
      </c>
      <c r="H18" s="5">
        <f>IFERROR(__xludf.DUMMYFUNCTION("FILTER(RawData_Dipro!$C$2:$C$389, 
  REGEXMATCH(RawData_Dipro!$A$2:$A$389, ""(?i)"" &amp; $G$2 &amp; ""_zero_shot_gpt_only_title""), 
  REGEXMATCH(RawData_Dipro!$A$2:$A$389, ""(?i)"" &amp; $G$2), REGEXMATCH(RawData_Dipro!$B$2:$B$389, ""(?i)"" &amp; $D$1), 
  NOT(REGEXMAT"&amp;"CH(RawData_Dipro!$A$2:$A$389,  ""(?i)ensemble"")) 
)"),0.490732657736496)</f>
        <v>0.4907326577</v>
      </c>
      <c r="I18" s="50">
        <f>IFERROR(__xludf.DUMMYFUNCTION("FILTER(RawData_Dipro!$C$2:$C$389, 
  REGEXMATCH(RawData_Dipro!$A$2:$A$389, ""(?i)"" &amp; $I$2 &amp; ""_zero_shot_gpt_only_title""), 
  REGEXMATCH(RawData_Dipro!$A$2:$A$389, ""(?i)"" &amp; $I$2), REGEXMATCH(RawData_Dipro!$B$2:$B$389, ""(?i)"" &amp; $C$1), 
  NOT(REGEXMAT"&amp;"CH(RawData_Dipro!$A$2:$A$389,  ""(?i)ensemble"")) 
)"),0.267289569310955)</f>
        <v>0.2672895693</v>
      </c>
      <c r="J18" s="5">
        <f>IFERROR(__xludf.DUMMYFUNCTION("FILTER(RawData_Dipro!$C$2:$C$389, 
  REGEXMATCH(RawData_Dipro!$A$2:$A$389, ""(?i)"" &amp; $I$2 &amp; ""_zero_shot_gpt_only_title""), 
  REGEXMATCH(RawData_Dipro!$A$2:$A$389, ""(?i)"" &amp; $I$2), REGEXMATCH(RawData_Dipro!$B$2:$B$389, ""(?i)"" &amp; $D$1), 
  NOT(REGEXMAT"&amp;"CH(RawData_Dipro!$A$2:$A$389,  ""(?i)ensemble"")) 
)"),0.297865824391553)</f>
        <v>0.2978658244</v>
      </c>
      <c r="K18" s="56"/>
    </row>
    <row r="19">
      <c r="A19" s="4"/>
      <c r="B19" s="4" t="s">
        <v>67</v>
      </c>
      <c r="C19" s="50">
        <f>IFERROR(__xludf.DUMMYFUNCTION("FILTER(RawData_Dipro!$C$2:$C$389, 
  REGEXMATCH(RawData_Dipro!$A$2:$A$389, ""(?i)"" &amp; $C$2 &amp; ""_zero_shot_gpt_only_title""), 
  REGEXMATCH(RawData_Dipro!$A$2:$A$389, ""(?i)"" &amp; $C$2), REGEXMATCH(RawData_Dipro!$B$2:$B$389, ""(?i)"" &amp; $C$1), REGEXMATCH(RawD"&amp;"ata_Dipro!$A$2:$A$389, ""(?i)majority"")
)"),0.611137434520519)</f>
        <v>0.6111374345</v>
      </c>
      <c r="D19" s="5">
        <f>IFERROR(__xludf.DUMMYFUNCTION("FILTER(RawData_Dipro!$C$2:$C$389, 
  REGEXMATCH(RawData_Dipro!$A$2:$A$389, ""(?i)"" &amp; $C$2 &amp; ""_zero_shot_gpt_only_title""), 
  REGEXMATCH(RawData_Dipro!$A$2:$A$389, ""(?i)"" &amp; $C$2), REGEXMATCH(RawData_Dipro!$B$2:$B$389, ""(?i)"" &amp; $D$1), REGEXMATCH(RawD"&amp;"ata_Dipro!$A$2:$A$389, ""(?i)majority"")
)"),0.572886646676726)</f>
        <v>0.5728866467</v>
      </c>
      <c r="E19" s="50">
        <f>IFERROR(__xludf.DUMMYFUNCTION("FILTER(RawData_Dipro!$C$2:$C$389, 
  REGEXMATCH(RawData_Dipro!$A$2:$A$389, ""(?i)"" &amp; $E$2 &amp; ""_zero_shot_gpt_only_title""), 
  REGEXMATCH(RawData_Dipro!$A$2:$A$389, ""(?i)"" &amp; $E$2), REGEXMATCH(RawData_Dipro!$B$2:$B$389, ""(?i)"" &amp; $C$1), REGEXMATCH(RawD"&amp;"ata_Dipro!$A$2:$A$389, ""(?i)majority"")
)"),0.582732347904307)</f>
        <v>0.5827323479</v>
      </c>
      <c r="F19" s="5">
        <f>IFERROR(__xludf.DUMMYFUNCTION("FILTER(RawData_Dipro!$C$2:$C$389, 
  REGEXMATCH(RawData_Dipro!$A$2:$A$389, ""(?i)"" &amp; $E$2 &amp; ""_zero_shot_gpt_only_title""), 
  REGEXMATCH(RawData_Dipro!$A$2:$A$389, ""(?i)"" &amp; $E$2), REGEXMATCH(RawData_Dipro!$B$2:$B$389, ""(?i)"" &amp; $D$1), REGEXMATCH(RawD"&amp;"ata_Dipro!$A$2:$A$389, ""(?i)majority"")
)"),0.52420000773874)</f>
        <v>0.5242000077</v>
      </c>
      <c r="G19" s="50">
        <f>IFERROR(__xludf.DUMMYFUNCTION("FILTER(RawData_Dipro!$C$2:$C$389, 
  REGEXMATCH(RawData_Dipro!$A$2:$A$389, ""(?i)"" &amp; $G$2 &amp; ""_zero_shot_gpt_only_title""), 
  REGEXMATCH(RawData_Dipro!$A$2:$A$389, ""(?i)"" &amp; $G$2), REGEXMATCH(RawData_Dipro!$B$2:$B$389, ""(?i)"" &amp; $C$1), REGEXMATCH(RawD"&amp;"ata_Dipro!$A$2:$A$389, ""(?i)majority"")
)"),0.558510124726803)</f>
        <v>0.5585101247</v>
      </c>
      <c r="H19" s="5">
        <f>IFERROR(__xludf.DUMMYFUNCTION("FILTER(RawData_Dipro!$C$2:$C$389, 
  REGEXMATCH(RawData_Dipro!$A$2:$A$389, ""(?i)"" &amp; $G$2 &amp; ""_zero_shot_gpt_only_title""), 
  REGEXMATCH(RawData_Dipro!$A$2:$A$389, ""(?i)"" &amp; $G$2), REGEXMATCH(RawData_Dipro!$B$2:$B$389, ""(?i)"" &amp; $D$1), REGEXMATCH(RawD"&amp;"ata_Dipro!$A$2:$A$389, ""(?i)majority"")
)"),0.517676976323592)</f>
        <v>0.5176769763</v>
      </c>
      <c r="I19" s="50">
        <f>IFERROR(__xludf.DUMMYFUNCTION("FILTER(RawData_Dipro!$C$2:$C$389, 
  REGEXMATCH(RawData_Dipro!$A$2:$A$389, ""(?i)"" &amp; $I$2 &amp; ""_zero_shot_gpt_only_title""), 
  REGEXMATCH(RawData_Dipro!$A$2:$A$389, ""(?i)"" &amp; $I$2), REGEXMATCH(RawData_Dipro!$B$2:$B$389, ""(?i)"" &amp; $C$1), REGEXMATCH(RawD"&amp;"ata_Dipro!$A$2:$A$389, ""(?i)majority"")
)"),0.256873382313824)</f>
        <v>0.2568733823</v>
      </c>
      <c r="J19" s="5">
        <f>IFERROR(__xludf.DUMMYFUNCTION("FILTER(RawData_Dipro!$C$2:$C$389, 
  REGEXMATCH(RawData_Dipro!$A$2:$A$389, ""(?i)"" &amp; $I$2 &amp; ""_zero_shot_gpt_only_title""), 
  REGEXMATCH(RawData_Dipro!$A$2:$A$389, ""(?i)"" &amp; $I$2), REGEXMATCH(RawData_Dipro!$B$2:$B$389, ""(?i)"" &amp; $D$1), REGEXMATCH(RawD"&amp;"ata_Dipro!$A$2:$A$389, ""(?i)majority"")
)"),0.287239204804064)</f>
        <v>0.2872392048</v>
      </c>
      <c r="K19" s="56"/>
    </row>
    <row r="20">
      <c r="A20" s="44"/>
      <c r="B20" s="44" t="s">
        <v>68</v>
      </c>
      <c r="C20" s="54">
        <f>IFERROR(__xludf.DUMMYFUNCTION("FILTER(RawData_Dipro!$C$2:$C$389, 
  REGEXMATCH(RawData_Dipro!$A$2:$A$389, ""(?i)"" &amp; $C$2 &amp; ""_zero_shot_gpt_only_title""), 
  REGEXMATCH(RawData_Dipro!$A$2:$A$389, ""(?i)"" &amp; $C$2), REGEXMATCH(RawData_Dipro!$B$2:$B$389, ""(?i)"" &amp; $C$1), REGEXMATCH(RawD"&amp;"ata_Dipro!$A$2:$A$389, ""(?i)inclusion"")
)"),0.592810008534732)</f>
        <v>0.5928100085</v>
      </c>
      <c r="D20" s="55">
        <f>IFERROR(__xludf.DUMMYFUNCTION("FILTER(RawData_Dipro!$C$2:$C$389, 
  REGEXMATCH(RawData_Dipro!$A$2:$A$389, ""(?i)"" &amp; $C$2 &amp; ""_zero_shot_gpt_only_title""), 
  REGEXMATCH(RawData_Dipro!$A$2:$A$389, ""(?i)"" &amp; $C$2), REGEXMATCH(RawData_Dipro!$B$2:$B$389, ""(?i)"" &amp; $D$1), REGEXMATCH(RawD"&amp;"ata_Dipro!$A$2:$A$389, ""(?i)inclusion"")
)"),0.546164199804987)</f>
        <v>0.5461641998</v>
      </c>
      <c r="E20" s="54">
        <f>IFERROR(__xludf.DUMMYFUNCTION("FILTER(RawData_Dipro!$C$2:$C$389, 
  REGEXMATCH(RawData_Dipro!$A$2:$A$389, ""(?i)"" &amp; $E$2 &amp; ""_zero_shot_gpt_only_title""), 
  REGEXMATCH(RawData_Dipro!$A$2:$A$389, ""(?i)"" &amp; $E$2), REGEXMATCH(RawData_Dipro!$B$2:$B$389, ""(?i)"" &amp; $C$1), REGEXMATCH(RawD"&amp;"ata_Dipro!$A$2:$A$389, ""(?i)inclusion"")
)"),0.575833883301639)</f>
        <v>0.5758338833</v>
      </c>
      <c r="F20" s="55">
        <f>IFERROR(__xludf.DUMMYFUNCTION("FILTER(RawData_Dipro!$C$2:$C$389, 
  REGEXMATCH(RawData_Dipro!$A$2:$A$389, ""(?i)"" &amp; $E$2 &amp; ""_zero_shot_gpt_only_title""), 
  REGEXMATCH(RawData_Dipro!$A$2:$A$389, ""(?i)"" &amp; $E$2), REGEXMATCH(RawData_Dipro!$B$2:$B$389, ""(?i)"" &amp; $D$1), REGEXMATCH(RawD"&amp;"ata_Dipro!$A$2:$A$389, ""(?i)inclusion"")
)"),0.516232610256394)</f>
        <v>0.5162326103</v>
      </c>
      <c r="G20" s="54">
        <f>IFERROR(__xludf.DUMMYFUNCTION("FILTER(RawData_Dipro!$C$2:$C$389, 
  REGEXMATCH(RawData_Dipro!$A$2:$A$389, ""(?i)"" &amp; $G$2 &amp; ""_zero_shot_gpt_only_title""), 
  REGEXMATCH(RawData_Dipro!$A$2:$A$389, ""(?i)"" &amp; $G$2), REGEXMATCH(RawData_Dipro!$B$2:$B$389, ""(?i)"" &amp; $C$1), REGEXMATCH(RawD"&amp;"ata_Dipro!$A$2:$A$389, ""(?i)inclusion"")
)"),0.484365260002208)</f>
        <v>0.48436526</v>
      </c>
      <c r="H20" s="55">
        <f>IFERROR(__xludf.DUMMYFUNCTION("FILTER(RawData_Dipro!$C$2:$C$389, 
  REGEXMATCH(RawData_Dipro!$A$2:$A$389, ""(?i)"" &amp; $G$2 &amp; ""_zero_shot_gpt_only_title""), 
  REGEXMATCH(RawData_Dipro!$A$2:$A$389, ""(?i)"" &amp; $G$2), REGEXMATCH(RawData_Dipro!$B$2:$B$389, ""(?i)"" &amp; $D$1), REGEXMATCH(RawD"&amp;"ata_Dipro!$A$2:$A$389, ""(?i)inclusion"")
)"),0.462912409254871)</f>
        <v>0.4629124093</v>
      </c>
      <c r="I20" s="54">
        <f>IFERROR(__xludf.DUMMYFUNCTION("FILTER(RawData_Dipro!$C$2:$C$389, 
  REGEXMATCH(RawData_Dipro!$A$2:$A$389, ""(?i)"" &amp; $I$2 &amp; ""_zero_shot_gpt_only_title""), 
  REGEXMATCH(RawData_Dipro!$A$2:$A$389, ""(?i)"" &amp; $I$2), REGEXMATCH(RawData_Dipro!$B$2:$B$389, ""(?i)"" &amp; $C$1), REGEXMATCH(RawD"&amp;"ata_Dipro!$A$2:$A$389, ""(?i)inclusion"")
)"),0.321813202069703)</f>
        <v>0.3218132021</v>
      </c>
      <c r="J20" s="55">
        <f>IFERROR(__xludf.DUMMYFUNCTION("FILTER(RawData_Dipro!$C$2:$C$389, 
  REGEXMATCH(RawData_Dipro!$A$2:$A$389, ""(?i)"" &amp; $I$2 &amp; ""_zero_shot_gpt_only_title""), 
  REGEXMATCH(RawData_Dipro!$A$2:$A$389, ""(?i)"" &amp; $I$2), REGEXMATCH(RawData_Dipro!$B$2:$B$389, ""(?i)"" &amp; $D$1), REGEXMATCH(RawD"&amp;"ata_Dipro!$A$2:$A$389, ""(?i)inclusion"")
)"),0.332658030355304)</f>
        <v>0.3326580304</v>
      </c>
      <c r="K20" s="58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</row>
    <row r="21">
      <c r="A21" s="4" t="s">
        <v>22</v>
      </c>
      <c r="C21" s="50">
        <f>IFERROR(__xludf.DUMMYFUNCTION("FILTER(RawData_Dipro!$C$2:$C$389, 
  REGEXMATCH(RawData_Dipro!$A$2:$A$389, ""(?i)"" &amp; $C$2 &amp; ""_zero_shot_gpt_description""), NOT(REGEXMATCH(RawData_Dipro!$A$2:$A$389, ""(?i)complete"")), 
  REGEXMATCH(RawData_Dipro!$A$2:$A$389, ""(?i)"" &amp; $C$2), REGEXMAT"&amp;"CH(RawData_Dipro!$B$2:$B$389, ""(?i)"" &amp; $C$1), 
  NOT(REGEXMATCH(RawData_Dipro!$A$2:$A$389,  ""(?i)ensemble"")) 
)"),0.640317661477475)</f>
        <v>0.6403176615</v>
      </c>
      <c r="D21" s="5">
        <f>IFERROR(__xludf.DUMMYFUNCTION("FILTER(RawData_Dipro!$C$2:$C$389, 
  REGEXMATCH(RawData_Dipro!$A$2:$A$389, ""(?i)"" &amp; $C$2 &amp; ""_zero_shot_gpt_description""), NOT(REGEXMATCH(RawData_Dipro!$A$2:$A$389, ""(?i)complete"")), 
  REGEXMATCH(RawData_Dipro!$A$2:$A$389, ""(?i)"" &amp; $C$2), REGEXMAT"&amp;"CH(RawData_Dipro!$B$2:$B$389, ""(?i)"" &amp; $D$1), 
  NOT(REGEXMATCH(RawData_Dipro!$A$2:$A$389,  ""(?i)ensemble"")) 
)"),0.61354665612827)</f>
        <v>0.6135466561</v>
      </c>
      <c r="E21" s="50">
        <f>IFERROR(__xludf.DUMMYFUNCTION("FILTER(RawData_Dipro!$C$2:$C$389, NOT(REGEXMATCH(RawData_Dipro!$A$2:$A$389, ""(?i)complete"")),
  REGEXMATCH(RawData_Dipro!$A$2:$A$389, ""(?i)"" &amp; $E$2 &amp; ""_zero_shot_gpt_description""), 
  REGEXMATCH(RawData_Dipro!$A$2:$A$389, ""(?i)"" &amp; $E$2), REGEXMATC"&amp;"H(RawData_Dipro!$B$2:$B$389, ""(?i)"" &amp; $C$1), 
  NOT(REGEXMATCH(RawData_Dipro!$A$2:$A$389,  ""(?i)ensemble"")) 
)"),0.613750839783722)</f>
        <v>0.6137508398</v>
      </c>
      <c r="F21" s="5">
        <f>IFERROR(__xludf.DUMMYFUNCTION("FILTER(RawData_Dipro!$C$2:$C$389, NOT(REGEXMATCH(RawData_Dipro!$A$2:$A$389, ""(?i)complete"")),
  REGEXMATCH(RawData_Dipro!$A$2:$A$389, ""(?i)"" &amp; $E$2 &amp; ""_zero_shot_gpt_description""), 
  REGEXMATCH(RawData_Dipro!$A$2:$A$389, ""(?i)"" &amp; $E$2), REGEXMATC"&amp;"H(RawData_Dipro!$B$2:$B$389, ""(?i)"" &amp; $D$1), 
  NOT(REGEXMATCH(RawData_Dipro!$A$2:$A$389,  ""(?i)ensemble"")) 
)"),0.578681917130575)</f>
        <v>0.5786819171</v>
      </c>
      <c r="G21" s="50">
        <f>IFERROR(__xludf.DUMMYFUNCTION("FILTER(RawData_Dipro!$C$2:$C$389, NOT(REGEXMATCH(RawData_Dipro!$A$2:$A$389, ""(?i)complete"")),
  REGEXMATCH(RawData_Dipro!$A$2:$A$389, ""(?i)"" &amp; $G$2 &amp; ""_zero_shot_gpt_description""), 
  REGEXMATCH(RawData_Dipro!$A$2:$A$389, ""(?i)"" &amp; $G$2), REGEXMATC"&amp;"H(RawData_Dipro!$B$2:$B$389, ""(?i)"" &amp; $C$1), 
  NOT(REGEXMATCH(RawData_Dipro!$A$2:$A$389,  ""(?i)ensemble"")) 
)"),0.545763744390765)</f>
        <v>0.5457637444</v>
      </c>
      <c r="H21" s="5">
        <f>IFERROR(__xludf.DUMMYFUNCTION("FILTER(RawData_Dipro!$C$2:$C$389, NOT(REGEXMATCH(RawData_Dipro!$A$2:$A$389, ""(?i)complete"")),
  REGEXMATCH(RawData_Dipro!$A$2:$A$389, ""(?i)"" &amp; $G$2 &amp; ""_zero_shot_gpt_description""), 
  REGEXMATCH(RawData_Dipro!$A$2:$A$389, ""(?i)"" &amp; $G$2), REGEXMATC"&amp;"H(RawData_Dipro!$B$2:$B$389, ""(?i)"" &amp; $D$1), 
  NOT(REGEXMATCH(RawData_Dipro!$A$2:$A$389,  ""(?i)ensemble"")) 
)"),0.524262991587101)</f>
        <v>0.5242629916</v>
      </c>
      <c r="I21" s="50">
        <f>IFERROR(__xludf.DUMMYFUNCTION("FILTER(RawData_Dipro!$C$2:$C$389, NOT(REGEXMATCH(RawData_Dipro!$A$2:$A$389, ""(?i)complete"")),
  REGEXMATCH(RawData_Dipro!$A$2:$A$389, ""(?i)"" &amp; $I$2 &amp; ""_zero_shot_gpt_description""), 
  REGEXMATCH(RawData_Dipro!$A$2:$A$389, ""(?i)"" &amp; $I$2), REGEXMATC"&amp;"H(RawData_Dipro!$B$2:$B$389, ""(?i)"" &amp; $C$1), 
  NOT(REGEXMATCH(RawData_Dipro!$A$2:$A$389,  ""(?i)ensemble"")) 
)"),0.284838731621514)</f>
        <v>0.2848387316</v>
      </c>
      <c r="J21" s="5">
        <f>IFERROR(__xludf.DUMMYFUNCTION("FILTER(RawData_Dipro!$C$2:$C$389, NOT(REGEXMATCH(RawData_Dipro!$A$2:$A$389, ""(?i)complete"")),
  REGEXMATCH(RawData_Dipro!$A$2:$A$389, ""(?i)"" &amp; $I$2 &amp; ""_zero_shot_gpt_description""), 
  REGEXMATCH(RawData_Dipro!$A$2:$A$389, ""(?i)"" &amp; $I$2), REGEXMATC"&amp;"H(RawData_Dipro!$B$2:$B$389, ""(?i)"" &amp; $D$1), 
  NOT(REGEXMATCH(RawData_Dipro!$A$2:$A$389,  ""(?i)ensemble"")) 
)"),0.300772443809359)</f>
        <v>0.3007724438</v>
      </c>
      <c r="K21" s="56"/>
    </row>
    <row r="22">
      <c r="A22" s="4"/>
      <c r="B22" s="4" t="s">
        <v>67</v>
      </c>
      <c r="C22" s="50">
        <f>IFERROR(__xludf.DUMMYFUNCTION("FILTER(RawData_Dipro!$C$2:$C$389, 
  REGEXMATCH(RawData_Dipro!$A$2:$A$389, ""(?i)"" &amp; $C$2 &amp; ""_zero_shot_gpt_description""), NOT(REGEXMATCH(RawData_Dipro!$A$2:$A$389, ""(?i)complete"")), 
  REGEXMATCH(RawData_Dipro!$A$2:$A$389, ""(?i)"" &amp; $C$2), REGEXMAT"&amp;"CH(RawData_Dipro!$B$2:$B$389, ""(?i)"" &amp; $C$1), REGEXMATCH(RawData_Dipro!$A$2:$A$389, ""(?i)majority"")
)"),0.64151186537621)</f>
        <v>0.6415118654</v>
      </c>
      <c r="D22" s="5">
        <f>IFERROR(__xludf.DUMMYFUNCTION("FILTER(RawData_Dipro!$C$2:$C$389, 
  REGEXMATCH(RawData_Dipro!$A$2:$A$389, ""(?i)"" &amp; $C$2 &amp; ""_zero_shot_gpt_description""), NOT(REGEXMATCH(RawData_Dipro!$A$2:$A$389, ""(?i)complete"")), 
  REGEXMATCH(RawData_Dipro!$A$2:$A$389, ""(?i)"" &amp; $C$2), REGEXMAT"&amp;"CH(RawData_Dipro!$B$2:$B$389, ""(?i)"" &amp; $D$1), REGEXMATCH(RawData_Dipro!$A$2:$A$389, ""(?i)majority"")
)"),0.616926537922996)</f>
        <v>0.6169265379</v>
      </c>
      <c r="E22" s="50">
        <f>IFERROR(__xludf.DUMMYFUNCTION("FILTER(RawData_Dipro!$C$2:$C$389, NOT(REGEXMATCH(RawData_Dipro!$A$2:$A$389, ""(?i)complete"")),
  REGEXMATCH(RawData_Dipro!$A$2:$A$389, ""(?i)"" &amp; $E$2 &amp; ""_zero_shot_gpt_description""), 
  REGEXMATCH(RawData_Dipro!$A$2:$A$389, ""(?i)"" &amp; $E$2), REGEXMATC"&amp;"H(RawData_Dipro!$B$2:$B$389, ""(?i)"" &amp; $C$1), REGEXMATCH(RawData_Dipro!$A$2:$A$389, ""(?i)majority"")
)"),0.613783712375261)</f>
        <v>0.6137837124</v>
      </c>
      <c r="F22" s="5">
        <f>IFERROR(__xludf.DUMMYFUNCTION("FILTER(RawData_Dipro!$C$2:$C$389, NOT(REGEXMATCH(RawData_Dipro!$A$2:$A$389, ""(?i)complete"")),
  REGEXMATCH(RawData_Dipro!$A$2:$A$389, ""(?i)"" &amp; $E$2 &amp; ""_zero_shot_gpt_description""), 
  REGEXMATCH(RawData_Dipro!$A$2:$A$389, ""(?i)"" &amp; $E$2), REGEXMATC"&amp;"H(RawData_Dipro!$B$2:$B$389, ""(?i)"" &amp; $D$1), REGEXMATCH(RawData_Dipro!$A$2:$A$389, ""(?i)majority"")
)"),0.578299727991019)</f>
        <v>0.578299728</v>
      </c>
      <c r="G22" s="50">
        <f>IFERROR(__xludf.DUMMYFUNCTION("FILTER(RawData_Dipro!$C$2:$C$389, NOT(REGEXMATCH(RawData_Dipro!$A$2:$A$389, ""(?i)complete"")),
  REGEXMATCH(RawData_Dipro!$A$2:$A$389, ""(?i)"" &amp; $G$2 &amp; ""_zero_shot_gpt_description""), 
  REGEXMATCH(RawData_Dipro!$A$2:$A$389, ""(?i)"" &amp; $G$2), REGEXMATC"&amp;"H(RawData_Dipro!$B$2:$B$389, ""(?i)"" &amp; $C$1), REGEXMATCH(RawData_Dipro!$A$2:$A$389, ""(?i)majority"")
)"),0.566473395147322)</f>
        <v>0.5664733951</v>
      </c>
      <c r="H22" s="5">
        <f>IFERROR(__xludf.DUMMYFUNCTION("FILTER(RawData_Dipro!$C$2:$C$389, NOT(REGEXMATCH(RawData_Dipro!$A$2:$A$389, ""(?i)complete"")),
  REGEXMATCH(RawData_Dipro!$A$2:$A$389, ""(?i)"" &amp; $G$2 &amp; ""_zero_shot_gpt_description""), 
  REGEXMATCH(RawData_Dipro!$A$2:$A$389, ""(?i)"" &amp; $G$2), REGEXMATC"&amp;"H(RawData_Dipro!$B$2:$B$389, ""(?i)"" &amp; $D$1), REGEXMATCH(RawData_Dipro!$A$2:$A$389, ""(?i)majority"")
)"),0.553100031612457)</f>
        <v>0.5531000316</v>
      </c>
      <c r="I22" s="50">
        <f>IFERROR(__xludf.DUMMYFUNCTION("FILTER(RawData_Dipro!$C$2:$C$389, NOT(REGEXMATCH(RawData_Dipro!$A$2:$A$389, ""(?i)complete"")),
  REGEXMATCH(RawData_Dipro!$A$2:$A$389, ""(?i)"" &amp; $I$2 &amp; ""_zero_shot_gpt_description""), 
  REGEXMATCH(RawData_Dipro!$A$2:$A$389, ""(?i)"" &amp; $I$2), REGEXMATC"&amp;"H(RawData_Dipro!$B$2:$B$389, ""(?i)"" &amp; $C$1), REGEXMATCH(RawData_Dipro!$A$2:$A$389, ""(?i)majority"")
)"),0.289452980117563)</f>
        <v>0.2894529801</v>
      </c>
      <c r="J22" s="5">
        <f>IFERROR(__xludf.DUMMYFUNCTION("FILTER(RawData_Dipro!$C$2:$C$389, NOT(REGEXMATCH(RawData_Dipro!$A$2:$A$389, ""(?i)complete"")),
  REGEXMATCH(RawData_Dipro!$A$2:$A$389, ""(?i)"" &amp; $I$2 &amp; ""_zero_shot_gpt_description""), 
  REGEXMATCH(RawData_Dipro!$A$2:$A$389, ""(?i)"" &amp; $I$2), REGEXMATC"&amp;"H(RawData_Dipro!$B$2:$B$389, ""(?i)"" &amp; $D$1), REGEXMATCH(RawData_Dipro!$A$2:$A$389, ""(?i)majority"")
)"),0.297157219809452)</f>
        <v>0.2971572198</v>
      </c>
      <c r="K22" s="56"/>
    </row>
    <row r="23">
      <c r="A23" s="44"/>
      <c r="B23" s="44" t="s">
        <v>68</v>
      </c>
      <c r="C23" s="54">
        <f>IFERROR(__xludf.DUMMYFUNCTION("FILTER(RawData_Dipro!$C$2:$C$389, 
  REGEXMATCH(RawData_Dipro!$A$2:$A$389, ""(?i)"" &amp; $C$2 &amp; ""_zero_shot_gpt_description""), NOT(REGEXMATCH(RawData_Dipro!$A$2:$A$389, ""(?i)complete"")), 
  REGEXMATCH(RawData_Dipro!$A$2:$A$389, ""(?i)"" &amp; $C$2), REGEXMAT"&amp;"CH(RawData_Dipro!$B$2:$B$389, ""(?i)"" &amp; $C$1), REGEXMATCH(RawData_Dipro!$A$2:$A$389, ""(?i)inclusion"")
)"),0.63096464489449)</f>
        <v>0.6309646449</v>
      </c>
      <c r="D23" s="55">
        <f>IFERROR(__xludf.DUMMYFUNCTION("FILTER(RawData_Dipro!$C$2:$C$389, 
  REGEXMATCH(RawData_Dipro!$A$2:$A$389, ""(?i)"" &amp; $C$2 &amp; ""_zero_shot_gpt_description""), NOT(REGEXMATCH(RawData_Dipro!$A$2:$A$389, ""(?i)complete"")), 
  REGEXMATCH(RawData_Dipro!$A$2:$A$389, ""(?i)"" &amp; $C$2), REGEXMAT"&amp;"CH(RawData_Dipro!$B$2:$B$389, ""(?i)"" &amp; $D$1), REGEXMATCH(RawData_Dipro!$A$2:$A$389, ""(?i)inclusion"")
)"),0.600610954953905)</f>
        <v>0.600610955</v>
      </c>
      <c r="E23" s="54">
        <f>IFERROR(__xludf.DUMMYFUNCTION("FILTER(RawData_Dipro!$C$2:$C$389, NOT(REGEXMATCH(RawData_Dipro!$A$2:$A$389, ""(?i)complete"")),
  REGEXMATCH(RawData_Dipro!$A$2:$A$389, ""(?i)"" &amp; $E$2 &amp; ""_zero_shot_gpt_description""), 
  REGEXMATCH(RawData_Dipro!$A$2:$A$389, ""(?i)"" &amp; $E$2), REGEXMATC"&amp;"H(RawData_Dipro!$B$2:$B$389, ""(?i)"" &amp; $C$1), REGEXMATCH(RawData_Dipro!$A$2:$A$389, ""(?i)inclusion"")
)"),0.603423837159287)</f>
        <v>0.6034238372</v>
      </c>
      <c r="F23" s="55">
        <f>IFERROR(__xludf.DUMMYFUNCTION("FILTER(RawData_Dipro!$C$2:$C$389, NOT(REGEXMATCH(RawData_Dipro!$A$2:$A$389, ""(?i)complete"")),
  REGEXMATCH(RawData_Dipro!$A$2:$A$389, ""(?i)"" &amp; $E$2 &amp; ""_zero_shot_gpt_description""), 
  REGEXMATCH(RawData_Dipro!$A$2:$A$389, ""(?i)"" &amp; $E$2), REGEXMATC"&amp;"H(RawData_Dipro!$B$2:$B$389, ""(?i)"" &amp; $D$1), REGEXMATCH(RawData_Dipro!$A$2:$A$389, ""(?i)inclusion"")
)"),0.569305363972466)</f>
        <v>0.569305364</v>
      </c>
      <c r="G23" s="54">
        <f>IFERROR(__xludf.DUMMYFUNCTION("FILTER(RawData_Dipro!$C$2:$C$389, NOT(REGEXMATCH(RawData_Dipro!$A$2:$A$389, ""(?i)complete"")),
  REGEXMATCH(RawData_Dipro!$A$2:$A$389, ""(?i)"" &amp; $G$2 &amp; ""_zero_shot_gpt_description""), 
  REGEXMATCH(RawData_Dipro!$A$2:$A$389, ""(?i)"" &amp; $G$2), REGEXMATC"&amp;"H(RawData_Dipro!$B$2:$B$389, ""(?i)"" &amp; $C$1), REGEXMATCH(RawData_Dipro!$A$2:$A$389, ""(?i)inclusion"")
)"),0.504744781778472)</f>
        <v>0.5047447818</v>
      </c>
      <c r="H23" s="55">
        <f>IFERROR(__xludf.DUMMYFUNCTION("FILTER(RawData_Dipro!$C$2:$C$389, NOT(REGEXMATCH(RawData_Dipro!$A$2:$A$389, ""(?i)complete"")),
  REGEXMATCH(RawData_Dipro!$A$2:$A$389, ""(?i)"" &amp; $G$2 &amp; ""_zero_shot_gpt_description""), 
  REGEXMATCH(RawData_Dipro!$A$2:$A$389, ""(?i)"" &amp; $G$2), REGEXMATC"&amp;"H(RawData_Dipro!$B$2:$B$389, ""(?i)"" &amp; $D$1), REGEXMATCH(RawData_Dipro!$A$2:$A$389, ""(?i)inclusion"")
)"),0.473406233934218)</f>
        <v>0.4734062339</v>
      </c>
      <c r="I23" s="54">
        <f>IFERROR(__xludf.DUMMYFUNCTION("FILTER(RawData_Dipro!$C$2:$C$389, NOT(REGEXMATCH(RawData_Dipro!$A$2:$A$389, ""(?i)complete"")),
  REGEXMATCH(RawData_Dipro!$A$2:$A$389, ""(?i)"" &amp; $I$2 &amp; ""_zero_shot_gpt_description""), 
  REGEXMATCH(RawData_Dipro!$A$2:$A$389, ""(?i)"" &amp; $I$2), REGEXMATC"&amp;"H(RawData_Dipro!$B$2:$B$389, ""(?i)"" &amp; $C$1), REGEXMATCH(RawData_Dipro!$A$2:$A$389, ""(?i)inclusion"")
)"),0.321366270176905)</f>
        <v>0.3213662702</v>
      </c>
      <c r="J23" s="55">
        <f>IFERROR(__xludf.DUMMYFUNCTION("FILTER(RawData_Dipro!$C$2:$C$389, NOT(REGEXMATCH(RawData_Dipro!$A$2:$A$389, ""(?i)complete"")),
  REGEXMATCH(RawData_Dipro!$A$2:$A$389, ""(?i)"" &amp; $I$2 &amp; ""_zero_shot_gpt_description""), 
  REGEXMATCH(RawData_Dipro!$A$2:$A$389, ""(?i)"" &amp; $I$2), REGEXMATC"&amp;"H(RawData_Dipro!$B$2:$B$389, ""(?i)"" &amp; $D$1), REGEXMATCH(RawData_Dipro!$A$2:$A$389, ""(?i)inclusion"")
)"),0.337895196907243)</f>
        <v>0.3378951969</v>
      </c>
      <c r="K23" s="58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</row>
    <row r="24">
      <c r="A24" s="4" t="s">
        <v>27</v>
      </c>
      <c r="C24" s="50">
        <f>IFERROR(__xludf.DUMMYFUNCTION("FILTER(RawData_Dipro!$C$2:$C$389, 
  REGEXMATCH(RawData_Dipro!$A$2:$A$389, ""(?i)"" &amp; $C$2 &amp; ""_zero_shot_gpt_description_complete""), 
  REGEXMATCH(RawData_Dipro!$A$2:$A$389, ""(?i)"" &amp; $C$2), REGEXMATCH(RawData_Dipro!$B$2:$B$389, ""(?i)"" &amp; $C$1), 
  NO"&amp;"T(REGEXMATCH(RawData_Dipro!$A$2:$A$389,  ""(?i)ensemble"")) 
)"),0.626620634285161)</f>
        <v>0.6266206343</v>
      </c>
      <c r="D24" s="5">
        <f>IFERROR(__xludf.DUMMYFUNCTION("FILTER(RawData_Dipro!$C$2:$C$389, 
  REGEXMATCH(RawData_Dipro!$A$2:$A$389, ""(?i)"" &amp; $C$2 &amp; ""_zero_shot_gpt_description_complete""), 
  REGEXMATCH(RawData_Dipro!$A$2:$A$389, ""(?i)"" &amp; $C$2), REGEXMATCH(RawData_Dipro!$B$2:$B$389, ""(?i)"" &amp; $D$1), 
  NO"&amp;"T(REGEXMATCH(RawData_Dipro!$A$2:$A$389,  ""(?i)ensemble"")) 
)"),0.604801060798369)</f>
        <v>0.6048010608</v>
      </c>
      <c r="E24" s="50">
        <f>IFERROR(__xludf.DUMMYFUNCTION("FILTER(RawData_Dipro!$C$2:$C$389, 
  REGEXMATCH(RawData_Dipro!$A$2:$A$389, ""(?i)"" &amp; $E$2 &amp; ""_zero_shot_gpt_description_complete""), 
  REGEXMATCH(RawData_Dipro!$A$2:$A$389, ""(?i)"" &amp; $E$2), REGEXMATCH(RawData_Dipro!$B$2:$B$389, ""(?i)"" &amp; $C$1), 
  NO"&amp;"T(REGEXMATCH(RawData_Dipro!$A$2:$A$389,  ""(?i)ensemble"")) 
)"),0.274748595417237)</f>
        <v>0.2747485954</v>
      </c>
      <c r="F24" s="5">
        <f>IFERROR(__xludf.DUMMYFUNCTION("FILTER(RawData_Dipro!$C$2:$C$389, 
  REGEXMATCH(RawData_Dipro!$A$2:$A$389, ""(?i)"" &amp; $E$2 &amp; ""_zero_shot_gpt_description_complete""), 
  REGEXMATCH(RawData_Dipro!$A$2:$A$389, ""(?i)"" &amp; $E$2), REGEXMATCH(RawData_Dipro!$B$2:$B$389, ""(?i)"" &amp; $D$1), 
  NO"&amp;"T(REGEXMATCH(RawData_Dipro!$A$2:$A$389,  ""(?i)ensemble"")) 
)"),0.380177808740426)</f>
        <v>0.3801778087</v>
      </c>
      <c r="G24" s="50">
        <f>IFERROR(__xludf.DUMMYFUNCTION("FILTER(RawData_Dipro!$C$2:$C$389, 
  REGEXMATCH(RawData_Dipro!$A$2:$A$389, ""(?i)"" &amp; $G$2 &amp; ""_zero_shot_gpt_description_complete""), 
  REGEXMATCH(RawData_Dipro!$A$2:$A$389, ""(?i)"" &amp; $G$2), REGEXMATCH(RawData_Dipro!$B$2:$B$389, ""(?i)"" &amp; $C$1), 
  NO"&amp;"T(REGEXMATCH(RawData_Dipro!$A$2:$A$389,  ""(?i)ensemble"")) 
)"),0.484593915089339)</f>
        <v>0.4845939151</v>
      </c>
      <c r="H24" s="5">
        <f>IFERROR(__xludf.DUMMYFUNCTION("FILTER(RawData_Dipro!$C$2:$C$389, 
  REGEXMATCH(RawData_Dipro!$A$2:$A$389, ""(?i)"" &amp; $G$2 &amp; ""_zero_shot_gpt_description_complete""), 
  REGEXMATCH(RawData_Dipro!$A$2:$A$389, ""(?i)"" &amp; $G$2), REGEXMATCH(RawData_Dipro!$B$2:$B$389, ""(?i)"" &amp; $D$1), 
  NO"&amp;"T(REGEXMATCH(RawData_Dipro!$A$2:$A$389,  ""(?i)ensemble"")) 
)"),0.437797137788191)</f>
        <v>0.4377971378</v>
      </c>
      <c r="I24" s="50">
        <f>IFERROR(__xludf.DUMMYFUNCTION("FILTER(RawData_Dipro!$C$2:$C$389, 
  REGEXMATCH(RawData_Dipro!$A$2:$A$389, ""(?i)"" &amp; $I$2 &amp; ""_zero_shot_gpt_description_complete""), 
  REGEXMATCH(RawData_Dipro!$A$2:$A$389, ""(?i)"" &amp; $I$2), REGEXMATCH(RawData_Dipro!$B$2:$B$389, ""(?i)"" &amp; $C$1), 
  NO"&amp;"T(REGEXMATCH(RawData_Dipro!$A$2:$A$389,  ""(?i)ensemble"")) 
)"),0.220620940157727)</f>
        <v>0.2206209402</v>
      </c>
      <c r="J24" s="5">
        <f>IFERROR(__xludf.DUMMYFUNCTION("FILTER(RawData_Dipro!$C$2:$C$389, 
  REGEXMATCH(RawData_Dipro!$A$2:$A$389, ""(?i)"" &amp; $I$2 &amp; ""_zero_shot_gpt_description_complete""), 
  REGEXMATCH(RawData_Dipro!$A$2:$A$389, ""(?i)"" &amp; $I$2), REGEXMATCH(RawData_Dipro!$B$2:$B$389, ""(?i)"" &amp; $D$1), 
  NO"&amp;"T(REGEXMATCH(RawData_Dipro!$A$2:$A$389,  ""(?i)ensemble"")) 
)"),0.271705614091627)</f>
        <v>0.2717056141</v>
      </c>
      <c r="K24" s="56"/>
    </row>
    <row r="25">
      <c r="B25" s="4" t="s">
        <v>67</v>
      </c>
      <c r="C25" s="50">
        <f>IFERROR(__xludf.DUMMYFUNCTION("FILTER(RawData_Dipro!$C$2:$C$389, 
  REGEXMATCH(RawData_Dipro!$A$2:$A$389, ""(?i)"" &amp; $C$2 &amp; ""_zero_shot_gpt_description_complete""), 
  REGEXMATCH(RawData_Dipro!$A$2:$A$389, ""(?i)"" &amp; $C$2), REGEXMATCH(RawData_Dipro!$B$2:$B$389, ""(?i)"" &amp; $C$1), REGEX"&amp;"MATCH(RawData_Dipro!$A$2:$A$389, ""(?i)majority"")
)"),0.637043794593181)</f>
        <v>0.6370437946</v>
      </c>
      <c r="D25" s="5">
        <f>IFERROR(__xludf.DUMMYFUNCTION("FILTER(RawData_Dipro!$C$2:$C$389, 
  REGEXMATCH(RawData_Dipro!$A$2:$A$389, ""(?i)"" &amp; $C$2 &amp; ""_zero_shot_gpt_description_complete""), 
  REGEXMATCH(RawData_Dipro!$A$2:$A$389, ""(?i)"" &amp; $C$2), REGEXMATCH(RawData_Dipro!$B$2:$B$389, ""(?i)"" &amp; $D$1), REGEX"&amp;"MATCH(RawData_Dipro!$A$2:$A$389, ""(?i)majority"")
)"),0.613377070073474)</f>
        <v>0.6133770701</v>
      </c>
      <c r="E25" s="50">
        <f>IFERROR(__xludf.DUMMYFUNCTION("FILTER(RawData_Dipro!$C$2:$C$389, 
  REGEXMATCH(RawData_Dipro!$A$2:$A$389, ""(?i)"" &amp; $E$2 &amp; ""_zero_shot_gpt_description_complete""), 
  REGEXMATCH(RawData_Dipro!$A$2:$A$389, ""(?i)"" &amp; $E$2), REGEXMATCH(RawData_Dipro!$B$2:$B$389, ""(?i)"" &amp; $C$1), REGEX"&amp;"MATCH(RawData_Dipro!$A$2:$A$389, ""(?i)majority"")
)"),0.275567673878061)</f>
        <v>0.2755676739</v>
      </c>
      <c r="F25" s="5">
        <f>IFERROR(__xludf.DUMMYFUNCTION("FILTER(RawData_Dipro!$C$2:$C$389, 
  REGEXMATCH(RawData_Dipro!$A$2:$A$389, ""(?i)"" &amp; $E$2 &amp; ""_zero_shot_gpt_description_complete""), 
  REGEXMATCH(RawData_Dipro!$A$2:$A$389, ""(?i)"" &amp; $E$2), REGEXMATCH(RawData_Dipro!$B$2:$B$389, ""(?i)"" &amp; $D$1), REGEX"&amp;"MATCH(RawData_Dipro!$A$2:$A$389, ""(?i)majority"")
)"),0.385180794814941)</f>
        <v>0.3851807948</v>
      </c>
      <c r="G25" s="50">
        <f>IFERROR(__xludf.DUMMYFUNCTION("FILTER(RawData_Dipro!$C$2:$C$389, 
  REGEXMATCH(RawData_Dipro!$A$2:$A$389, ""(?i)"" &amp; $G$2 &amp; ""_zero_shot_gpt_description_complete""), 
  REGEXMATCH(RawData_Dipro!$A$2:$A$389, ""(?i)"" &amp; $G$2), REGEXMATCH(RawData_Dipro!$B$2:$B$389, ""(?i)"" &amp; $C$1), REGEX"&amp;"MATCH(RawData_Dipro!$A$2:$A$389, ""(?i)majority"")
)"),0.525659575124815)</f>
        <v>0.5256595751</v>
      </c>
      <c r="H25" s="5">
        <f>IFERROR(__xludf.DUMMYFUNCTION("FILTER(RawData_Dipro!$C$2:$C$389, 
  REGEXMATCH(RawData_Dipro!$A$2:$A$389, ""(?i)"" &amp; $G$2 &amp; ""_zero_shot_gpt_description_complete""), 
  REGEXMATCH(RawData_Dipro!$A$2:$A$389, ""(?i)"" &amp; $G$2), REGEXMATCH(RawData_Dipro!$B$2:$B$389, ""(?i)"" &amp; $D$1), REGEX"&amp;"MATCH(RawData_Dipro!$A$2:$A$389, ""(?i)majority"")
)"),0.461380199716629)</f>
        <v>0.4613801997</v>
      </c>
      <c r="I25" s="50">
        <f>IFERROR(__xludf.DUMMYFUNCTION("FILTER(RawData_Dipro!$C$2:$C$389, 
  REGEXMATCH(RawData_Dipro!$A$2:$A$389, ""(?i)"" &amp; $I$2 &amp; ""_zero_shot_gpt_description_complete""), 
  REGEXMATCH(RawData_Dipro!$A$2:$A$389, ""(?i)"" &amp; $I$2), REGEXMATCH(RawData_Dipro!$B$2:$B$389, ""(?i)"" &amp; $C$1), REGEX"&amp;"MATCH(RawData_Dipro!$A$2:$A$389, ""(?i)majority"")
)"),0.205454448370073)</f>
        <v>0.2054544484</v>
      </c>
      <c r="J25" s="5">
        <f>IFERROR(__xludf.DUMMYFUNCTION("FILTER(RawData_Dipro!$C$2:$C$389, 
  REGEXMATCH(RawData_Dipro!$A$2:$A$389, ""(?i)"" &amp; $I$2 &amp; ""_zero_shot_gpt_description_complete""), 
  REGEXMATCH(RawData_Dipro!$A$2:$A$389, ""(?i)"" &amp; $I$2), REGEXMATCH(RawData_Dipro!$B$2:$B$389, ""(?i)"" &amp; $D$1), REGEX"&amp;"MATCH(RawData_Dipro!$A$2:$A$389, ""(?i)majority"")
)"),0.262286754789654)</f>
        <v>0.2622867548</v>
      </c>
      <c r="K25" s="56"/>
    </row>
    <row r="26">
      <c r="B26" s="4" t="s">
        <v>68</v>
      </c>
      <c r="C26" s="54">
        <f>IFERROR(__xludf.DUMMYFUNCTION("FILTER(RawData_Dipro!$C$2:$C$389, 
  REGEXMATCH(RawData_Dipro!$A$2:$A$389, ""(?i)"" &amp; $C$2 &amp; ""_zero_shot_gpt_description_complete""), 
  REGEXMATCH(RawData_Dipro!$A$2:$A$389, ""(?i)"" &amp; $C$2), REGEXMATCH(RawData_Dipro!$B$2:$B$389, ""(?i)"" &amp; $C$1), REGEX"&amp;"MATCH(RawData_Dipro!$A$2:$A$389, ""(?i)inclusion"")
)"),0.611749663625608)</f>
        <v>0.6117496636</v>
      </c>
      <c r="D26" s="55">
        <f>IFERROR(__xludf.DUMMYFUNCTION("FILTER(RawData_Dipro!$C$2:$C$389, 
  REGEXMATCH(RawData_Dipro!$A$2:$A$389, ""(?i)"" &amp; $C$2 &amp; ""_zero_shot_gpt_description_complete""), 
  REGEXMATCH(RawData_Dipro!$A$2:$A$389, ""(?i)"" &amp; $C$2), REGEXMATCH(RawData_Dipro!$B$2:$B$389, ""(?i)"" &amp; $D$1), REGEX"&amp;"MATCH(RawData_Dipro!$A$2:$A$389, ""(?i)inclusion"")
)"),0.593068381381541)</f>
        <v>0.5930683814</v>
      </c>
      <c r="E26" s="54">
        <f>IFERROR(__xludf.DUMMYFUNCTION("FILTER(RawData_Dipro!$C$2:$C$389, 
  REGEXMATCH(RawData_Dipro!$A$2:$A$389, ""(?i)"" &amp; $E$2 &amp; ""_zero_shot_gpt_description_complete""), 
  REGEXMATCH(RawData_Dipro!$A$2:$A$389, ""(?i)"" &amp; $E$2), REGEXMATCH(RawData_Dipro!$B$2:$B$389, ""(?i)"" &amp; $C$1), REGEX"&amp;"MATCH(RawData_Dipro!$A$2:$A$389, ""(?i)inclusion"")
)"),0.308453277816885)</f>
        <v>0.3084532778</v>
      </c>
      <c r="F26" s="55">
        <f>IFERROR(__xludf.DUMMYFUNCTION("FILTER(RawData_Dipro!$C$2:$C$389, 
  REGEXMATCH(RawData_Dipro!$A$2:$A$389, ""(?i)"" &amp; $E$2 &amp; ""_zero_shot_gpt_description_complete""), 
  REGEXMATCH(RawData_Dipro!$A$2:$A$389, ""(?i)"" &amp; $E$2), REGEXMATCH(RawData_Dipro!$B$2:$B$389, ""(?i)"" &amp; $D$1), REGEX"&amp;"MATCH(RawData_Dipro!$A$2:$A$389, ""(?i)inclusion"")
)"),0.392648747715705)</f>
        <v>0.3926487477</v>
      </c>
      <c r="G26" s="54">
        <f>IFERROR(__xludf.DUMMYFUNCTION("FILTER(RawData_Dipro!$C$2:$C$389, 
  REGEXMATCH(RawData_Dipro!$A$2:$A$389, ""(?i)"" &amp; $G$2 &amp; ""_zero_shot_gpt_description_complete""), 
  REGEXMATCH(RawData_Dipro!$A$2:$A$389, ""(?i)"" &amp; $G$2), REGEXMATCH(RawData_Dipro!$B$2:$B$389, ""(?i)"" &amp; $C$1), REGEX"&amp;"MATCH(RawData_Dipro!$A$2:$A$389, ""(?i)inclusion"")
)"),0.448670629551751)</f>
        <v>0.4486706296</v>
      </c>
      <c r="H26" s="55">
        <f>IFERROR(__xludf.DUMMYFUNCTION("FILTER(RawData_Dipro!$C$2:$C$389, 
  REGEXMATCH(RawData_Dipro!$A$2:$A$389, ""(?i)"" &amp; $G$2 &amp; ""_zero_shot_gpt_description_complete""), 
  REGEXMATCH(RawData_Dipro!$A$2:$A$389, ""(?i)"" &amp; $G$2), REGEXMATCH(RawData_Dipro!$B$2:$B$389, ""(?i)"" &amp; $D$1), REGEX"&amp;"MATCH(RawData_Dipro!$A$2:$A$389, ""(?i)inclusion"")
)"),0.425797961990857)</f>
        <v>0.425797962</v>
      </c>
      <c r="I26" s="54">
        <f>IFERROR(__xludf.DUMMYFUNCTION("FILTER(RawData_Dipro!$C$2:$C$389, 
  REGEXMATCH(RawData_Dipro!$A$2:$A$389, ""(?i)"" &amp; $I$2 &amp; ""_zero_shot_gpt_description_complete""), 
  REGEXMATCH(RawData_Dipro!$A$2:$A$389, ""(?i)"" &amp; $I$2), REGEXMATCH(RawData_Dipro!$B$2:$B$389, ""(?i)"" &amp; $C$1), REGEX"&amp;"MATCH(RawData_Dipro!$A$2:$A$389, ""(?i)inclusion"")
)"),0.276071165635297)</f>
        <v>0.2760711656</v>
      </c>
      <c r="J26" s="55">
        <f>IFERROR(__xludf.DUMMYFUNCTION("FILTER(RawData_Dipro!$C$2:$C$389, 
  REGEXMATCH(RawData_Dipro!$A$2:$A$389, ""(?i)"" &amp; $I$2 &amp; ""_zero_shot_gpt_description_complete""), 
  REGEXMATCH(RawData_Dipro!$A$2:$A$389, ""(?i)"" &amp; $I$2), REGEXMATCH(RawData_Dipro!$B$2:$B$389, ""(?i)"" &amp; $D$1), REGEX"&amp;"MATCH(RawData_Dipro!$A$2:$A$389, ""(?i)inclusion"")
)"),0.323864119495523)</f>
        <v>0.3238641195</v>
      </c>
      <c r="K26" s="56"/>
    </row>
    <row r="27">
      <c r="C27" s="56"/>
      <c r="E27" s="56"/>
      <c r="G27" s="56"/>
      <c r="I27" s="56"/>
      <c r="K27" s="56"/>
    </row>
    <row r="28">
      <c r="B28" s="59" t="s">
        <v>83</v>
      </c>
      <c r="C28" s="60">
        <f t="shared" ref="C28:J28" si="9">AVERAGE(C3-C4,C6-C7,C9-C10,C12-C13,C15-C16,C18-C19,C21-C22,C24-C25)</f>
        <v>-0.003243926142</v>
      </c>
      <c r="D28" s="60">
        <f t="shared" si="9"/>
        <v>-0.004055829199</v>
      </c>
      <c r="E28" s="60">
        <f t="shared" si="9"/>
        <v>-0.0005776684635</v>
      </c>
      <c r="F28" s="60">
        <f t="shared" si="9"/>
        <v>-0.001282269145</v>
      </c>
      <c r="G28" s="60">
        <f t="shared" si="9"/>
        <v>-0.02815095978</v>
      </c>
      <c r="H28" s="60">
        <f t="shared" si="9"/>
        <v>-0.02266188844</v>
      </c>
      <c r="I28" s="60">
        <f t="shared" si="9"/>
        <v>0.006237109288</v>
      </c>
      <c r="J28" s="60">
        <f t="shared" si="9"/>
        <v>0.001366246764</v>
      </c>
      <c r="K28" s="56"/>
    </row>
    <row r="29">
      <c r="B29" s="61"/>
      <c r="C29" s="60">
        <f>AVERAGE(C28:D28)</f>
        <v>-0.00364987767</v>
      </c>
      <c r="D29" s="62"/>
      <c r="E29" s="60">
        <f>AVERAGE(E28:F28)</f>
        <v>-0.0009299688042</v>
      </c>
      <c r="F29" s="62"/>
      <c r="G29" s="60">
        <f>AVERAGE(G28:H28)</f>
        <v>-0.02540642411</v>
      </c>
      <c r="H29" s="62"/>
      <c r="I29" s="60">
        <f>AVERAGE(I28:J28)</f>
        <v>0.003801678026</v>
      </c>
      <c r="J29" s="62"/>
      <c r="K29" s="56"/>
    </row>
    <row r="30">
      <c r="B30" s="59" t="s">
        <v>84</v>
      </c>
      <c r="C30" s="60">
        <f t="shared" ref="C30:J30" si="10">AVERAGE(C3-C5,C6-C8,C9-C11,C12-C14,C15-C17,C18-C20,C21-C23,C24-C26)</f>
        <v>0.01492606031</v>
      </c>
      <c r="D30" s="60">
        <f t="shared" si="10"/>
        <v>0.0145092847</v>
      </c>
      <c r="E30" s="60">
        <f t="shared" si="10"/>
        <v>0.001846070957</v>
      </c>
      <c r="F30" s="60">
        <f t="shared" si="10"/>
        <v>0.004140382487</v>
      </c>
      <c r="G30" s="60">
        <f t="shared" si="10"/>
        <v>0.03456192144</v>
      </c>
      <c r="H30" s="60">
        <f t="shared" si="10"/>
        <v>0.02861680732</v>
      </c>
      <c r="I30" s="60">
        <f t="shared" si="10"/>
        <v>-0.03886839221</v>
      </c>
      <c r="J30" s="60">
        <f t="shared" si="10"/>
        <v>-0.03126998249</v>
      </c>
      <c r="K30" s="56"/>
    </row>
    <row r="31">
      <c r="B31" s="62"/>
      <c r="C31" s="60">
        <f>AVERAGE(C30,D30)</f>
        <v>0.0147176725</v>
      </c>
      <c r="D31" s="62"/>
      <c r="E31" s="60">
        <f>AVERAGE(E30,F30)</f>
        <v>0.002993226722</v>
      </c>
      <c r="F31" s="62"/>
      <c r="G31" s="60">
        <f>AVERAGE(G30,H30)</f>
        <v>0.03158936438</v>
      </c>
      <c r="H31" s="62"/>
      <c r="I31" s="60">
        <f>AVERAGE(I30,J30)</f>
        <v>-0.03506918735</v>
      </c>
      <c r="J31" s="62"/>
      <c r="K31" s="56"/>
    </row>
    <row r="32">
      <c r="C32" s="56"/>
      <c r="E32" s="56"/>
      <c r="G32" s="56"/>
      <c r="I32" s="56"/>
      <c r="K32" s="56"/>
    </row>
    <row r="33">
      <c r="C33" s="56"/>
      <c r="E33" s="56"/>
      <c r="G33" s="56"/>
      <c r="I33" s="56"/>
      <c r="K33" s="56"/>
    </row>
    <row r="34">
      <c r="C34" s="56"/>
      <c r="E34" s="56"/>
      <c r="G34" s="56"/>
      <c r="I34" s="56"/>
      <c r="K34" s="56"/>
    </row>
    <row r="35">
      <c r="C35" s="56"/>
      <c r="E35" s="56"/>
      <c r="G35" s="56"/>
      <c r="I35" s="56"/>
      <c r="K35" s="56"/>
    </row>
    <row r="36">
      <c r="C36" s="56"/>
      <c r="E36" s="56"/>
      <c r="G36" s="56"/>
      <c r="I36" s="56"/>
      <c r="K36" s="56"/>
    </row>
    <row r="37">
      <c r="C37" s="56"/>
      <c r="E37" s="56"/>
      <c r="G37" s="56"/>
      <c r="I37" s="56"/>
      <c r="K37" s="56"/>
    </row>
    <row r="38">
      <c r="C38" s="56"/>
      <c r="E38" s="56"/>
      <c r="G38" s="56"/>
      <c r="I38" s="56"/>
      <c r="K38" s="56"/>
    </row>
    <row r="39">
      <c r="C39" s="56"/>
      <c r="E39" s="56"/>
      <c r="G39" s="56"/>
      <c r="I39" s="56"/>
      <c r="K39" s="56"/>
    </row>
    <row r="40">
      <c r="C40" s="56"/>
      <c r="E40" s="56"/>
      <c r="G40" s="56"/>
      <c r="I40" s="56"/>
      <c r="K40" s="56"/>
    </row>
    <row r="41">
      <c r="C41" s="56"/>
      <c r="E41" s="56"/>
      <c r="G41" s="56"/>
      <c r="I41" s="56"/>
      <c r="K41" s="56"/>
    </row>
    <row r="42">
      <c r="C42" s="56"/>
      <c r="E42" s="56"/>
      <c r="G42" s="56"/>
      <c r="I42" s="56"/>
      <c r="K42" s="56"/>
    </row>
    <row r="43">
      <c r="C43" s="56"/>
      <c r="E43" s="56"/>
      <c r="G43" s="56"/>
      <c r="I43" s="56"/>
      <c r="K43" s="56"/>
    </row>
    <row r="44">
      <c r="C44" s="56"/>
      <c r="E44" s="56"/>
      <c r="G44" s="56"/>
      <c r="I44" s="56"/>
      <c r="K44" s="56"/>
    </row>
    <row r="45">
      <c r="C45" s="56"/>
      <c r="E45" s="56"/>
      <c r="G45" s="56"/>
      <c r="I45" s="56"/>
      <c r="K45" s="56"/>
    </row>
    <row r="46">
      <c r="C46" s="56"/>
      <c r="E46" s="56"/>
      <c r="G46" s="56"/>
      <c r="I46" s="56"/>
      <c r="K46" s="56"/>
    </row>
    <row r="47">
      <c r="C47" s="56"/>
      <c r="E47" s="56"/>
      <c r="G47" s="56"/>
      <c r="I47" s="56"/>
      <c r="K47" s="56"/>
    </row>
    <row r="48">
      <c r="C48" s="56"/>
      <c r="E48" s="56"/>
      <c r="G48" s="56"/>
      <c r="I48" s="56"/>
      <c r="K48" s="56"/>
    </row>
    <row r="49">
      <c r="C49" s="56"/>
      <c r="E49" s="56"/>
      <c r="G49" s="56"/>
      <c r="I49" s="56"/>
      <c r="K49" s="56"/>
    </row>
    <row r="50">
      <c r="C50" s="56"/>
      <c r="E50" s="56"/>
      <c r="G50" s="56"/>
      <c r="I50" s="56"/>
      <c r="K50" s="56"/>
    </row>
    <row r="51">
      <c r="C51" s="56"/>
      <c r="E51" s="56"/>
      <c r="G51" s="56"/>
      <c r="I51" s="56"/>
      <c r="K51" s="56"/>
    </row>
    <row r="52">
      <c r="C52" s="56"/>
      <c r="E52" s="56"/>
      <c r="G52" s="56"/>
      <c r="I52" s="56"/>
      <c r="K52" s="56"/>
    </row>
    <row r="53">
      <c r="C53" s="56"/>
      <c r="E53" s="56"/>
      <c r="G53" s="56"/>
      <c r="I53" s="56"/>
      <c r="K53" s="56"/>
    </row>
    <row r="54">
      <c r="C54" s="56"/>
      <c r="E54" s="56"/>
      <c r="G54" s="56"/>
      <c r="I54" s="56"/>
      <c r="K54" s="56"/>
    </row>
    <row r="55">
      <c r="C55" s="56"/>
      <c r="E55" s="56"/>
      <c r="G55" s="56"/>
      <c r="I55" s="56"/>
      <c r="K55" s="56"/>
    </row>
    <row r="56">
      <c r="C56" s="56"/>
      <c r="E56" s="56"/>
      <c r="G56" s="56"/>
      <c r="I56" s="56"/>
      <c r="K56" s="56"/>
    </row>
    <row r="57">
      <c r="C57" s="56"/>
      <c r="E57" s="56"/>
      <c r="G57" s="56"/>
      <c r="I57" s="56"/>
      <c r="K57" s="56"/>
    </row>
    <row r="58">
      <c r="C58" s="56"/>
      <c r="E58" s="56"/>
      <c r="G58" s="56"/>
      <c r="I58" s="56"/>
      <c r="K58" s="56"/>
    </row>
    <row r="59">
      <c r="C59" s="56"/>
      <c r="E59" s="56"/>
      <c r="G59" s="56"/>
      <c r="I59" s="56"/>
      <c r="K59" s="56"/>
    </row>
    <row r="60">
      <c r="C60" s="56"/>
      <c r="E60" s="56"/>
      <c r="G60" s="56"/>
      <c r="I60" s="56"/>
      <c r="K60" s="56"/>
    </row>
    <row r="61">
      <c r="C61" s="56"/>
      <c r="E61" s="56"/>
      <c r="G61" s="56"/>
      <c r="I61" s="56"/>
      <c r="K61" s="56"/>
    </row>
    <row r="62">
      <c r="C62" s="56"/>
      <c r="E62" s="56"/>
      <c r="G62" s="56"/>
      <c r="I62" s="56"/>
      <c r="K62" s="56"/>
    </row>
    <row r="63">
      <c r="C63" s="56"/>
      <c r="E63" s="56"/>
      <c r="G63" s="56"/>
      <c r="I63" s="56"/>
      <c r="K63" s="56"/>
    </row>
    <row r="64">
      <c r="C64" s="56"/>
      <c r="E64" s="56"/>
      <c r="G64" s="56"/>
      <c r="I64" s="56"/>
      <c r="K64" s="56"/>
    </row>
    <row r="65">
      <c r="C65" s="56"/>
      <c r="E65" s="56"/>
      <c r="G65" s="56"/>
      <c r="I65" s="56"/>
      <c r="K65" s="56"/>
    </row>
    <row r="66">
      <c r="C66" s="56"/>
      <c r="E66" s="56"/>
      <c r="G66" s="56"/>
      <c r="I66" s="56"/>
      <c r="K66" s="56"/>
    </row>
    <row r="67">
      <c r="C67" s="56"/>
      <c r="E67" s="56"/>
      <c r="G67" s="56"/>
      <c r="I67" s="56"/>
      <c r="K67" s="56"/>
    </row>
    <row r="68">
      <c r="C68" s="56"/>
      <c r="E68" s="56"/>
      <c r="G68" s="56"/>
      <c r="I68" s="56"/>
      <c r="K68" s="56"/>
    </row>
    <row r="69">
      <c r="C69" s="56"/>
      <c r="E69" s="56"/>
      <c r="G69" s="56"/>
      <c r="I69" s="56"/>
      <c r="K69" s="56"/>
    </row>
    <row r="70">
      <c r="C70" s="56"/>
      <c r="E70" s="56"/>
      <c r="G70" s="56"/>
      <c r="I70" s="56"/>
      <c r="K70" s="56"/>
    </row>
    <row r="71">
      <c r="C71" s="56"/>
      <c r="E71" s="56"/>
      <c r="G71" s="56"/>
      <c r="I71" s="56"/>
      <c r="K71" s="56"/>
    </row>
    <row r="72">
      <c r="C72" s="56"/>
      <c r="E72" s="56"/>
      <c r="G72" s="56"/>
      <c r="I72" s="56"/>
      <c r="K72" s="56"/>
    </row>
    <row r="73">
      <c r="C73" s="56"/>
      <c r="E73" s="56"/>
      <c r="G73" s="56"/>
      <c r="I73" s="56"/>
      <c r="K73" s="56"/>
    </row>
    <row r="74">
      <c r="C74" s="56"/>
      <c r="E74" s="56"/>
      <c r="G74" s="56"/>
      <c r="I74" s="56"/>
      <c r="K74" s="56"/>
    </row>
    <row r="75">
      <c r="C75" s="56"/>
      <c r="E75" s="56"/>
      <c r="G75" s="56"/>
      <c r="I75" s="56"/>
      <c r="K75" s="56"/>
    </row>
    <row r="76">
      <c r="C76" s="56"/>
      <c r="E76" s="56"/>
      <c r="G76" s="56"/>
      <c r="I76" s="56"/>
      <c r="K76" s="56"/>
    </row>
    <row r="77">
      <c r="C77" s="56"/>
      <c r="E77" s="56"/>
      <c r="G77" s="56"/>
      <c r="I77" s="56"/>
      <c r="K77" s="56"/>
    </row>
    <row r="78">
      <c r="C78" s="56"/>
      <c r="E78" s="56"/>
      <c r="G78" s="56"/>
      <c r="I78" s="56"/>
      <c r="K78" s="56"/>
    </row>
    <row r="79">
      <c r="C79" s="56"/>
      <c r="E79" s="56"/>
      <c r="G79" s="56"/>
      <c r="I79" s="56"/>
      <c r="K79" s="56"/>
    </row>
    <row r="80">
      <c r="C80" s="56"/>
      <c r="E80" s="56"/>
      <c r="G80" s="56"/>
      <c r="I80" s="56"/>
      <c r="K80" s="56"/>
    </row>
    <row r="81">
      <c r="C81" s="56"/>
      <c r="E81" s="56"/>
      <c r="G81" s="56"/>
      <c r="I81" s="56"/>
      <c r="K81" s="56"/>
    </row>
    <row r="82">
      <c r="C82" s="56"/>
      <c r="E82" s="56"/>
      <c r="G82" s="56"/>
      <c r="I82" s="56"/>
      <c r="K82" s="56"/>
    </row>
    <row r="83">
      <c r="C83" s="56"/>
      <c r="E83" s="56"/>
      <c r="G83" s="56"/>
      <c r="I83" s="56"/>
      <c r="K83" s="56"/>
    </row>
    <row r="84">
      <c r="C84" s="56"/>
      <c r="E84" s="56"/>
      <c r="G84" s="56"/>
      <c r="I84" s="56"/>
      <c r="K84" s="56"/>
    </row>
    <row r="85">
      <c r="C85" s="56"/>
      <c r="E85" s="56"/>
      <c r="G85" s="56"/>
      <c r="I85" s="56"/>
      <c r="K85" s="56"/>
    </row>
    <row r="86">
      <c r="C86" s="56"/>
      <c r="E86" s="56"/>
      <c r="G86" s="56"/>
      <c r="I86" s="56"/>
      <c r="K86" s="56"/>
    </row>
    <row r="87">
      <c r="C87" s="56"/>
      <c r="E87" s="56"/>
      <c r="G87" s="56"/>
      <c r="I87" s="56"/>
      <c r="K87" s="56"/>
    </row>
    <row r="88">
      <c r="C88" s="56"/>
      <c r="E88" s="56"/>
      <c r="G88" s="56"/>
      <c r="I88" s="56"/>
      <c r="K88" s="56"/>
    </row>
    <row r="89">
      <c r="C89" s="56"/>
      <c r="E89" s="56"/>
      <c r="G89" s="56"/>
      <c r="I89" s="56"/>
      <c r="K89" s="56"/>
    </row>
    <row r="90">
      <c r="C90" s="56"/>
      <c r="E90" s="56"/>
      <c r="G90" s="56"/>
      <c r="I90" s="56"/>
      <c r="K90" s="56"/>
    </row>
    <row r="91">
      <c r="C91" s="56"/>
      <c r="E91" s="56"/>
      <c r="G91" s="56"/>
      <c r="I91" s="56"/>
      <c r="K91" s="56"/>
    </row>
    <row r="92">
      <c r="C92" s="56"/>
      <c r="E92" s="56"/>
      <c r="G92" s="56"/>
      <c r="I92" s="56"/>
      <c r="K92" s="56"/>
    </row>
    <row r="93">
      <c r="C93" s="56"/>
      <c r="E93" s="56"/>
      <c r="G93" s="56"/>
      <c r="I93" s="56"/>
      <c r="K93" s="56"/>
    </row>
    <row r="94">
      <c r="C94" s="56"/>
      <c r="E94" s="56"/>
      <c r="G94" s="56"/>
      <c r="I94" s="56"/>
      <c r="K94" s="56"/>
    </row>
    <row r="95">
      <c r="C95" s="56"/>
      <c r="E95" s="56"/>
      <c r="G95" s="56"/>
      <c r="I95" s="56"/>
      <c r="K95" s="56"/>
    </row>
    <row r="96">
      <c r="C96" s="56"/>
      <c r="E96" s="56"/>
      <c r="G96" s="56"/>
      <c r="I96" s="56"/>
      <c r="K96" s="56"/>
    </row>
    <row r="97">
      <c r="C97" s="56"/>
      <c r="E97" s="56"/>
      <c r="G97" s="56"/>
      <c r="I97" s="56"/>
      <c r="K97" s="56"/>
    </row>
    <row r="98">
      <c r="C98" s="56"/>
      <c r="E98" s="56"/>
      <c r="G98" s="56"/>
      <c r="I98" s="56"/>
      <c r="K98" s="56"/>
    </row>
    <row r="99">
      <c r="C99" s="56"/>
      <c r="E99" s="56"/>
      <c r="G99" s="56"/>
      <c r="I99" s="56"/>
      <c r="K99" s="56"/>
    </row>
    <row r="100">
      <c r="C100" s="56"/>
      <c r="E100" s="56"/>
      <c r="G100" s="56"/>
      <c r="I100" s="56"/>
      <c r="K100" s="56"/>
    </row>
    <row r="101">
      <c r="C101" s="56"/>
      <c r="E101" s="56"/>
      <c r="G101" s="56"/>
      <c r="I101" s="56"/>
      <c r="K101" s="56"/>
    </row>
    <row r="102">
      <c r="C102" s="56"/>
      <c r="E102" s="56"/>
      <c r="G102" s="56"/>
      <c r="I102" s="56"/>
      <c r="K102" s="56"/>
    </row>
    <row r="103">
      <c r="C103" s="56"/>
      <c r="E103" s="56"/>
      <c r="G103" s="56"/>
      <c r="I103" s="56"/>
      <c r="K103" s="56"/>
    </row>
    <row r="104">
      <c r="C104" s="56"/>
      <c r="E104" s="56"/>
      <c r="G104" s="56"/>
      <c r="I104" s="56"/>
      <c r="K104" s="56"/>
    </row>
    <row r="105">
      <c r="C105" s="56"/>
      <c r="E105" s="56"/>
      <c r="G105" s="56"/>
      <c r="I105" s="56"/>
      <c r="K105" s="56"/>
    </row>
    <row r="106">
      <c r="C106" s="56"/>
      <c r="E106" s="56"/>
      <c r="G106" s="56"/>
      <c r="I106" s="56"/>
      <c r="K106" s="56"/>
    </row>
    <row r="107">
      <c r="C107" s="56"/>
      <c r="E107" s="56"/>
      <c r="G107" s="56"/>
      <c r="I107" s="56"/>
      <c r="K107" s="56"/>
    </row>
    <row r="108">
      <c r="C108" s="56"/>
      <c r="E108" s="56"/>
      <c r="G108" s="56"/>
      <c r="I108" s="56"/>
      <c r="K108" s="56"/>
    </row>
    <row r="109">
      <c r="C109" s="56"/>
      <c r="E109" s="56"/>
      <c r="G109" s="56"/>
      <c r="I109" s="56"/>
      <c r="K109" s="56"/>
    </row>
    <row r="110">
      <c r="C110" s="56"/>
      <c r="E110" s="56"/>
      <c r="G110" s="56"/>
      <c r="I110" s="56"/>
      <c r="K110" s="56"/>
    </row>
    <row r="111">
      <c r="C111" s="56"/>
      <c r="E111" s="56"/>
      <c r="G111" s="56"/>
      <c r="I111" s="56"/>
      <c r="K111" s="56"/>
    </row>
    <row r="112">
      <c r="C112" s="56"/>
      <c r="E112" s="56"/>
      <c r="G112" s="56"/>
      <c r="I112" s="56"/>
      <c r="K112" s="56"/>
    </row>
    <row r="113">
      <c r="C113" s="56"/>
      <c r="E113" s="56"/>
      <c r="G113" s="56"/>
      <c r="I113" s="56"/>
      <c r="K113" s="56"/>
    </row>
    <row r="114">
      <c r="C114" s="56"/>
      <c r="E114" s="56"/>
      <c r="G114" s="56"/>
      <c r="I114" s="56"/>
      <c r="K114" s="56"/>
    </row>
    <row r="115">
      <c r="C115" s="56"/>
      <c r="E115" s="56"/>
      <c r="G115" s="56"/>
      <c r="I115" s="56"/>
      <c r="K115" s="56"/>
    </row>
    <row r="116">
      <c r="C116" s="56"/>
      <c r="E116" s="56"/>
      <c r="G116" s="56"/>
      <c r="I116" s="56"/>
      <c r="K116" s="56"/>
    </row>
    <row r="117">
      <c r="C117" s="56"/>
      <c r="E117" s="56"/>
      <c r="G117" s="56"/>
      <c r="I117" s="56"/>
      <c r="K117" s="56"/>
    </row>
    <row r="118">
      <c r="C118" s="56"/>
      <c r="E118" s="56"/>
      <c r="G118" s="56"/>
      <c r="I118" s="56"/>
      <c r="K118" s="56"/>
    </row>
    <row r="119">
      <c r="C119" s="56"/>
      <c r="E119" s="56"/>
      <c r="G119" s="56"/>
      <c r="I119" s="56"/>
      <c r="K119" s="56"/>
    </row>
    <row r="120">
      <c r="C120" s="56"/>
      <c r="E120" s="56"/>
      <c r="G120" s="56"/>
      <c r="I120" s="56"/>
      <c r="K120" s="56"/>
    </row>
    <row r="121">
      <c r="C121" s="56"/>
      <c r="E121" s="56"/>
      <c r="G121" s="56"/>
      <c r="I121" s="56"/>
      <c r="K121" s="56"/>
    </row>
    <row r="122">
      <c r="C122" s="56"/>
      <c r="E122" s="56"/>
      <c r="G122" s="56"/>
      <c r="I122" s="56"/>
      <c r="K122" s="56"/>
    </row>
    <row r="123">
      <c r="C123" s="56"/>
      <c r="E123" s="56"/>
      <c r="G123" s="56"/>
      <c r="I123" s="56"/>
      <c r="K123" s="56"/>
    </row>
    <row r="124">
      <c r="C124" s="56"/>
      <c r="E124" s="56"/>
      <c r="G124" s="56"/>
      <c r="I124" s="56"/>
      <c r="K124" s="56"/>
    </row>
    <row r="125">
      <c r="C125" s="56"/>
      <c r="E125" s="56"/>
      <c r="G125" s="56"/>
      <c r="I125" s="56"/>
      <c r="K125" s="56"/>
    </row>
    <row r="126">
      <c r="C126" s="56"/>
      <c r="E126" s="56"/>
      <c r="G126" s="56"/>
      <c r="I126" s="56"/>
      <c r="K126" s="56"/>
    </row>
    <row r="127">
      <c r="C127" s="56"/>
      <c r="E127" s="56"/>
      <c r="G127" s="56"/>
      <c r="I127" s="56"/>
      <c r="K127" s="56"/>
    </row>
    <row r="128">
      <c r="C128" s="56"/>
      <c r="E128" s="56"/>
      <c r="G128" s="56"/>
      <c r="I128" s="56"/>
      <c r="K128" s="56"/>
    </row>
    <row r="129">
      <c r="C129" s="56"/>
      <c r="E129" s="56"/>
      <c r="G129" s="56"/>
      <c r="I129" s="56"/>
      <c r="K129" s="56"/>
    </row>
    <row r="130">
      <c r="C130" s="56"/>
      <c r="E130" s="56"/>
      <c r="G130" s="56"/>
      <c r="I130" s="56"/>
      <c r="K130" s="56"/>
    </row>
    <row r="131">
      <c r="C131" s="56"/>
      <c r="E131" s="56"/>
      <c r="G131" s="56"/>
      <c r="I131" s="56"/>
      <c r="K131" s="56"/>
    </row>
    <row r="132">
      <c r="C132" s="56"/>
      <c r="E132" s="56"/>
      <c r="G132" s="56"/>
      <c r="I132" s="56"/>
      <c r="K132" s="56"/>
    </row>
    <row r="133">
      <c r="C133" s="56"/>
      <c r="E133" s="56"/>
      <c r="G133" s="56"/>
      <c r="I133" s="56"/>
      <c r="K133" s="56"/>
    </row>
    <row r="134">
      <c r="C134" s="56"/>
      <c r="E134" s="56"/>
      <c r="G134" s="56"/>
      <c r="I134" s="56"/>
      <c r="K134" s="56"/>
    </row>
    <row r="135">
      <c r="C135" s="56"/>
      <c r="E135" s="56"/>
      <c r="G135" s="56"/>
      <c r="I135" s="56"/>
      <c r="K135" s="56"/>
    </row>
    <row r="136">
      <c r="C136" s="56"/>
      <c r="E136" s="56"/>
      <c r="G136" s="56"/>
      <c r="I136" s="56"/>
      <c r="K136" s="56"/>
    </row>
    <row r="137">
      <c r="C137" s="56"/>
      <c r="E137" s="56"/>
      <c r="G137" s="56"/>
      <c r="I137" s="56"/>
      <c r="K137" s="56"/>
    </row>
    <row r="138">
      <c r="C138" s="56"/>
      <c r="E138" s="56"/>
      <c r="G138" s="56"/>
      <c r="I138" s="56"/>
      <c r="K138" s="56"/>
    </row>
    <row r="139">
      <c r="C139" s="56"/>
      <c r="E139" s="56"/>
      <c r="G139" s="56"/>
      <c r="I139" s="56"/>
      <c r="K139" s="56"/>
    </row>
    <row r="140">
      <c r="C140" s="56"/>
      <c r="E140" s="56"/>
      <c r="G140" s="56"/>
      <c r="I140" s="56"/>
      <c r="K140" s="56"/>
    </row>
    <row r="141">
      <c r="C141" s="56"/>
      <c r="E141" s="56"/>
      <c r="G141" s="56"/>
      <c r="I141" s="56"/>
      <c r="K141" s="56"/>
    </row>
    <row r="142">
      <c r="C142" s="56"/>
      <c r="E142" s="56"/>
      <c r="G142" s="56"/>
      <c r="I142" s="56"/>
      <c r="K142" s="56"/>
    </row>
    <row r="143">
      <c r="C143" s="56"/>
      <c r="E143" s="56"/>
      <c r="G143" s="56"/>
      <c r="I143" s="56"/>
      <c r="K143" s="56"/>
    </row>
    <row r="144">
      <c r="C144" s="56"/>
      <c r="E144" s="56"/>
      <c r="G144" s="56"/>
      <c r="I144" s="56"/>
      <c r="K144" s="56"/>
    </row>
    <row r="145">
      <c r="C145" s="56"/>
      <c r="E145" s="56"/>
      <c r="G145" s="56"/>
      <c r="I145" s="56"/>
      <c r="K145" s="56"/>
    </row>
    <row r="146">
      <c r="C146" s="56"/>
      <c r="E146" s="56"/>
      <c r="G146" s="56"/>
      <c r="I146" s="56"/>
      <c r="K146" s="56"/>
    </row>
    <row r="147">
      <c r="C147" s="56"/>
      <c r="E147" s="56"/>
      <c r="G147" s="56"/>
      <c r="I147" s="56"/>
      <c r="K147" s="56"/>
    </row>
    <row r="148">
      <c r="C148" s="56"/>
      <c r="E148" s="56"/>
      <c r="G148" s="56"/>
      <c r="I148" s="56"/>
      <c r="K148" s="56"/>
    </row>
    <row r="149">
      <c r="C149" s="56"/>
      <c r="E149" s="56"/>
      <c r="G149" s="56"/>
      <c r="I149" s="56"/>
      <c r="K149" s="56"/>
    </row>
    <row r="150">
      <c r="C150" s="56"/>
      <c r="E150" s="56"/>
      <c r="G150" s="56"/>
      <c r="I150" s="56"/>
      <c r="K150" s="56"/>
    </row>
    <row r="151">
      <c r="C151" s="56"/>
      <c r="E151" s="56"/>
      <c r="G151" s="56"/>
      <c r="I151" s="56"/>
      <c r="K151" s="56"/>
    </row>
    <row r="152">
      <c r="C152" s="56"/>
      <c r="E152" s="56"/>
      <c r="G152" s="56"/>
      <c r="I152" s="56"/>
      <c r="K152" s="56"/>
    </row>
    <row r="153">
      <c r="C153" s="56"/>
      <c r="E153" s="56"/>
      <c r="G153" s="56"/>
      <c r="I153" s="56"/>
      <c r="K153" s="56"/>
    </row>
    <row r="154">
      <c r="C154" s="56"/>
      <c r="E154" s="56"/>
      <c r="G154" s="56"/>
      <c r="I154" s="56"/>
      <c r="K154" s="56"/>
    </row>
    <row r="155">
      <c r="C155" s="56"/>
      <c r="E155" s="56"/>
      <c r="G155" s="56"/>
      <c r="I155" s="56"/>
      <c r="K155" s="56"/>
    </row>
    <row r="156">
      <c r="C156" s="56"/>
      <c r="E156" s="56"/>
      <c r="G156" s="56"/>
      <c r="I156" s="56"/>
      <c r="K156" s="56"/>
    </row>
    <row r="157">
      <c r="C157" s="56"/>
      <c r="E157" s="56"/>
      <c r="G157" s="56"/>
      <c r="I157" s="56"/>
      <c r="K157" s="56"/>
    </row>
    <row r="158">
      <c r="C158" s="56"/>
      <c r="E158" s="56"/>
      <c r="G158" s="56"/>
      <c r="I158" s="56"/>
      <c r="K158" s="56"/>
    </row>
    <row r="159">
      <c r="C159" s="56"/>
      <c r="E159" s="56"/>
      <c r="G159" s="56"/>
      <c r="I159" s="56"/>
      <c r="K159" s="56"/>
    </row>
    <row r="160">
      <c r="C160" s="56"/>
      <c r="E160" s="56"/>
      <c r="G160" s="56"/>
      <c r="I160" s="56"/>
      <c r="K160" s="56"/>
    </row>
    <row r="161">
      <c r="C161" s="56"/>
      <c r="E161" s="56"/>
      <c r="G161" s="56"/>
      <c r="I161" s="56"/>
      <c r="K161" s="56"/>
    </row>
    <row r="162">
      <c r="C162" s="56"/>
      <c r="E162" s="56"/>
      <c r="G162" s="56"/>
      <c r="I162" s="56"/>
      <c r="K162" s="56"/>
    </row>
    <row r="163">
      <c r="C163" s="56"/>
      <c r="E163" s="56"/>
      <c r="G163" s="56"/>
      <c r="I163" s="56"/>
      <c r="K163" s="56"/>
    </row>
    <row r="164">
      <c r="C164" s="56"/>
      <c r="E164" s="56"/>
      <c r="G164" s="56"/>
      <c r="I164" s="56"/>
      <c r="K164" s="56"/>
    </row>
    <row r="165">
      <c r="C165" s="56"/>
      <c r="E165" s="56"/>
      <c r="G165" s="56"/>
      <c r="I165" s="56"/>
      <c r="K165" s="56"/>
    </row>
    <row r="166">
      <c r="C166" s="56"/>
      <c r="E166" s="56"/>
      <c r="G166" s="56"/>
      <c r="I166" s="56"/>
      <c r="K166" s="56"/>
    </row>
    <row r="167">
      <c r="C167" s="56"/>
      <c r="E167" s="56"/>
      <c r="G167" s="56"/>
      <c r="I167" s="56"/>
      <c r="K167" s="56"/>
    </row>
    <row r="168">
      <c r="C168" s="56"/>
      <c r="E168" s="56"/>
      <c r="G168" s="56"/>
      <c r="I168" s="56"/>
      <c r="K168" s="56"/>
    </row>
    <row r="169">
      <c r="C169" s="56"/>
      <c r="E169" s="56"/>
      <c r="G169" s="56"/>
      <c r="I169" s="56"/>
      <c r="K169" s="56"/>
    </row>
    <row r="170">
      <c r="C170" s="56"/>
      <c r="E170" s="56"/>
      <c r="G170" s="56"/>
      <c r="I170" s="56"/>
      <c r="K170" s="56"/>
    </row>
    <row r="171">
      <c r="C171" s="56"/>
      <c r="E171" s="56"/>
      <c r="G171" s="56"/>
      <c r="I171" s="56"/>
      <c r="K171" s="56"/>
    </row>
    <row r="172">
      <c r="C172" s="56"/>
      <c r="E172" s="56"/>
      <c r="G172" s="56"/>
      <c r="I172" s="56"/>
      <c r="K172" s="56"/>
    </row>
    <row r="173">
      <c r="C173" s="56"/>
      <c r="E173" s="56"/>
      <c r="G173" s="56"/>
      <c r="I173" s="56"/>
      <c r="K173" s="56"/>
    </row>
    <row r="174">
      <c r="C174" s="56"/>
      <c r="E174" s="56"/>
      <c r="G174" s="56"/>
      <c r="I174" s="56"/>
      <c r="K174" s="56"/>
    </row>
    <row r="175">
      <c r="C175" s="56"/>
      <c r="E175" s="56"/>
      <c r="G175" s="56"/>
      <c r="I175" s="56"/>
      <c r="K175" s="56"/>
    </row>
    <row r="176">
      <c r="C176" s="56"/>
      <c r="E176" s="56"/>
      <c r="G176" s="56"/>
      <c r="I176" s="56"/>
      <c r="K176" s="56"/>
    </row>
    <row r="177">
      <c r="C177" s="56"/>
      <c r="E177" s="56"/>
      <c r="G177" s="56"/>
      <c r="I177" s="56"/>
      <c r="K177" s="56"/>
    </row>
    <row r="178">
      <c r="C178" s="56"/>
      <c r="E178" s="56"/>
      <c r="G178" s="56"/>
      <c r="I178" s="56"/>
      <c r="K178" s="56"/>
    </row>
    <row r="179">
      <c r="C179" s="56"/>
      <c r="E179" s="56"/>
      <c r="G179" s="56"/>
      <c r="I179" s="56"/>
      <c r="K179" s="56"/>
    </row>
    <row r="180">
      <c r="C180" s="56"/>
      <c r="E180" s="56"/>
      <c r="G180" s="56"/>
      <c r="I180" s="56"/>
      <c r="K180" s="56"/>
    </row>
    <row r="181">
      <c r="C181" s="56"/>
      <c r="E181" s="56"/>
      <c r="G181" s="56"/>
      <c r="I181" s="56"/>
      <c r="K181" s="56"/>
    </row>
    <row r="182">
      <c r="C182" s="56"/>
      <c r="E182" s="56"/>
      <c r="G182" s="56"/>
      <c r="I182" s="56"/>
      <c r="K182" s="56"/>
    </row>
    <row r="183">
      <c r="C183" s="56"/>
      <c r="E183" s="56"/>
      <c r="G183" s="56"/>
      <c r="I183" s="56"/>
      <c r="K183" s="56"/>
    </row>
    <row r="184">
      <c r="C184" s="56"/>
      <c r="E184" s="56"/>
      <c r="G184" s="56"/>
      <c r="I184" s="56"/>
      <c r="K184" s="56"/>
    </row>
    <row r="185">
      <c r="C185" s="56"/>
      <c r="E185" s="56"/>
      <c r="G185" s="56"/>
      <c r="I185" s="56"/>
      <c r="K185" s="56"/>
    </row>
    <row r="186">
      <c r="C186" s="56"/>
      <c r="E186" s="56"/>
      <c r="G186" s="56"/>
      <c r="I186" s="56"/>
      <c r="K186" s="56"/>
    </row>
    <row r="187">
      <c r="C187" s="56"/>
      <c r="E187" s="56"/>
      <c r="G187" s="56"/>
      <c r="I187" s="56"/>
      <c r="K187" s="56"/>
    </row>
    <row r="188">
      <c r="C188" s="56"/>
      <c r="E188" s="56"/>
      <c r="G188" s="56"/>
      <c r="I188" s="56"/>
      <c r="K188" s="56"/>
    </row>
    <row r="189">
      <c r="C189" s="56"/>
      <c r="E189" s="56"/>
      <c r="G189" s="56"/>
      <c r="I189" s="56"/>
      <c r="K189" s="56"/>
    </row>
    <row r="190">
      <c r="C190" s="56"/>
      <c r="E190" s="56"/>
      <c r="G190" s="56"/>
      <c r="I190" s="56"/>
      <c r="K190" s="56"/>
    </row>
    <row r="191">
      <c r="C191" s="56"/>
      <c r="E191" s="56"/>
      <c r="G191" s="56"/>
      <c r="I191" s="56"/>
      <c r="K191" s="56"/>
    </row>
    <row r="192">
      <c r="C192" s="56"/>
      <c r="E192" s="56"/>
      <c r="G192" s="56"/>
      <c r="I192" s="56"/>
      <c r="K192" s="56"/>
    </row>
    <row r="193">
      <c r="C193" s="56"/>
      <c r="E193" s="56"/>
      <c r="G193" s="56"/>
      <c r="I193" s="56"/>
      <c r="K193" s="56"/>
    </row>
    <row r="194">
      <c r="C194" s="56"/>
      <c r="E194" s="56"/>
      <c r="G194" s="56"/>
      <c r="I194" s="56"/>
      <c r="K194" s="56"/>
    </row>
    <row r="195">
      <c r="C195" s="56"/>
      <c r="E195" s="56"/>
      <c r="G195" s="56"/>
      <c r="I195" s="56"/>
      <c r="K195" s="56"/>
    </row>
    <row r="196">
      <c r="C196" s="56"/>
      <c r="E196" s="56"/>
      <c r="G196" s="56"/>
      <c r="I196" s="56"/>
      <c r="K196" s="56"/>
    </row>
    <row r="197">
      <c r="C197" s="56"/>
      <c r="E197" s="56"/>
      <c r="G197" s="56"/>
      <c r="I197" s="56"/>
      <c r="K197" s="56"/>
    </row>
    <row r="198">
      <c r="C198" s="56"/>
      <c r="E198" s="56"/>
      <c r="G198" s="56"/>
      <c r="I198" s="56"/>
      <c r="K198" s="56"/>
    </row>
    <row r="199">
      <c r="C199" s="56"/>
      <c r="E199" s="56"/>
      <c r="G199" s="56"/>
      <c r="I199" s="56"/>
      <c r="K199" s="56"/>
    </row>
    <row r="200">
      <c r="C200" s="56"/>
      <c r="E200" s="56"/>
      <c r="G200" s="56"/>
      <c r="I200" s="56"/>
      <c r="K200" s="56"/>
    </row>
    <row r="201">
      <c r="C201" s="56"/>
      <c r="E201" s="56"/>
      <c r="G201" s="56"/>
      <c r="I201" s="56"/>
      <c r="K201" s="56"/>
    </row>
    <row r="202">
      <c r="C202" s="56"/>
      <c r="E202" s="56"/>
      <c r="G202" s="56"/>
      <c r="I202" s="56"/>
      <c r="K202" s="56"/>
    </row>
    <row r="203">
      <c r="C203" s="56"/>
      <c r="E203" s="56"/>
      <c r="G203" s="56"/>
      <c r="I203" s="56"/>
      <c r="K203" s="56"/>
    </row>
    <row r="204">
      <c r="C204" s="56"/>
      <c r="E204" s="56"/>
      <c r="G204" s="56"/>
      <c r="I204" s="56"/>
      <c r="K204" s="56"/>
    </row>
    <row r="205">
      <c r="C205" s="56"/>
      <c r="E205" s="56"/>
      <c r="G205" s="56"/>
      <c r="I205" s="56"/>
      <c r="K205" s="56"/>
    </row>
    <row r="206">
      <c r="C206" s="56"/>
      <c r="E206" s="56"/>
      <c r="G206" s="56"/>
      <c r="I206" s="56"/>
      <c r="K206" s="56"/>
    </row>
    <row r="207">
      <c r="C207" s="56"/>
      <c r="E207" s="56"/>
      <c r="G207" s="56"/>
      <c r="I207" s="56"/>
      <c r="K207" s="56"/>
    </row>
    <row r="208">
      <c r="C208" s="56"/>
      <c r="E208" s="56"/>
      <c r="G208" s="56"/>
      <c r="I208" s="56"/>
      <c r="K208" s="56"/>
    </row>
    <row r="209">
      <c r="C209" s="56"/>
      <c r="E209" s="56"/>
      <c r="G209" s="56"/>
      <c r="I209" s="56"/>
      <c r="K209" s="56"/>
    </row>
    <row r="210">
      <c r="C210" s="56"/>
      <c r="E210" s="56"/>
      <c r="G210" s="56"/>
      <c r="I210" s="56"/>
      <c r="K210" s="56"/>
    </row>
    <row r="211">
      <c r="C211" s="56"/>
      <c r="E211" s="56"/>
      <c r="G211" s="56"/>
      <c r="I211" s="56"/>
      <c r="K211" s="56"/>
    </row>
    <row r="212">
      <c r="C212" s="56"/>
      <c r="E212" s="56"/>
      <c r="G212" s="56"/>
      <c r="I212" s="56"/>
      <c r="K212" s="56"/>
    </row>
    <row r="213">
      <c r="C213" s="56"/>
      <c r="E213" s="56"/>
      <c r="G213" s="56"/>
      <c r="I213" s="56"/>
      <c r="K213" s="56"/>
    </row>
    <row r="214">
      <c r="C214" s="56"/>
      <c r="E214" s="56"/>
      <c r="G214" s="56"/>
      <c r="I214" s="56"/>
      <c r="K214" s="56"/>
    </row>
    <row r="215">
      <c r="C215" s="56"/>
      <c r="E215" s="56"/>
      <c r="G215" s="56"/>
      <c r="I215" s="56"/>
      <c r="K215" s="56"/>
    </row>
    <row r="216">
      <c r="C216" s="56"/>
      <c r="E216" s="56"/>
      <c r="G216" s="56"/>
      <c r="I216" s="56"/>
      <c r="K216" s="56"/>
    </row>
    <row r="217">
      <c r="C217" s="56"/>
      <c r="E217" s="56"/>
      <c r="G217" s="56"/>
      <c r="I217" s="56"/>
      <c r="K217" s="56"/>
    </row>
    <row r="218">
      <c r="C218" s="56"/>
      <c r="E218" s="56"/>
      <c r="G218" s="56"/>
      <c r="I218" s="56"/>
      <c r="K218" s="56"/>
    </row>
    <row r="219">
      <c r="C219" s="56"/>
      <c r="E219" s="56"/>
      <c r="G219" s="56"/>
      <c r="I219" s="56"/>
      <c r="K219" s="56"/>
    </row>
    <row r="220">
      <c r="C220" s="56"/>
      <c r="E220" s="56"/>
      <c r="G220" s="56"/>
      <c r="I220" s="56"/>
      <c r="K220" s="56"/>
    </row>
    <row r="221">
      <c r="C221" s="56"/>
      <c r="E221" s="56"/>
      <c r="G221" s="56"/>
      <c r="I221" s="56"/>
      <c r="K221" s="56"/>
    </row>
    <row r="222">
      <c r="C222" s="56"/>
      <c r="E222" s="56"/>
      <c r="G222" s="56"/>
      <c r="I222" s="56"/>
      <c r="K222" s="56"/>
    </row>
    <row r="223">
      <c r="C223" s="56"/>
      <c r="E223" s="56"/>
      <c r="G223" s="56"/>
      <c r="I223" s="56"/>
      <c r="K223" s="56"/>
    </row>
    <row r="224">
      <c r="C224" s="56"/>
      <c r="E224" s="56"/>
      <c r="G224" s="56"/>
      <c r="I224" s="56"/>
      <c r="K224" s="56"/>
    </row>
    <row r="225">
      <c r="C225" s="56"/>
      <c r="E225" s="56"/>
      <c r="G225" s="56"/>
      <c r="I225" s="56"/>
      <c r="K225" s="56"/>
    </row>
    <row r="226">
      <c r="C226" s="56"/>
      <c r="E226" s="56"/>
      <c r="G226" s="56"/>
      <c r="I226" s="56"/>
      <c r="K226" s="56"/>
    </row>
    <row r="227">
      <c r="C227" s="56"/>
      <c r="E227" s="56"/>
      <c r="G227" s="56"/>
      <c r="I227" s="56"/>
      <c r="K227" s="56"/>
    </row>
    <row r="228">
      <c r="C228" s="56"/>
      <c r="E228" s="56"/>
      <c r="G228" s="56"/>
      <c r="I228" s="56"/>
      <c r="K228" s="56"/>
    </row>
    <row r="229">
      <c r="C229" s="56"/>
      <c r="E229" s="56"/>
      <c r="G229" s="56"/>
      <c r="I229" s="56"/>
      <c r="K229" s="56"/>
    </row>
    <row r="230">
      <c r="C230" s="56"/>
      <c r="E230" s="56"/>
      <c r="G230" s="56"/>
      <c r="I230" s="56"/>
      <c r="K230" s="56"/>
    </row>
    <row r="231">
      <c r="C231" s="56"/>
      <c r="E231" s="56"/>
      <c r="G231" s="56"/>
      <c r="I231" s="56"/>
      <c r="K231" s="56"/>
    </row>
    <row r="232">
      <c r="C232" s="56"/>
      <c r="E232" s="56"/>
      <c r="G232" s="56"/>
      <c r="I232" s="56"/>
      <c r="K232" s="56"/>
    </row>
    <row r="233">
      <c r="C233" s="56"/>
      <c r="E233" s="56"/>
      <c r="G233" s="56"/>
      <c r="I233" s="56"/>
      <c r="K233" s="56"/>
    </row>
    <row r="234">
      <c r="C234" s="56"/>
      <c r="E234" s="56"/>
      <c r="G234" s="56"/>
      <c r="I234" s="56"/>
      <c r="K234" s="56"/>
    </row>
    <row r="235">
      <c r="C235" s="56"/>
      <c r="E235" s="56"/>
      <c r="G235" s="56"/>
      <c r="I235" s="56"/>
      <c r="K235" s="56"/>
    </row>
    <row r="236">
      <c r="C236" s="56"/>
      <c r="E236" s="56"/>
      <c r="G236" s="56"/>
      <c r="I236" s="56"/>
      <c r="K236" s="56"/>
    </row>
    <row r="237">
      <c r="C237" s="56"/>
      <c r="E237" s="56"/>
      <c r="G237" s="56"/>
      <c r="I237" s="56"/>
      <c r="K237" s="56"/>
    </row>
    <row r="238">
      <c r="C238" s="56"/>
      <c r="E238" s="56"/>
      <c r="G238" s="56"/>
      <c r="I238" s="56"/>
      <c r="K238" s="56"/>
    </row>
    <row r="239">
      <c r="C239" s="56"/>
      <c r="E239" s="56"/>
      <c r="G239" s="56"/>
      <c r="I239" s="56"/>
      <c r="K239" s="56"/>
    </row>
    <row r="240">
      <c r="C240" s="56"/>
      <c r="E240" s="56"/>
      <c r="G240" s="56"/>
      <c r="I240" s="56"/>
      <c r="K240" s="56"/>
    </row>
    <row r="241">
      <c r="C241" s="56"/>
      <c r="E241" s="56"/>
      <c r="G241" s="56"/>
      <c r="I241" s="56"/>
      <c r="K241" s="56"/>
    </row>
    <row r="242">
      <c r="C242" s="56"/>
      <c r="E242" s="56"/>
      <c r="G242" s="56"/>
      <c r="I242" s="56"/>
      <c r="K242" s="56"/>
    </row>
    <row r="243">
      <c r="C243" s="56"/>
      <c r="E243" s="56"/>
      <c r="G243" s="56"/>
      <c r="I243" s="56"/>
      <c r="K243" s="56"/>
    </row>
    <row r="244">
      <c r="C244" s="56"/>
      <c r="E244" s="56"/>
      <c r="G244" s="56"/>
      <c r="I244" s="56"/>
      <c r="K244" s="56"/>
    </row>
    <row r="245">
      <c r="C245" s="56"/>
      <c r="E245" s="56"/>
      <c r="G245" s="56"/>
      <c r="I245" s="56"/>
      <c r="K245" s="56"/>
    </row>
    <row r="246">
      <c r="C246" s="56"/>
      <c r="E246" s="56"/>
      <c r="G246" s="56"/>
      <c r="I246" s="56"/>
      <c r="K246" s="56"/>
    </row>
    <row r="247">
      <c r="C247" s="56"/>
      <c r="E247" s="56"/>
      <c r="G247" s="56"/>
      <c r="I247" s="56"/>
      <c r="K247" s="56"/>
    </row>
    <row r="248">
      <c r="C248" s="56"/>
      <c r="E248" s="56"/>
      <c r="G248" s="56"/>
      <c r="I248" s="56"/>
      <c r="K248" s="56"/>
    </row>
    <row r="249">
      <c r="C249" s="56"/>
      <c r="E249" s="56"/>
      <c r="G249" s="56"/>
      <c r="I249" s="56"/>
      <c r="K249" s="56"/>
    </row>
    <row r="250">
      <c r="C250" s="56"/>
      <c r="E250" s="56"/>
      <c r="G250" s="56"/>
      <c r="I250" s="56"/>
      <c r="K250" s="56"/>
    </row>
    <row r="251">
      <c r="C251" s="56"/>
      <c r="E251" s="56"/>
      <c r="G251" s="56"/>
      <c r="I251" s="56"/>
      <c r="K251" s="56"/>
    </row>
    <row r="252">
      <c r="C252" s="56"/>
      <c r="E252" s="56"/>
      <c r="G252" s="56"/>
      <c r="I252" s="56"/>
      <c r="K252" s="56"/>
    </row>
    <row r="253">
      <c r="C253" s="56"/>
      <c r="E253" s="56"/>
      <c r="G253" s="56"/>
      <c r="I253" s="56"/>
      <c r="K253" s="56"/>
    </row>
    <row r="254">
      <c r="C254" s="56"/>
      <c r="E254" s="56"/>
      <c r="G254" s="56"/>
      <c r="I254" s="56"/>
      <c r="K254" s="56"/>
    </row>
    <row r="255">
      <c r="C255" s="56"/>
      <c r="E255" s="56"/>
      <c r="G255" s="56"/>
      <c r="I255" s="56"/>
      <c r="K255" s="56"/>
    </row>
    <row r="256">
      <c r="C256" s="56"/>
      <c r="E256" s="56"/>
      <c r="G256" s="56"/>
      <c r="I256" s="56"/>
      <c r="K256" s="56"/>
    </row>
    <row r="257">
      <c r="C257" s="56"/>
      <c r="E257" s="56"/>
      <c r="G257" s="56"/>
      <c r="I257" s="56"/>
      <c r="K257" s="56"/>
    </row>
    <row r="258">
      <c r="C258" s="56"/>
      <c r="E258" s="56"/>
      <c r="G258" s="56"/>
      <c r="I258" s="56"/>
      <c r="K258" s="56"/>
    </row>
    <row r="259">
      <c r="C259" s="56"/>
      <c r="E259" s="56"/>
      <c r="G259" s="56"/>
      <c r="I259" s="56"/>
      <c r="K259" s="56"/>
    </row>
    <row r="260">
      <c r="C260" s="56"/>
      <c r="E260" s="56"/>
      <c r="G260" s="56"/>
      <c r="I260" s="56"/>
      <c r="K260" s="56"/>
    </row>
    <row r="261">
      <c r="C261" s="56"/>
      <c r="E261" s="56"/>
      <c r="G261" s="56"/>
      <c r="I261" s="56"/>
      <c r="K261" s="56"/>
    </row>
    <row r="262">
      <c r="C262" s="56"/>
      <c r="E262" s="56"/>
      <c r="G262" s="56"/>
      <c r="I262" s="56"/>
      <c r="K262" s="56"/>
    </row>
    <row r="263">
      <c r="C263" s="56"/>
      <c r="E263" s="56"/>
      <c r="G263" s="56"/>
      <c r="I263" s="56"/>
      <c r="K263" s="56"/>
    </row>
    <row r="264">
      <c r="C264" s="56"/>
      <c r="E264" s="56"/>
      <c r="G264" s="56"/>
      <c r="I264" s="56"/>
      <c r="K264" s="56"/>
    </row>
    <row r="265">
      <c r="C265" s="56"/>
      <c r="E265" s="56"/>
      <c r="G265" s="56"/>
      <c r="I265" s="56"/>
      <c r="K265" s="56"/>
    </row>
    <row r="266">
      <c r="C266" s="56"/>
      <c r="E266" s="56"/>
      <c r="G266" s="56"/>
      <c r="I266" s="56"/>
      <c r="K266" s="56"/>
    </row>
    <row r="267">
      <c r="C267" s="56"/>
      <c r="E267" s="56"/>
      <c r="G267" s="56"/>
      <c r="I267" s="56"/>
      <c r="K267" s="56"/>
    </row>
    <row r="268">
      <c r="C268" s="56"/>
      <c r="E268" s="56"/>
      <c r="G268" s="56"/>
      <c r="I268" s="56"/>
      <c r="K268" s="56"/>
    </row>
    <row r="269">
      <c r="C269" s="56"/>
      <c r="E269" s="56"/>
      <c r="G269" s="56"/>
      <c r="I269" s="56"/>
      <c r="K269" s="56"/>
    </row>
    <row r="270">
      <c r="C270" s="56"/>
      <c r="E270" s="56"/>
      <c r="G270" s="56"/>
      <c r="I270" s="56"/>
      <c r="K270" s="56"/>
    </row>
    <row r="271">
      <c r="C271" s="56"/>
      <c r="E271" s="56"/>
      <c r="G271" s="56"/>
      <c r="I271" s="56"/>
      <c r="K271" s="56"/>
    </row>
    <row r="272">
      <c r="C272" s="56"/>
      <c r="E272" s="56"/>
      <c r="G272" s="56"/>
      <c r="I272" s="56"/>
      <c r="K272" s="56"/>
    </row>
    <row r="273">
      <c r="C273" s="56"/>
      <c r="E273" s="56"/>
      <c r="G273" s="56"/>
      <c r="I273" s="56"/>
      <c r="K273" s="56"/>
    </row>
    <row r="274">
      <c r="C274" s="56"/>
      <c r="E274" s="56"/>
      <c r="G274" s="56"/>
      <c r="I274" s="56"/>
      <c r="K274" s="56"/>
    </row>
    <row r="275">
      <c r="C275" s="56"/>
      <c r="E275" s="56"/>
      <c r="G275" s="56"/>
      <c r="I275" s="56"/>
      <c r="K275" s="56"/>
    </row>
    <row r="276">
      <c r="C276" s="56"/>
      <c r="E276" s="56"/>
      <c r="G276" s="56"/>
      <c r="I276" s="56"/>
      <c r="K276" s="56"/>
    </row>
    <row r="277">
      <c r="C277" s="56"/>
      <c r="E277" s="56"/>
      <c r="G277" s="56"/>
      <c r="I277" s="56"/>
      <c r="K277" s="56"/>
    </row>
    <row r="278">
      <c r="C278" s="56"/>
      <c r="E278" s="56"/>
      <c r="G278" s="56"/>
      <c r="I278" s="56"/>
      <c r="K278" s="56"/>
    </row>
    <row r="279">
      <c r="C279" s="56"/>
      <c r="E279" s="56"/>
      <c r="G279" s="56"/>
      <c r="I279" s="56"/>
      <c r="K279" s="56"/>
    </row>
    <row r="280">
      <c r="C280" s="56"/>
      <c r="E280" s="56"/>
      <c r="G280" s="56"/>
      <c r="I280" s="56"/>
      <c r="K280" s="56"/>
    </row>
    <row r="281">
      <c r="C281" s="56"/>
      <c r="E281" s="56"/>
      <c r="G281" s="56"/>
      <c r="I281" s="56"/>
      <c r="K281" s="56"/>
    </row>
    <row r="282">
      <c r="C282" s="56"/>
      <c r="E282" s="56"/>
      <c r="G282" s="56"/>
      <c r="I282" s="56"/>
      <c r="K282" s="56"/>
    </row>
    <row r="283">
      <c r="C283" s="56"/>
      <c r="E283" s="56"/>
      <c r="G283" s="56"/>
      <c r="I283" s="56"/>
      <c r="K283" s="56"/>
    </row>
    <row r="284">
      <c r="C284" s="56"/>
      <c r="E284" s="56"/>
      <c r="G284" s="56"/>
      <c r="I284" s="56"/>
      <c r="K284" s="56"/>
    </row>
    <row r="285">
      <c r="C285" s="56"/>
      <c r="E285" s="56"/>
      <c r="G285" s="56"/>
      <c r="I285" s="56"/>
      <c r="K285" s="56"/>
    </row>
    <row r="286">
      <c r="C286" s="56"/>
      <c r="E286" s="56"/>
      <c r="G286" s="56"/>
      <c r="I286" s="56"/>
      <c r="K286" s="56"/>
    </row>
    <row r="287">
      <c r="C287" s="56"/>
      <c r="E287" s="56"/>
      <c r="G287" s="56"/>
      <c r="I287" s="56"/>
      <c r="K287" s="56"/>
    </row>
    <row r="288">
      <c r="C288" s="56"/>
      <c r="E288" s="56"/>
      <c r="G288" s="56"/>
      <c r="I288" s="56"/>
      <c r="K288" s="56"/>
    </row>
    <row r="289">
      <c r="C289" s="56"/>
      <c r="E289" s="56"/>
      <c r="G289" s="56"/>
      <c r="I289" s="56"/>
      <c r="K289" s="56"/>
    </row>
    <row r="290">
      <c r="C290" s="56"/>
      <c r="E290" s="56"/>
      <c r="G290" s="56"/>
      <c r="I290" s="56"/>
      <c r="K290" s="56"/>
    </row>
    <row r="291">
      <c r="C291" s="56"/>
      <c r="E291" s="56"/>
      <c r="G291" s="56"/>
      <c r="I291" s="56"/>
      <c r="K291" s="56"/>
    </row>
    <row r="292">
      <c r="C292" s="56"/>
      <c r="E292" s="56"/>
      <c r="G292" s="56"/>
      <c r="I292" s="56"/>
      <c r="K292" s="56"/>
    </row>
    <row r="293">
      <c r="C293" s="56"/>
      <c r="E293" s="56"/>
      <c r="G293" s="56"/>
      <c r="I293" s="56"/>
      <c r="K293" s="56"/>
    </row>
    <row r="294">
      <c r="C294" s="56"/>
      <c r="E294" s="56"/>
      <c r="G294" s="56"/>
      <c r="I294" s="56"/>
      <c r="K294" s="56"/>
    </row>
    <row r="295">
      <c r="C295" s="56"/>
      <c r="E295" s="56"/>
      <c r="G295" s="56"/>
      <c r="I295" s="56"/>
      <c r="K295" s="56"/>
    </row>
    <row r="296">
      <c r="C296" s="56"/>
      <c r="E296" s="56"/>
      <c r="G296" s="56"/>
      <c r="I296" s="56"/>
      <c r="K296" s="56"/>
    </row>
    <row r="297">
      <c r="C297" s="56"/>
      <c r="E297" s="56"/>
      <c r="G297" s="56"/>
      <c r="I297" s="56"/>
      <c r="K297" s="56"/>
    </row>
    <row r="298">
      <c r="C298" s="56"/>
      <c r="E298" s="56"/>
      <c r="G298" s="56"/>
      <c r="I298" s="56"/>
      <c r="K298" s="56"/>
    </row>
    <row r="299">
      <c r="C299" s="56"/>
      <c r="E299" s="56"/>
      <c r="G299" s="56"/>
      <c r="I299" s="56"/>
      <c r="K299" s="56"/>
    </row>
    <row r="300">
      <c r="C300" s="56"/>
      <c r="E300" s="56"/>
      <c r="G300" s="56"/>
      <c r="I300" s="56"/>
      <c r="K300" s="56"/>
    </row>
    <row r="301">
      <c r="C301" s="56"/>
      <c r="E301" s="56"/>
      <c r="G301" s="56"/>
      <c r="I301" s="56"/>
      <c r="K301" s="56"/>
    </row>
    <row r="302">
      <c r="C302" s="56"/>
      <c r="E302" s="56"/>
      <c r="G302" s="56"/>
      <c r="I302" s="56"/>
      <c r="K302" s="56"/>
    </row>
    <row r="303">
      <c r="C303" s="56"/>
      <c r="E303" s="56"/>
      <c r="G303" s="56"/>
      <c r="I303" s="56"/>
      <c r="K303" s="56"/>
    </row>
    <row r="304">
      <c r="C304" s="56"/>
      <c r="E304" s="56"/>
      <c r="G304" s="56"/>
      <c r="I304" s="56"/>
      <c r="K304" s="56"/>
    </row>
    <row r="305">
      <c r="C305" s="56"/>
      <c r="E305" s="56"/>
      <c r="G305" s="56"/>
      <c r="I305" s="56"/>
      <c r="K305" s="56"/>
    </row>
    <row r="306">
      <c r="C306" s="56"/>
      <c r="E306" s="56"/>
      <c r="G306" s="56"/>
      <c r="I306" s="56"/>
      <c r="K306" s="56"/>
    </row>
    <row r="307">
      <c r="C307" s="56"/>
      <c r="E307" s="56"/>
      <c r="G307" s="56"/>
      <c r="I307" s="56"/>
      <c r="K307" s="56"/>
    </row>
    <row r="308">
      <c r="C308" s="56"/>
      <c r="E308" s="56"/>
      <c r="G308" s="56"/>
      <c r="I308" s="56"/>
      <c r="K308" s="56"/>
    </row>
    <row r="309">
      <c r="C309" s="56"/>
      <c r="E309" s="56"/>
      <c r="G309" s="56"/>
      <c r="I309" s="56"/>
      <c r="K309" s="56"/>
    </row>
    <row r="310">
      <c r="C310" s="56"/>
      <c r="E310" s="56"/>
      <c r="G310" s="56"/>
      <c r="I310" s="56"/>
      <c r="K310" s="56"/>
    </row>
    <row r="311">
      <c r="C311" s="56"/>
      <c r="E311" s="56"/>
      <c r="G311" s="56"/>
      <c r="I311" s="56"/>
      <c r="K311" s="56"/>
    </row>
    <row r="312">
      <c r="C312" s="56"/>
      <c r="E312" s="56"/>
      <c r="G312" s="56"/>
      <c r="I312" s="56"/>
      <c r="K312" s="56"/>
    </row>
    <row r="313">
      <c r="C313" s="56"/>
      <c r="E313" s="56"/>
      <c r="G313" s="56"/>
      <c r="I313" s="56"/>
      <c r="K313" s="56"/>
    </row>
    <row r="314">
      <c r="C314" s="56"/>
      <c r="E314" s="56"/>
      <c r="G314" s="56"/>
      <c r="I314" s="56"/>
      <c r="K314" s="56"/>
    </row>
    <row r="315">
      <c r="C315" s="56"/>
      <c r="E315" s="56"/>
      <c r="G315" s="56"/>
      <c r="I315" s="56"/>
      <c r="K315" s="56"/>
    </row>
    <row r="316">
      <c r="C316" s="56"/>
      <c r="E316" s="56"/>
      <c r="G316" s="56"/>
      <c r="I316" s="56"/>
      <c r="K316" s="56"/>
    </row>
    <row r="317">
      <c r="C317" s="56"/>
      <c r="E317" s="56"/>
      <c r="G317" s="56"/>
      <c r="I317" s="56"/>
      <c r="K317" s="56"/>
    </row>
    <row r="318">
      <c r="C318" s="56"/>
      <c r="E318" s="56"/>
      <c r="G318" s="56"/>
      <c r="I318" s="56"/>
      <c r="K318" s="56"/>
    </row>
    <row r="319">
      <c r="C319" s="56"/>
      <c r="E319" s="56"/>
      <c r="G319" s="56"/>
      <c r="I319" s="56"/>
      <c r="K319" s="56"/>
    </row>
    <row r="320">
      <c r="C320" s="56"/>
      <c r="E320" s="56"/>
      <c r="G320" s="56"/>
      <c r="I320" s="56"/>
      <c r="K320" s="56"/>
    </row>
    <row r="321">
      <c r="C321" s="56"/>
      <c r="E321" s="56"/>
      <c r="G321" s="56"/>
      <c r="I321" s="56"/>
      <c r="K321" s="56"/>
    </row>
    <row r="322">
      <c r="C322" s="56"/>
      <c r="E322" s="56"/>
      <c r="G322" s="56"/>
      <c r="I322" s="56"/>
      <c r="K322" s="56"/>
    </row>
    <row r="323">
      <c r="C323" s="56"/>
      <c r="E323" s="56"/>
      <c r="G323" s="56"/>
      <c r="I323" s="56"/>
      <c r="K323" s="56"/>
    </row>
    <row r="324">
      <c r="C324" s="56"/>
      <c r="E324" s="56"/>
      <c r="G324" s="56"/>
      <c r="I324" s="56"/>
      <c r="K324" s="56"/>
    </row>
    <row r="325">
      <c r="C325" s="56"/>
      <c r="E325" s="56"/>
      <c r="G325" s="56"/>
      <c r="I325" s="56"/>
      <c r="K325" s="56"/>
    </row>
    <row r="326">
      <c r="C326" s="56"/>
      <c r="E326" s="56"/>
      <c r="G326" s="56"/>
      <c r="I326" s="56"/>
      <c r="K326" s="56"/>
    </row>
    <row r="327">
      <c r="C327" s="56"/>
      <c r="E327" s="56"/>
      <c r="G327" s="56"/>
      <c r="I327" s="56"/>
      <c r="K327" s="56"/>
    </row>
    <row r="328">
      <c r="C328" s="56"/>
      <c r="E328" s="56"/>
      <c r="G328" s="56"/>
      <c r="I328" s="56"/>
      <c r="K328" s="56"/>
    </row>
    <row r="329">
      <c r="C329" s="56"/>
      <c r="E329" s="56"/>
      <c r="G329" s="56"/>
      <c r="I329" s="56"/>
      <c r="K329" s="56"/>
    </row>
    <row r="330">
      <c r="C330" s="56"/>
      <c r="E330" s="56"/>
      <c r="G330" s="56"/>
      <c r="I330" s="56"/>
      <c r="K330" s="56"/>
    </row>
    <row r="331">
      <c r="C331" s="56"/>
      <c r="E331" s="56"/>
      <c r="G331" s="56"/>
      <c r="I331" s="56"/>
      <c r="K331" s="56"/>
    </row>
    <row r="332">
      <c r="C332" s="56"/>
      <c r="E332" s="56"/>
      <c r="G332" s="56"/>
      <c r="I332" s="56"/>
      <c r="K332" s="56"/>
    </row>
    <row r="333">
      <c r="C333" s="56"/>
      <c r="E333" s="56"/>
      <c r="G333" s="56"/>
      <c r="I333" s="56"/>
      <c r="K333" s="56"/>
    </row>
    <row r="334">
      <c r="C334" s="56"/>
      <c r="E334" s="56"/>
      <c r="G334" s="56"/>
      <c r="I334" s="56"/>
      <c r="K334" s="56"/>
    </row>
    <row r="335">
      <c r="C335" s="56"/>
      <c r="E335" s="56"/>
      <c r="G335" s="56"/>
      <c r="I335" s="56"/>
      <c r="K335" s="56"/>
    </row>
    <row r="336">
      <c r="C336" s="56"/>
      <c r="E336" s="56"/>
      <c r="G336" s="56"/>
      <c r="I336" s="56"/>
      <c r="K336" s="56"/>
    </row>
    <row r="337">
      <c r="C337" s="56"/>
      <c r="E337" s="56"/>
      <c r="G337" s="56"/>
      <c r="I337" s="56"/>
      <c r="K337" s="56"/>
    </row>
    <row r="338">
      <c r="C338" s="56"/>
      <c r="E338" s="56"/>
      <c r="G338" s="56"/>
      <c r="I338" s="56"/>
      <c r="K338" s="56"/>
    </row>
    <row r="339">
      <c r="C339" s="56"/>
      <c r="E339" s="56"/>
      <c r="G339" s="56"/>
      <c r="I339" s="56"/>
      <c r="K339" s="56"/>
    </row>
    <row r="340">
      <c r="C340" s="56"/>
      <c r="E340" s="56"/>
      <c r="G340" s="56"/>
      <c r="I340" s="56"/>
      <c r="K340" s="56"/>
    </row>
    <row r="341">
      <c r="C341" s="56"/>
      <c r="E341" s="56"/>
      <c r="G341" s="56"/>
      <c r="I341" s="56"/>
      <c r="K341" s="56"/>
    </row>
    <row r="342">
      <c r="C342" s="56"/>
      <c r="E342" s="56"/>
      <c r="G342" s="56"/>
      <c r="I342" s="56"/>
      <c r="K342" s="56"/>
    </row>
    <row r="343">
      <c r="C343" s="56"/>
      <c r="E343" s="56"/>
      <c r="G343" s="56"/>
      <c r="I343" s="56"/>
      <c r="K343" s="56"/>
    </row>
    <row r="344">
      <c r="C344" s="56"/>
      <c r="E344" s="56"/>
      <c r="G344" s="56"/>
      <c r="I344" s="56"/>
      <c r="K344" s="56"/>
    </row>
    <row r="345">
      <c r="C345" s="56"/>
      <c r="E345" s="56"/>
      <c r="G345" s="56"/>
      <c r="I345" s="56"/>
      <c r="K345" s="56"/>
    </row>
    <row r="346">
      <c r="C346" s="56"/>
      <c r="E346" s="56"/>
      <c r="G346" s="56"/>
      <c r="I346" s="56"/>
      <c r="K346" s="56"/>
    </row>
    <row r="347">
      <c r="C347" s="56"/>
      <c r="E347" s="56"/>
      <c r="G347" s="56"/>
      <c r="I347" s="56"/>
      <c r="K347" s="56"/>
    </row>
    <row r="348">
      <c r="C348" s="56"/>
      <c r="E348" s="56"/>
      <c r="G348" s="56"/>
      <c r="I348" s="56"/>
      <c r="K348" s="56"/>
    </row>
    <row r="349">
      <c r="C349" s="56"/>
      <c r="E349" s="56"/>
      <c r="G349" s="56"/>
      <c r="I349" s="56"/>
      <c r="K349" s="56"/>
    </row>
    <row r="350">
      <c r="C350" s="56"/>
      <c r="E350" s="56"/>
      <c r="G350" s="56"/>
      <c r="I350" s="56"/>
      <c r="K350" s="56"/>
    </row>
    <row r="351">
      <c r="C351" s="56"/>
      <c r="E351" s="56"/>
      <c r="G351" s="56"/>
      <c r="I351" s="56"/>
      <c r="K351" s="56"/>
    </row>
    <row r="352">
      <c r="C352" s="56"/>
      <c r="E352" s="56"/>
      <c r="G352" s="56"/>
      <c r="I352" s="56"/>
      <c r="K352" s="56"/>
    </row>
    <row r="353">
      <c r="C353" s="56"/>
      <c r="E353" s="56"/>
      <c r="G353" s="56"/>
      <c r="I353" s="56"/>
      <c r="K353" s="56"/>
    </row>
    <row r="354">
      <c r="C354" s="56"/>
      <c r="E354" s="56"/>
      <c r="G354" s="56"/>
      <c r="I354" s="56"/>
      <c r="K354" s="56"/>
    </row>
    <row r="355">
      <c r="C355" s="56"/>
      <c r="E355" s="56"/>
      <c r="G355" s="56"/>
      <c r="I355" s="56"/>
      <c r="K355" s="56"/>
    </row>
    <row r="356">
      <c r="C356" s="56"/>
      <c r="E356" s="56"/>
      <c r="G356" s="56"/>
      <c r="I356" s="56"/>
      <c r="K356" s="56"/>
    </row>
    <row r="357">
      <c r="C357" s="56"/>
      <c r="E357" s="56"/>
      <c r="G357" s="56"/>
      <c r="I357" s="56"/>
      <c r="K357" s="56"/>
    </row>
    <row r="358">
      <c r="C358" s="56"/>
      <c r="E358" s="56"/>
      <c r="G358" s="56"/>
      <c r="I358" s="56"/>
      <c r="K358" s="56"/>
    </row>
    <row r="359">
      <c r="C359" s="56"/>
      <c r="E359" s="56"/>
      <c r="G359" s="56"/>
      <c r="I359" s="56"/>
      <c r="K359" s="56"/>
    </row>
    <row r="360">
      <c r="C360" s="56"/>
      <c r="E360" s="56"/>
      <c r="G360" s="56"/>
      <c r="I360" s="56"/>
      <c r="K360" s="56"/>
    </row>
    <row r="361">
      <c r="C361" s="56"/>
      <c r="E361" s="56"/>
      <c r="G361" s="56"/>
      <c r="I361" s="56"/>
      <c r="K361" s="56"/>
    </row>
    <row r="362">
      <c r="C362" s="56"/>
      <c r="E362" s="56"/>
      <c r="G362" s="56"/>
      <c r="I362" s="56"/>
      <c r="K362" s="56"/>
    </row>
    <row r="363">
      <c r="C363" s="56"/>
      <c r="E363" s="56"/>
      <c r="G363" s="56"/>
      <c r="I363" s="56"/>
      <c r="K363" s="56"/>
    </row>
    <row r="364">
      <c r="C364" s="56"/>
      <c r="E364" s="56"/>
      <c r="G364" s="56"/>
      <c r="I364" s="56"/>
      <c r="K364" s="56"/>
    </row>
    <row r="365">
      <c r="C365" s="56"/>
      <c r="E365" s="56"/>
      <c r="G365" s="56"/>
      <c r="I365" s="56"/>
      <c r="K365" s="56"/>
    </row>
    <row r="366">
      <c r="C366" s="56"/>
      <c r="E366" s="56"/>
      <c r="G366" s="56"/>
      <c r="I366" s="56"/>
      <c r="K366" s="56"/>
    </row>
    <row r="367">
      <c r="C367" s="56"/>
      <c r="E367" s="56"/>
      <c r="G367" s="56"/>
      <c r="I367" s="56"/>
      <c r="K367" s="56"/>
    </row>
    <row r="368">
      <c r="C368" s="56"/>
      <c r="E368" s="56"/>
      <c r="G368" s="56"/>
      <c r="I368" s="56"/>
      <c r="K368" s="56"/>
    </row>
    <row r="369">
      <c r="C369" s="56"/>
      <c r="E369" s="56"/>
      <c r="G369" s="56"/>
      <c r="I369" s="56"/>
      <c r="K369" s="56"/>
    </row>
    <row r="370">
      <c r="C370" s="56"/>
      <c r="E370" s="56"/>
      <c r="G370" s="56"/>
      <c r="I370" s="56"/>
      <c r="K370" s="56"/>
    </row>
    <row r="371">
      <c r="C371" s="56"/>
      <c r="E371" s="56"/>
      <c r="G371" s="56"/>
      <c r="I371" s="56"/>
      <c r="K371" s="56"/>
    </row>
    <row r="372">
      <c r="C372" s="56"/>
      <c r="E372" s="56"/>
      <c r="G372" s="56"/>
      <c r="I372" s="56"/>
      <c r="K372" s="56"/>
    </row>
    <row r="373">
      <c r="C373" s="56"/>
      <c r="E373" s="56"/>
      <c r="G373" s="56"/>
      <c r="I373" s="56"/>
      <c r="K373" s="56"/>
    </row>
    <row r="374">
      <c r="C374" s="56"/>
      <c r="E374" s="56"/>
      <c r="G374" s="56"/>
      <c r="I374" s="56"/>
      <c r="K374" s="56"/>
    </row>
    <row r="375">
      <c r="C375" s="56"/>
      <c r="E375" s="56"/>
      <c r="G375" s="56"/>
      <c r="I375" s="56"/>
      <c r="K375" s="56"/>
    </row>
    <row r="376">
      <c r="C376" s="56"/>
      <c r="E376" s="56"/>
      <c r="G376" s="56"/>
      <c r="I376" s="56"/>
      <c r="K376" s="56"/>
    </row>
    <row r="377">
      <c r="C377" s="56"/>
      <c r="E377" s="56"/>
      <c r="G377" s="56"/>
      <c r="I377" s="56"/>
      <c r="K377" s="56"/>
    </row>
    <row r="378">
      <c r="C378" s="56"/>
      <c r="E378" s="56"/>
      <c r="G378" s="56"/>
      <c r="I378" s="56"/>
      <c r="K378" s="56"/>
    </row>
    <row r="379">
      <c r="C379" s="56"/>
      <c r="E379" s="56"/>
      <c r="G379" s="56"/>
      <c r="I379" s="56"/>
      <c r="K379" s="56"/>
    </row>
    <row r="380">
      <c r="C380" s="56"/>
      <c r="E380" s="56"/>
      <c r="G380" s="56"/>
      <c r="I380" s="56"/>
      <c r="K380" s="56"/>
    </row>
    <row r="381">
      <c r="C381" s="56"/>
      <c r="E381" s="56"/>
      <c r="G381" s="56"/>
      <c r="I381" s="56"/>
      <c r="K381" s="56"/>
    </row>
    <row r="382">
      <c r="C382" s="56"/>
      <c r="E382" s="56"/>
      <c r="G382" s="56"/>
      <c r="I382" s="56"/>
      <c r="K382" s="56"/>
    </row>
    <row r="383">
      <c r="C383" s="56"/>
      <c r="E383" s="56"/>
      <c r="G383" s="56"/>
      <c r="I383" s="56"/>
      <c r="K383" s="56"/>
    </row>
    <row r="384">
      <c r="C384" s="56"/>
      <c r="E384" s="56"/>
      <c r="G384" s="56"/>
      <c r="I384" s="56"/>
      <c r="K384" s="56"/>
    </row>
    <row r="385">
      <c r="C385" s="56"/>
      <c r="E385" s="56"/>
      <c r="G385" s="56"/>
      <c r="I385" s="56"/>
      <c r="K385" s="56"/>
    </row>
    <row r="386">
      <c r="C386" s="56"/>
      <c r="E386" s="56"/>
      <c r="G386" s="56"/>
      <c r="I386" s="56"/>
      <c r="K386" s="56"/>
    </row>
    <row r="387">
      <c r="C387" s="56"/>
      <c r="E387" s="56"/>
      <c r="G387" s="56"/>
      <c r="I387" s="56"/>
      <c r="K387" s="56"/>
    </row>
    <row r="388">
      <c r="C388" s="56"/>
      <c r="E388" s="56"/>
      <c r="G388" s="56"/>
      <c r="I388" s="56"/>
      <c r="K388" s="56"/>
    </row>
    <row r="389">
      <c r="C389" s="56"/>
      <c r="E389" s="56"/>
      <c r="G389" s="56"/>
      <c r="I389" s="56"/>
      <c r="K389" s="56"/>
    </row>
    <row r="390">
      <c r="C390" s="56"/>
      <c r="E390" s="56"/>
      <c r="G390" s="56"/>
      <c r="I390" s="56"/>
      <c r="K390" s="56"/>
    </row>
    <row r="391">
      <c r="C391" s="56"/>
      <c r="E391" s="56"/>
      <c r="G391" s="56"/>
      <c r="I391" s="56"/>
      <c r="K391" s="56"/>
    </row>
    <row r="392">
      <c r="C392" s="56"/>
      <c r="E392" s="56"/>
      <c r="G392" s="56"/>
      <c r="I392" s="56"/>
      <c r="K392" s="56"/>
    </row>
    <row r="393">
      <c r="C393" s="56"/>
      <c r="E393" s="56"/>
      <c r="G393" s="56"/>
      <c r="I393" s="56"/>
      <c r="K393" s="56"/>
    </row>
    <row r="394">
      <c r="C394" s="56"/>
      <c r="E394" s="56"/>
      <c r="G394" s="56"/>
      <c r="I394" s="56"/>
      <c r="K394" s="56"/>
    </row>
    <row r="395">
      <c r="C395" s="56"/>
      <c r="E395" s="56"/>
      <c r="G395" s="56"/>
      <c r="I395" s="56"/>
      <c r="K395" s="56"/>
    </row>
    <row r="396">
      <c r="C396" s="56"/>
      <c r="E396" s="56"/>
      <c r="G396" s="56"/>
      <c r="I396" s="56"/>
      <c r="K396" s="56"/>
    </row>
    <row r="397">
      <c r="C397" s="56"/>
      <c r="E397" s="56"/>
      <c r="G397" s="56"/>
      <c r="I397" s="56"/>
      <c r="K397" s="56"/>
    </row>
    <row r="398">
      <c r="C398" s="56"/>
      <c r="E398" s="56"/>
      <c r="G398" s="56"/>
      <c r="I398" s="56"/>
      <c r="K398" s="56"/>
    </row>
    <row r="399">
      <c r="C399" s="56"/>
      <c r="E399" s="56"/>
      <c r="G399" s="56"/>
      <c r="I399" s="56"/>
      <c r="K399" s="56"/>
    </row>
    <row r="400">
      <c r="C400" s="56"/>
      <c r="E400" s="56"/>
      <c r="G400" s="56"/>
      <c r="I400" s="56"/>
      <c r="K400" s="56"/>
    </row>
    <row r="401">
      <c r="C401" s="56"/>
      <c r="E401" s="56"/>
      <c r="G401" s="56"/>
      <c r="I401" s="56"/>
      <c r="K401" s="56"/>
    </row>
    <row r="402">
      <c r="C402" s="56"/>
      <c r="E402" s="56"/>
      <c r="G402" s="56"/>
      <c r="I402" s="56"/>
      <c r="K402" s="56"/>
    </row>
    <row r="403">
      <c r="C403" s="56"/>
      <c r="E403" s="56"/>
      <c r="G403" s="56"/>
      <c r="I403" s="56"/>
      <c r="K403" s="56"/>
    </row>
    <row r="404">
      <c r="C404" s="56"/>
      <c r="E404" s="56"/>
      <c r="G404" s="56"/>
      <c r="I404" s="56"/>
      <c r="K404" s="56"/>
    </row>
    <row r="405">
      <c r="C405" s="56"/>
      <c r="E405" s="56"/>
      <c r="G405" s="56"/>
      <c r="I405" s="56"/>
      <c r="K405" s="56"/>
    </row>
    <row r="406">
      <c r="C406" s="56"/>
      <c r="E406" s="56"/>
      <c r="G406" s="56"/>
      <c r="I406" s="56"/>
      <c r="K406" s="56"/>
    </row>
    <row r="407">
      <c r="C407" s="56"/>
      <c r="E407" s="56"/>
      <c r="G407" s="56"/>
      <c r="I407" s="56"/>
      <c r="K407" s="56"/>
    </row>
    <row r="408">
      <c r="C408" s="56"/>
      <c r="E408" s="56"/>
      <c r="G408" s="56"/>
      <c r="I408" s="56"/>
      <c r="K408" s="56"/>
    </row>
    <row r="409">
      <c r="C409" s="56"/>
      <c r="E409" s="56"/>
      <c r="G409" s="56"/>
      <c r="I409" s="56"/>
      <c r="K409" s="56"/>
    </row>
    <row r="410">
      <c r="C410" s="56"/>
      <c r="E410" s="56"/>
      <c r="G410" s="56"/>
      <c r="I410" s="56"/>
      <c r="K410" s="56"/>
    </row>
    <row r="411">
      <c r="C411" s="56"/>
      <c r="E411" s="56"/>
      <c r="G411" s="56"/>
      <c r="I411" s="56"/>
      <c r="K411" s="56"/>
    </row>
    <row r="412">
      <c r="C412" s="56"/>
      <c r="E412" s="56"/>
      <c r="G412" s="56"/>
      <c r="I412" s="56"/>
      <c r="K412" s="56"/>
    </row>
    <row r="413">
      <c r="C413" s="56"/>
      <c r="E413" s="56"/>
      <c r="G413" s="56"/>
      <c r="I413" s="56"/>
      <c r="K413" s="56"/>
    </row>
    <row r="414">
      <c r="C414" s="56"/>
      <c r="E414" s="56"/>
      <c r="G414" s="56"/>
      <c r="I414" s="56"/>
      <c r="K414" s="56"/>
    </row>
    <row r="415">
      <c r="C415" s="56"/>
      <c r="E415" s="56"/>
      <c r="G415" s="56"/>
      <c r="I415" s="56"/>
      <c r="K415" s="56"/>
    </row>
    <row r="416">
      <c r="C416" s="56"/>
      <c r="E416" s="56"/>
      <c r="G416" s="56"/>
      <c r="I416" s="56"/>
      <c r="K416" s="56"/>
    </row>
    <row r="417">
      <c r="C417" s="56"/>
      <c r="E417" s="56"/>
      <c r="G417" s="56"/>
      <c r="I417" s="56"/>
      <c r="K417" s="56"/>
    </row>
    <row r="418">
      <c r="C418" s="56"/>
      <c r="E418" s="56"/>
      <c r="G418" s="56"/>
      <c r="I418" s="56"/>
      <c r="K418" s="56"/>
    </row>
    <row r="419">
      <c r="C419" s="56"/>
      <c r="E419" s="56"/>
      <c r="G419" s="56"/>
      <c r="I419" s="56"/>
      <c r="K419" s="56"/>
    </row>
    <row r="420">
      <c r="C420" s="56"/>
      <c r="E420" s="56"/>
      <c r="G420" s="56"/>
      <c r="I420" s="56"/>
      <c r="K420" s="56"/>
    </row>
    <row r="421">
      <c r="C421" s="56"/>
      <c r="E421" s="56"/>
      <c r="G421" s="56"/>
      <c r="I421" s="56"/>
      <c r="K421" s="56"/>
    </row>
    <row r="422">
      <c r="C422" s="56"/>
      <c r="E422" s="56"/>
      <c r="G422" s="56"/>
      <c r="I422" s="56"/>
      <c r="K422" s="56"/>
    </row>
    <row r="423">
      <c r="C423" s="56"/>
      <c r="E423" s="56"/>
      <c r="G423" s="56"/>
      <c r="I423" s="56"/>
      <c r="K423" s="56"/>
    </row>
    <row r="424">
      <c r="C424" s="56"/>
      <c r="E424" s="56"/>
      <c r="G424" s="56"/>
      <c r="I424" s="56"/>
      <c r="K424" s="56"/>
    </row>
    <row r="425">
      <c r="C425" s="56"/>
      <c r="E425" s="56"/>
      <c r="G425" s="56"/>
      <c r="I425" s="56"/>
      <c r="K425" s="56"/>
    </row>
    <row r="426">
      <c r="C426" s="56"/>
      <c r="E426" s="56"/>
      <c r="G426" s="56"/>
      <c r="I426" s="56"/>
      <c r="K426" s="56"/>
    </row>
    <row r="427">
      <c r="C427" s="56"/>
      <c r="E427" s="56"/>
      <c r="G427" s="56"/>
      <c r="I427" s="56"/>
      <c r="K427" s="56"/>
    </row>
    <row r="428">
      <c r="C428" s="56"/>
      <c r="E428" s="56"/>
      <c r="G428" s="56"/>
      <c r="I428" s="56"/>
      <c r="K428" s="56"/>
    </row>
    <row r="429">
      <c r="C429" s="56"/>
      <c r="E429" s="56"/>
      <c r="G429" s="56"/>
      <c r="I429" s="56"/>
      <c r="K429" s="56"/>
    </row>
    <row r="430">
      <c r="C430" s="56"/>
      <c r="E430" s="56"/>
      <c r="G430" s="56"/>
      <c r="I430" s="56"/>
      <c r="K430" s="56"/>
    </row>
    <row r="431">
      <c r="C431" s="56"/>
      <c r="E431" s="56"/>
      <c r="G431" s="56"/>
      <c r="I431" s="56"/>
      <c r="K431" s="56"/>
    </row>
    <row r="432">
      <c r="C432" s="56"/>
      <c r="E432" s="56"/>
      <c r="G432" s="56"/>
      <c r="I432" s="56"/>
      <c r="K432" s="56"/>
    </row>
    <row r="433">
      <c r="C433" s="56"/>
      <c r="E433" s="56"/>
      <c r="G433" s="56"/>
      <c r="I433" s="56"/>
      <c r="K433" s="56"/>
    </row>
    <row r="434">
      <c r="C434" s="56"/>
      <c r="E434" s="56"/>
      <c r="G434" s="56"/>
      <c r="I434" s="56"/>
      <c r="K434" s="56"/>
    </row>
    <row r="435">
      <c r="C435" s="56"/>
      <c r="E435" s="56"/>
      <c r="G435" s="56"/>
      <c r="I435" s="56"/>
      <c r="K435" s="56"/>
    </row>
    <row r="436">
      <c r="C436" s="56"/>
      <c r="E436" s="56"/>
      <c r="G436" s="56"/>
      <c r="I436" s="56"/>
      <c r="K436" s="56"/>
    </row>
    <row r="437">
      <c r="C437" s="56"/>
      <c r="E437" s="56"/>
      <c r="G437" s="56"/>
      <c r="I437" s="56"/>
      <c r="K437" s="56"/>
    </row>
    <row r="438">
      <c r="C438" s="56"/>
      <c r="E438" s="56"/>
      <c r="G438" s="56"/>
      <c r="I438" s="56"/>
      <c r="K438" s="56"/>
    </row>
    <row r="439">
      <c r="C439" s="56"/>
      <c r="E439" s="56"/>
      <c r="G439" s="56"/>
      <c r="I439" s="56"/>
      <c r="K439" s="56"/>
    </row>
    <row r="440">
      <c r="C440" s="56"/>
      <c r="E440" s="56"/>
      <c r="G440" s="56"/>
      <c r="I440" s="56"/>
      <c r="K440" s="56"/>
    </row>
    <row r="441">
      <c r="C441" s="56"/>
      <c r="E441" s="56"/>
      <c r="G441" s="56"/>
      <c r="I441" s="56"/>
      <c r="K441" s="56"/>
    </row>
    <row r="442">
      <c r="C442" s="56"/>
      <c r="E442" s="56"/>
      <c r="G442" s="56"/>
      <c r="I442" s="56"/>
      <c r="K442" s="56"/>
    </row>
    <row r="443">
      <c r="C443" s="56"/>
      <c r="E443" s="56"/>
      <c r="G443" s="56"/>
      <c r="I443" s="56"/>
      <c r="K443" s="56"/>
    </row>
    <row r="444">
      <c r="C444" s="56"/>
      <c r="E444" s="56"/>
      <c r="G444" s="56"/>
      <c r="I444" s="56"/>
      <c r="K444" s="56"/>
    </row>
    <row r="445">
      <c r="C445" s="56"/>
      <c r="E445" s="56"/>
      <c r="G445" s="56"/>
      <c r="I445" s="56"/>
      <c r="K445" s="56"/>
    </row>
    <row r="446">
      <c r="C446" s="56"/>
      <c r="E446" s="56"/>
      <c r="G446" s="56"/>
      <c r="I446" s="56"/>
      <c r="K446" s="56"/>
    </row>
    <row r="447">
      <c r="C447" s="56"/>
      <c r="E447" s="56"/>
      <c r="G447" s="56"/>
      <c r="I447" s="56"/>
      <c r="K447" s="56"/>
    </row>
    <row r="448">
      <c r="C448" s="56"/>
      <c r="E448" s="56"/>
      <c r="G448" s="56"/>
      <c r="I448" s="56"/>
      <c r="K448" s="56"/>
    </row>
    <row r="449">
      <c r="C449" s="56"/>
      <c r="E449" s="56"/>
      <c r="G449" s="56"/>
      <c r="I449" s="56"/>
      <c r="K449" s="56"/>
    </row>
    <row r="450">
      <c r="C450" s="56"/>
      <c r="E450" s="56"/>
      <c r="G450" s="56"/>
      <c r="I450" s="56"/>
      <c r="K450" s="56"/>
    </row>
    <row r="451">
      <c r="C451" s="56"/>
      <c r="E451" s="56"/>
      <c r="G451" s="56"/>
      <c r="I451" s="56"/>
      <c r="K451" s="56"/>
    </row>
    <row r="452">
      <c r="C452" s="56"/>
      <c r="E452" s="56"/>
      <c r="G452" s="56"/>
      <c r="I452" s="56"/>
      <c r="K452" s="56"/>
    </row>
    <row r="453">
      <c r="C453" s="56"/>
      <c r="E453" s="56"/>
      <c r="G453" s="56"/>
      <c r="I453" s="56"/>
      <c r="K453" s="56"/>
    </row>
    <row r="454">
      <c r="C454" s="56"/>
      <c r="E454" s="56"/>
      <c r="G454" s="56"/>
      <c r="I454" s="56"/>
      <c r="K454" s="56"/>
    </row>
    <row r="455">
      <c r="C455" s="56"/>
      <c r="E455" s="56"/>
      <c r="G455" s="56"/>
      <c r="I455" s="56"/>
      <c r="K455" s="56"/>
    </row>
    <row r="456">
      <c r="C456" s="56"/>
      <c r="E456" s="56"/>
      <c r="G456" s="56"/>
      <c r="I456" s="56"/>
      <c r="K456" s="56"/>
    </row>
    <row r="457">
      <c r="C457" s="56"/>
      <c r="E457" s="56"/>
      <c r="G457" s="56"/>
      <c r="I457" s="56"/>
      <c r="K457" s="56"/>
    </row>
    <row r="458">
      <c r="C458" s="56"/>
      <c r="E458" s="56"/>
      <c r="G458" s="56"/>
      <c r="I458" s="56"/>
      <c r="K458" s="56"/>
    </row>
    <row r="459">
      <c r="C459" s="56"/>
      <c r="E459" s="56"/>
      <c r="G459" s="56"/>
      <c r="I459" s="56"/>
      <c r="K459" s="56"/>
    </row>
    <row r="460">
      <c r="C460" s="56"/>
      <c r="E460" s="56"/>
      <c r="G460" s="56"/>
      <c r="I460" s="56"/>
      <c r="K460" s="56"/>
    </row>
    <row r="461">
      <c r="C461" s="56"/>
      <c r="E461" s="56"/>
      <c r="G461" s="56"/>
      <c r="I461" s="56"/>
      <c r="K461" s="56"/>
    </row>
    <row r="462">
      <c r="C462" s="56"/>
      <c r="E462" s="56"/>
      <c r="G462" s="56"/>
      <c r="I462" s="56"/>
      <c r="K462" s="56"/>
    </row>
    <row r="463">
      <c r="C463" s="56"/>
      <c r="E463" s="56"/>
      <c r="G463" s="56"/>
      <c r="I463" s="56"/>
      <c r="K463" s="56"/>
    </row>
    <row r="464">
      <c r="C464" s="56"/>
      <c r="E464" s="56"/>
      <c r="G464" s="56"/>
      <c r="I464" s="56"/>
      <c r="K464" s="56"/>
    </row>
    <row r="465">
      <c r="C465" s="56"/>
      <c r="E465" s="56"/>
      <c r="G465" s="56"/>
      <c r="I465" s="56"/>
      <c r="K465" s="56"/>
    </row>
    <row r="466">
      <c r="C466" s="56"/>
      <c r="E466" s="56"/>
      <c r="G466" s="56"/>
      <c r="I466" s="56"/>
      <c r="K466" s="56"/>
    </row>
    <row r="467">
      <c r="C467" s="56"/>
      <c r="E467" s="56"/>
      <c r="G467" s="56"/>
      <c r="I467" s="56"/>
      <c r="K467" s="56"/>
    </row>
    <row r="468">
      <c r="C468" s="56"/>
      <c r="E468" s="56"/>
      <c r="G468" s="56"/>
      <c r="I468" s="56"/>
      <c r="K468" s="56"/>
    </row>
    <row r="469">
      <c r="C469" s="56"/>
      <c r="E469" s="56"/>
      <c r="G469" s="56"/>
      <c r="I469" s="56"/>
      <c r="K469" s="56"/>
    </row>
    <row r="470">
      <c r="C470" s="56"/>
      <c r="E470" s="56"/>
      <c r="G470" s="56"/>
      <c r="I470" s="56"/>
      <c r="K470" s="56"/>
    </row>
    <row r="471">
      <c r="C471" s="56"/>
      <c r="E471" s="56"/>
      <c r="G471" s="56"/>
      <c r="I471" s="56"/>
      <c r="K471" s="56"/>
    </row>
    <row r="472">
      <c r="C472" s="56"/>
      <c r="E472" s="56"/>
      <c r="G472" s="56"/>
      <c r="I472" s="56"/>
      <c r="K472" s="56"/>
    </row>
    <row r="473">
      <c r="C473" s="56"/>
      <c r="E473" s="56"/>
      <c r="G473" s="56"/>
      <c r="I473" s="56"/>
      <c r="K473" s="56"/>
    </row>
    <row r="474">
      <c r="C474" s="56"/>
      <c r="E474" s="56"/>
      <c r="G474" s="56"/>
      <c r="I474" s="56"/>
      <c r="K474" s="56"/>
    </row>
    <row r="475">
      <c r="C475" s="56"/>
      <c r="E475" s="56"/>
      <c r="G475" s="56"/>
      <c r="I475" s="56"/>
      <c r="K475" s="56"/>
    </row>
    <row r="476">
      <c r="C476" s="56"/>
      <c r="E476" s="56"/>
      <c r="G476" s="56"/>
      <c r="I476" s="56"/>
      <c r="K476" s="56"/>
    </row>
    <row r="477">
      <c r="C477" s="56"/>
      <c r="E477" s="56"/>
      <c r="G477" s="56"/>
      <c r="I477" s="56"/>
      <c r="K477" s="56"/>
    </row>
    <row r="478">
      <c r="C478" s="56"/>
      <c r="E478" s="56"/>
      <c r="G478" s="56"/>
      <c r="I478" s="56"/>
      <c r="K478" s="56"/>
    </row>
    <row r="479">
      <c r="C479" s="56"/>
      <c r="E479" s="56"/>
      <c r="G479" s="56"/>
      <c r="I479" s="56"/>
      <c r="K479" s="56"/>
    </row>
    <row r="480">
      <c r="C480" s="56"/>
      <c r="E480" s="56"/>
      <c r="G480" s="56"/>
      <c r="I480" s="56"/>
      <c r="K480" s="56"/>
    </row>
    <row r="481">
      <c r="C481" s="56"/>
      <c r="E481" s="56"/>
      <c r="G481" s="56"/>
      <c r="I481" s="56"/>
      <c r="K481" s="56"/>
    </row>
    <row r="482">
      <c r="C482" s="56"/>
      <c r="E482" s="56"/>
      <c r="G482" s="56"/>
      <c r="I482" s="56"/>
      <c r="K482" s="56"/>
    </row>
    <row r="483">
      <c r="C483" s="56"/>
      <c r="E483" s="56"/>
      <c r="G483" s="56"/>
      <c r="I483" s="56"/>
      <c r="K483" s="56"/>
    </row>
    <row r="484">
      <c r="C484" s="56"/>
      <c r="E484" s="56"/>
      <c r="G484" s="56"/>
      <c r="I484" s="56"/>
      <c r="K484" s="56"/>
    </row>
    <row r="485">
      <c r="C485" s="56"/>
      <c r="E485" s="56"/>
      <c r="G485" s="56"/>
      <c r="I485" s="56"/>
      <c r="K485" s="56"/>
    </row>
    <row r="486">
      <c r="C486" s="56"/>
      <c r="E486" s="56"/>
      <c r="G486" s="56"/>
      <c r="I486" s="56"/>
      <c r="K486" s="56"/>
    </row>
    <row r="487">
      <c r="C487" s="56"/>
      <c r="E487" s="56"/>
      <c r="G487" s="56"/>
      <c r="I487" s="56"/>
      <c r="K487" s="56"/>
    </row>
    <row r="488">
      <c r="C488" s="56"/>
      <c r="E488" s="56"/>
      <c r="G488" s="56"/>
      <c r="I488" s="56"/>
      <c r="K488" s="56"/>
    </row>
    <row r="489">
      <c r="C489" s="56"/>
      <c r="E489" s="56"/>
      <c r="G489" s="56"/>
      <c r="I489" s="56"/>
      <c r="K489" s="56"/>
    </row>
    <row r="490">
      <c r="C490" s="56"/>
      <c r="E490" s="56"/>
      <c r="G490" s="56"/>
      <c r="I490" s="56"/>
      <c r="K490" s="56"/>
    </row>
    <row r="491">
      <c r="C491" s="56"/>
      <c r="E491" s="56"/>
      <c r="G491" s="56"/>
      <c r="I491" s="56"/>
      <c r="K491" s="56"/>
    </row>
    <row r="492">
      <c r="C492" s="56"/>
      <c r="E492" s="56"/>
      <c r="G492" s="56"/>
      <c r="I492" s="56"/>
      <c r="K492" s="56"/>
    </row>
    <row r="493">
      <c r="C493" s="56"/>
      <c r="E493" s="56"/>
      <c r="G493" s="56"/>
      <c r="I493" s="56"/>
      <c r="K493" s="56"/>
    </row>
    <row r="494">
      <c r="C494" s="56"/>
      <c r="E494" s="56"/>
      <c r="G494" s="56"/>
      <c r="I494" s="56"/>
      <c r="K494" s="56"/>
    </row>
    <row r="495">
      <c r="C495" s="56"/>
      <c r="E495" s="56"/>
      <c r="G495" s="56"/>
      <c r="I495" s="56"/>
      <c r="K495" s="56"/>
    </row>
    <row r="496">
      <c r="C496" s="56"/>
      <c r="E496" s="56"/>
      <c r="G496" s="56"/>
      <c r="I496" s="56"/>
      <c r="K496" s="56"/>
    </row>
    <row r="497">
      <c r="C497" s="56"/>
      <c r="E497" s="56"/>
      <c r="G497" s="56"/>
      <c r="I497" s="56"/>
      <c r="K497" s="56"/>
    </row>
    <row r="498">
      <c r="C498" s="56"/>
      <c r="E498" s="56"/>
      <c r="G498" s="56"/>
      <c r="I498" s="56"/>
      <c r="K498" s="56"/>
    </row>
    <row r="499">
      <c r="C499" s="56"/>
      <c r="E499" s="56"/>
      <c r="G499" s="56"/>
      <c r="I499" s="56"/>
      <c r="K499" s="56"/>
    </row>
    <row r="500">
      <c r="C500" s="56"/>
      <c r="E500" s="56"/>
      <c r="G500" s="56"/>
      <c r="I500" s="56"/>
      <c r="K500" s="56"/>
    </row>
    <row r="501">
      <c r="C501" s="56"/>
      <c r="E501" s="56"/>
      <c r="G501" s="56"/>
      <c r="I501" s="56"/>
      <c r="K501" s="56"/>
    </row>
    <row r="502">
      <c r="C502" s="56"/>
      <c r="E502" s="56"/>
      <c r="G502" s="56"/>
      <c r="I502" s="56"/>
      <c r="K502" s="56"/>
    </row>
    <row r="503">
      <c r="C503" s="56"/>
      <c r="E503" s="56"/>
      <c r="G503" s="56"/>
      <c r="I503" s="56"/>
      <c r="K503" s="56"/>
    </row>
    <row r="504">
      <c r="C504" s="56"/>
      <c r="E504" s="56"/>
      <c r="G504" s="56"/>
      <c r="I504" s="56"/>
      <c r="K504" s="56"/>
    </row>
    <row r="505">
      <c r="C505" s="56"/>
      <c r="E505" s="56"/>
      <c r="G505" s="56"/>
      <c r="I505" s="56"/>
      <c r="K505" s="56"/>
    </row>
    <row r="506">
      <c r="C506" s="56"/>
      <c r="E506" s="56"/>
      <c r="G506" s="56"/>
      <c r="I506" s="56"/>
      <c r="K506" s="56"/>
    </row>
    <row r="507">
      <c r="C507" s="56"/>
      <c r="E507" s="56"/>
      <c r="G507" s="56"/>
      <c r="I507" s="56"/>
      <c r="K507" s="56"/>
    </row>
    <row r="508">
      <c r="C508" s="56"/>
      <c r="E508" s="56"/>
      <c r="G508" s="56"/>
      <c r="I508" s="56"/>
      <c r="K508" s="56"/>
    </row>
    <row r="509">
      <c r="C509" s="56"/>
      <c r="E509" s="56"/>
      <c r="G509" s="56"/>
      <c r="I509" s="56"/>
      <c r="K509" s="56"/>
    </row>
    <row r="510">
      <c r="C510" s="56"/>
      <c r="E510" s="56"/>
      <c r="G510" s="56"/>
      <c r="I510" s="56"/>
      <c r="K510" s="56"/>
    </row>
    <row r="511">
      <c r="C511" s="56"/>
      <c r="E511" s="56"/>
      <c r="G511" s="56"/>
      <c r="I511" s="56"/>
      <c r="K511" s="56"/>
    </row>
    <row r="512">
      <c r="C512" s="56"/>
      <c r="E512" s="56"/>
      <c r="G512" s="56"/>
      <c r="I512" s="56"/>
      <c r="K512" s="56"/>
    </row>
    <row r="513">
      <c r="C513" s="56"/>
      <c r="E513" s="56"/>
      <c r="G513" s="56"/>
      <c r="I513" s="56"/>
      <c r="K513" s="56"/>
    </row>
    <row r="514">
      <c r="C514" s="56"/>
      <c r="E514" s="56"/>
      <c r="G514" s="56"/>
      <c r="I514" s="56"/>
      <c r="K514" s="56"/>
    </row>
    <row r="515">
      <c r="C515" s="56"/>
      <c r="E515" s="56"/>
      <c r="G515" s="56"/>
      <c r="I515" s="56"/>
      <c r="K515" s="56"/>
    </row>
    <row r="516">
      <c r="C516" s="56"/>
      <c r="E516" s="56"/>
      <c r="G516" s="56"/>
      <c r="I516" s="56"/>
      <c r="K516" s="56"/>
    </row>
    <row r="517">
      <c r="C517" s="56"/>
      <c r="E517" s="56"/>
      <c r="G517" s="56"/>
      <c r="I517" s="56"/>
      <c r="K517" s="56"/>
    </row>
    <row r="518">
      <c r="C518" s="56"/>
      <c r="E518" s="56"/>
      <c r="G518" s="56"/>
      <c r="I518" s="56"/>
      <c r="K518" s="56"/>
    </row>
    <row r="519">
      <c r="C519" s="56"/>
      <c r="E519" s="56"/>
      <c r="G519" s="56"/>
      <c r="I519" s="56"/>
      <c r="K519" s="56"/>
    </row>
    <row r="520">
      <c r="C520" s="56"/>
      <c r="E520" s="56"/>
      <c r="G520" s="56"/>
      <c r="I520" s="56"/>
      <c r="K520" s="56"/>
    </row>
    <row r="521">
      <c r="C521" s="56"/>
      <c r="E521" s="56"/>
      <c r="G521" s="56"/>
      <c r="I521" s="56"/>
      <c r="K521" s="56"/>
    </row>
    <row r="522">
      <c r="C522" s="56"/>
      <c r="E522" s="56"/>
      <c r="G522" s="56"/>
      <c r="I522" s="56"/>
      <c r="K522" s="56"/>
    </row>
    <row r="523">
      <c r="C523" s="56"/>
      <c r="E523" s="56"/>
      <c r="G523" s="56"/>
      <c r="I523" s="56"/>
      <c r="K523" s="56"/>
    </row>
    <row r="524">
      <c r="C524" s="56"/>
      <c r="E524" s="56"/>
      <c r="G524" s="56"/>
      <c r="I524" s="56"/>
      <c r="K524" s="56"/>
    </row>
    <row r="525">
      <c r="C525" s="56"/>
      <c r="E525" s="56"/>
      <c r="G525" s="56"/>
      <c r="I525" s="56"/>
      <c r="K525" s="56"/>
    </row>
    <row r="526">
      <c r="C526" s="56"/>
      <c r="E526" s="56"/>
      <c r="G526" s="56"/>
      <c r="I526" s="56"/>
      <c r="K526" s="56"/>
    </row>
    <row r="527">
      <c r="C527" s="56"/>
      <c r="E527" s="56"/>
      <c r="G527" s="56"/>
      <c r="I527" s="56"/>
      <c r="K527" s="56"/>
    </row>
    <row r="528">
      <c r="C528" s="56"/>
      <c r="E528" s="56"/>
      <c r="G528" s="56"/>
      <c r="I528" s="56"/>
      <c r="K528" s="56"/>
    </row>
    <row r="529">
      <c r="C529" s="56"/>
      <c r="E529" s="56"/>
      <c r="G529" s="56"/>
      <c r="I529" s="56"/>
      <c r="K529" s="56"/>
    </row>
    <row r="530">
      <c r="C530" s="56"/>
      <c r="E530" s="56"/>
      <c r="G530" s="56"/>
      <c r="I530" s="56"/>
      <c r="K530" s="56"/>
    </row>
    <row r="531">
      <c r="C531" s="56"/>
      <c r="E531" s="56"/>
      <c r="G531" s="56"/>
      <c r="I531" s="56"/>
      <c r="K531" s="56"/>
    </row>
    <row r="532">
      <c r="C532" s="56"/>
      <c r="E532" s="56"/>
      <c r="G532" s="56"/>
      <c r="I532" s="56"/>
      <c r="K532" s="56"/>
    </row>
    <row r="533">
      <c r="C533" s="56"/>
      <c r="E533" s="56"/>
      <c r="G533" s="56"/>
      <c r="I533" s="56"/>
      <c r="K533" s="56"/>
    </row>
    <row r="534">
      <c r="C534" s="56"/>
      <c r="E534" s="56"/>
      <c r="G534" s="56"/>
      <c r="I534" s="56"/>
      <c r="K534" s="56"/>
    </row>
    <row r="535">
      <c r="C535" s="56"/>
      <c r="E535" s="56"/>
      <c r="G535" s="56"/>
      <c r="I535" s="56"/>
      <c r="K535" s="56"/>
    </row>
    <row r="536">
      <c r="C536" s="56"/>
      <c r="E536" s="56"/>
      <c r="G536" s="56"/>
      <c r="I536" s="56"/>
      <c r="K536" s="56"/>
    </row>
    <row r="537">
      <c r="C537" s="56"/>
      <c r="E537" s="56"/>
      <c r="G537" s="56"/>
      <c r="I537" s="56"/>
      <c r="K537" s="56"/>
    </row>
    <row r="538">
      <c r="C538" s="56"/>
      <c r="E538" s="56"/>
      <c r="G538" s="56"/>
      <c r="I538" s="56"/>
      <c r="K538" s="56"/>
    </row>
    <row r="539">
      <c r="C539" s="56"/>
      <c r="E539" s="56"/>
      <c r="G539" s="56"/>
      <c r="I539" s="56"/>
      <c r="K539" s="56"/>
    </row>
    <row r="540">
      <c r="C540" s="56"/>
      <c r="E540" s="56"/>
      <c r="G540" s="56"/>
      <c r="I540" s="56"/>
      <c r="K540" s="56"/>
    </row>
    <row r="541">
      <c r="C541" s="56"/>
      <c r="E541" s="56"/>
      <c r="G541" s="56"/>
      <c r="I541" s="56"/>
      <c r="K541" s="56"/>
    </row>
    <row r="542">
      <c r="C542" s="56"/>
      <c r="E542" s="56"/>
      <c r="G542" s="56"/>
      <c r="I542" s="56"/>
      <c r="K542" s="56"/>
    </row>
    <row r="543">
      <c r="C543" s="56"/>
      <c r="E543" s="56"/>
      <c r="G543" s="56"/>
      <c r="I543" s="56"/>
      <c r="K543" s="56"/>
    </row>
    <row r="544">
      <c r="C544" s="56"/>
      <c r="E544" s="56"/>
      <c r="G544" s="56"/>
      <c r="I544" s="56"/>
      <c r="K544" s="56"/>
    </row>
    <row r="545">
      <c r="C545" s="56"/>
      <c r="E545" s="56"/>
      <c r="G545" s="56"/>
      <c r="I545" s="56"/>
      <c r="K545" s="56"/>
    </row>
    <row r="546">
      <c r="C546" s="56"/>
      <c r="E546" s="56"/>
      <c r="G546" s="56"/>
      <c r="I546" s="56"/>
      <c r="K546" s="56"/>
    </row>
    <row r="547">
      <c r="C547" s="56"/>
      <c r="E547" s="56"/>
      <c r="G547" s="56"/>
      <c r="I547" s="56"/>
      <c r="K547" s="56"/>
    </row>
    <row r="548">
      <c r="C548" s="56"/>
      <c r="E548" s="56"/>
      <c r="G548" s="56"/>
      <c r="I548" s="56"/>
      <c r="K548" s="56"/>
    </row>
    <row r="549">
      <c r="C549" s="56"/>
      <c r="E549" s="56"/>
      <c r="G549" s="56"/>
      <c r="I549" s="56"/>
      <c r="K549" s="56"/>
    </row>
    <row r="550">
      <c r="C550" s="56"/>
      <c r="E550" s="56"/>
      <c r="G550" s="56"/>
      <c r="I550" s="56"/>
      <c r="K550" s="56"/>
    </row>
    <row r="551">
      <c r="C551" s="56"/>
      <c r="E551" s="56"/>
      <c r="G551" s="56"/>
      <c r="I551" s="56"/>
      <c r="K551" s="56"/>
    </row>
    <row r="552">
      <c r="C552" s="56"/>
      <c r="E552" s="56"/>
      <c r="G552" s="56"/>
      <c r="I552" s="56"/>
      <c r="K552" s="56"/>
    </row>
    <row r="553">
      <c r="C553" s="56"/>
      <c r="E553" s="56"/>
      <c r="G553" s="56"/>
      <c r="I553" s="56"/>
      <c r="K553" s="56"/>
    </row>
    <row r="554">
      <c r="C554" s="56"/>
      <c r="E554" s="56"/>
      <c r="G554" s="56"/>
      <c r="I554" s="56"/>
      <c r="K554" s="56"/>
    </row>
    <row r="555">
      <c r="C555" s="56"/>
      <c r="E555" s="56"/>
      <c r="G555" s="56"/>
      <c r="I555" s="56"/>
      <c r="K555" s="56"/>
    </row>
    <row r="556">
      <c r="C556" s="56"/>
      <c r="E556" s="56"/>
      <c r="G556" s="56"/>
      <c r="I556" s="56"/>
      <c r="K556" s="56"/>
    </row>
    <row r="557">
      <c r="C557" s="56"/>
      <c r="E557" s="56"/>
      <c r="G557" s="56"/>
      <c r="I557" s="56"/>
      <c r="K557" s="56"/>
    </row>
    <row r="558">
      <c r="C558" s="56"/>
      <c r="E558" s="56"/>
      <c r="G558" s="56"/>
      <c r="I558" s="56"/>
      <c r="K558" s="56"/>
    </row>
    <row r="559">
      <c r="C559" s="56"/>
      <c r="E559" s="56"/>
      <c r="G559" s="56"/>
      <c r="I559" s="56"/>
      <c r="K559" s="56"/>
    </row>
    <row r="560">
      <c r="C560" s="56"/>
      <c r="E560" s="56"/>
      <c r="G560" s="56"/>
      <c r="I560" s="56"/>
      <c r="K560" s="56"/>
    </row>
    <row r="561">
      <c r="C561" s="56"/>
      <c r="E561" s="56"/>
      <c r="G561" s="56"/>
      <c r="I561" s="56"/>
      <c r="K561" s="56"/>
    </row>
    <row r="562">
      <c r="C562" s="56"/>
      <c r="E562" s="56"/>
      <c r="G562" s="56"/>
      <c r="I562" s="56"/>
      <c r="K562" s="56"/>
    </row>
    <row r="563">
      <c r="C563" s="56"/>
      <c r="E563" s="56"/>
      <c r="G563" s="56"/>
      <c r="I563" s="56"/>
      <c r="K563" s="56"/>
    </row>
    <row r="564">
      <c r="C564" s="56"/>
      <c r="E564" s="56"/>
      <c r="G564" s="56"/>
      <c r="I564" s="56"/>
      <c r="K564" s="56"/>
    </row>
    <row r="565">
      <c r="C565" s="56"/>
      <c r="E565" s="56"/>
      <c r="G565" s="56"/>
      <c r="I565" s="56"/>
      <c r="K565" s="56"/>
    </row>
    <row r="566">
      <c r="C566" s="56"/>
      <c r="E566" s="56"/>
      <c r="G566" s="56"/>
      <c r="I566" s="56"/>
      <c r="K566" s="56"/>
    </row>
    <row r="567">
      <c r="C567" s="56"/>
      <c r="E567" s="56"/>
      <c r="G567" s="56"/>
      <c r="I567" s="56"/>
      <c r="K567" s="56"/>
    </row>
    <row r="568">
      <c r="C568" s="56"/>
      <c r="E568" s="56"/>
      <c r="G568" s="56"/>
      <c r="I568" s="56"/>
      <c r="K568" s="56"/>
    </row>
    <row r="569">
      <c r="C569" s="56"/>
      <c r="E569" s="56"/>
      <c r="G569" s="56"/>
      <c r="I569" s="56"/>
      <c r="K569" s="56"/>
    </row>
    <row r="570">
      <c r="C570" s="56"/>
      <c r="E570" s="56"/>
      <c r="G570" s="56"/>
      <c r="I570" s="56"/>
      <c r="K570" s="56"/>
    </row>
    <row r="571">
      <c r="C571" s="56"/>
      <c r="E571" s="56"/>
      <c r="G571" s="56"/>
      <c r="I571" s="56"/>
      <c r="K571" s="56"/>
    </row>
    <row r="572">
      <c r="C572" s="56"/>
      <c r="E572" s="56"/>
      <c r="G572" s="56"/>
      <c r="I572" s="56"/>
      <c r="K572" s="56"/>
    </row>
    <row r="573">
      <c r="C573" s="56"/>
      <c r="E573" s="56"/>
      <c r="G573" s="56"/>
      <c r="I573" s="56"/>
      <c r="K573" s="56"/>
    </row>
    <row r="574">
      <c r="C574" s="56"/>
      <c r="E574" s="56"/>
      <c r="G574" s="56"/>
      <c r="I574" s="56"/>
      <c r="K574" s="56"/>
    </row>
    <row r="575">
      <c r="C575" s="56"/>
      <c r="E575" s="56"/>
      <c r="G575" s="56"/>
      <c r="I575" s="56"/>
      <c r="K575" s="56"/>
    </row>
    <row r="576">
      <c r="C576" s="56"/>
      <c r="E576" s="56"/>
      <c r="G576" s="56"/>
      <c r="I576" s="56"/>
      <c r="K576" s="56"/>
    </row>
    <row r="577">
      <c r="C577" s="56"/>
      <c r="E577" s="56"/>
      <c r="G577" s="56"/>
      <c r="I577" s="56"/>
      <c r="K577" s="56"/>
    </row>
    <row r="578">
      <c r="C578" s="56"/>
      <c r="E578" s="56"/>
      <c r="G578" s="56"/>
      <c r="I578" s="56"/>
      <c r="K578" s="56"/>
    </row>
    <row r="579">
      <c r="C579" s="56"/>
      <c r="E579" s="56"/>
      <c r="G579" s="56"/>
      <c r="I579" s="56"/>
      <c r="K579" s="56"/>
    </row>
    <row r="580">
      <c r="C580" s="56"/>
      <c r="E580" s="56"/>
      <c r="G580" s="56"/>
      <c r="I580" s="56"/>
      <c r="K580" s="56"/>
    </row>
    <row r="581">
      <c r="C581" s="56"/>
      <c r="E581" s="56"/>
      <c r="G581" s="56"/>
      <c r="I581" s="56"/>
      <c r="K581" s="56"/>
    </row>
    <row r="582">
      <c r="C582" s="56"/>
      <c r="E582" s="56"/>
      <c r="G582" s="56"/>
      <c r="I582" s="56"/>
      <c r="K582" s="56"/>
    </row>
    <row r="583">
      <c r="C583" s="56"/>
      <c r="E583" s="56"/>
      <c r="G583" s="56"/>
      <c r="I583" s="56"/>
      <c r="K583" s="56"/>
    </row>
    <row r="584">
      <c r="C584" s="56"/>
      <c r="E584" s="56"/>
      <c r="G584" s="56"/>
      <c r="I584" s="56"/>
      <c r="K584" s="56"/>
    </row>
    <row r="585">
      <c r="C585" s="56"/>
      <c r="E585" s="56"/>
      <c r="G585" s="56"/>
      <c r="I585" s="56"/>
      <c r="K585" s="56"/>
    </row>
    <row r="586">
      <c r="C586" s="56"/>
      <c r="E586" s="56"/>
      <c r="G586" s="56"/>
      <c r="I586" s="56"/>
      <c r="K586" s="56"/>
    </row>
    <row r="587">
      <c r="C587" s="56"/>
      <c r="E587" s="56"/>
      <c r="G587" s="56"/>
      <c r="I587" s="56"/>
      <c r="K587" s="56"/>
    </row>
    <row r="588">
      <c r="C588" s="56"/>
      <c r="E588" s="56"/>
      <c r="G588" s="56"/>
      <c r="I588" s="56"/>
      <c r="K588" s="56"/>
    </row>
    <row r="589">
      <c r="C589" s="56"/>
      <c r="E589" s="56"/>
      <c r="G589" s="56"/>
      <c r="I589" s="56"/>
      <c r="K589" s="56"/>
    </row>
    <row r="590">
      <c r="C590" s="56"/>
      <c r="E590" s="56"/>
      <c r="G590" s="56"/>
      <c r="I590" s="56"/>
      <c r="K590" s="56"/>
    </row>
    <row r="591">
      <c r="C591" s="56"/>
      <c r="E591" s="56"/>
      <c r="G591" s="56"/>
      <c r="I591" s="56"/>
      <c r="K591" s="56"/>
    </row>
    <row r="592">
      <c r="C592" s="56"/>
      <c r="E592" s="56"/>
      <c r="G592" s="56"/>
      <c r="I592" s="56"/>
      <c r="K592" s="56"/>
    </row>
    <row r="593">
      <c r="C593" s="56"/>
      <c r="E593" s="56"/>
      <c r="G593" s="56"/>
      <c r="I593" s="56"/>
      <c r="K593" s="56"/>
    </row>
    <row r="594">
      <c r="C594" s="56"/>
      <c r="E594" s="56"/>
      <c r="G594" s="56"/>
      <c r="I594" s="56"/>
      <c r="K594" s="56"/>
    </row>
    <row r="595">
      <c r="C595" s="56"/>
      <c r="E595" s="56"/>
      <c r="G595" s="56"/>
      <c r="I595" s="56"/>
      <c r="K595" s="56"/>
    </row>
    <row r="596">
      <c r="C596" s="56"/>
      <c r="E596" s="56"/>
      <c r="G596" s="56"/>
      <c r="I596" s="56"/>
      <c r="K596" s="56"/>
    </row>
    <row r="597">
      <c r="C597" s="56"/>
      <c r="E597" s="56"/>
      <c r="G597" s="56"/>
      <c r="I597" s="56"/>
      <c r="K597" s="56"/>
    </row>
    <row r="598">
      <c r="C598" s="56"/>
      <c r="E598" s="56"/>
      <c r="G598" s="56"/>
      <c r="I598" s="56"/>
      <c r="K598" s="56"/>
    </row>
    <row r="599">
      <c r="C599" s="56"/>
      <c r="E599" s="56"/>
      <c r="G599" s="56"/>
      <c r="I599" s="56"/>
      <c r="K599" s="56"/>
    </row>
    <row r="600">
      <c r="C600" s="56"/>
      <c r="E600" s="56"/>
      <c r="G600" s="56"/>
      <c r="I600" s="56"/>
      <c r="K600" s="56"/>
    </row>
    <row r="601">
      <c r="C601" s="56"/>
      <c r="E601" s="56"/>
      <c r="G601" s="56"/>
      <c r="I601" s="56"/>
      <c r="K601" s="56"/>
    </row>
    <row r="602">
      <c r="C602" s="56"/>
      <c r="E602" s="56"/>
      <c r="G602" s="56"/>
      <c r="I602" s="56"/>
      <c r="K602" s="56"/>
    </row>
    <row r="603">
      <c r="C603" s="56"/>
      <c r="E603" s="56"/>
      <c r="G603" s="56"/>
      <c r="I603" s="56"/>
      <c r="K603" s="56"/>
    </row>
    <row r="604">
      <c r="C604" s="56"/>
      <c r="E604" s="56"/>
      <c r="G604" s="56"/>
      <c r="I604" s="56"/>
      <c r="K604" s="56"/>
    </row>
    <row r="605">
      <c r="C605" s="56"/>
      <c r="E605" s="56"/>
      <c r="G605" s="56"/>
      <c r="I605" s="56"/>
      <c r="K605" s="56"/>
    </row>
    <row r="606">
      <c r="C606" s="56"/>
      <c r="E606" s="56"/>
      <c r="G606" s="56"/>
      <c r="I606" s="56"/>
      <c r="K606" s="56"/>
    </row>
    <row r="607">
      <c r="C607" s="56"/>
      <c r="E607" s="56"/>
      <c r="G607" s="56"/>
      <c r="I607" s="56"/>
      <c r="K607" s="56"/>
    </row>
    <row r="608">
      <c r="C608" s="56"/>
      <c r="E608" s="56"/>
      <c r="G608" s="56"/>
      <c r="I608" s="56"/>
      <c r="K608" s="56"/>
    </row>
    <row r="609">
      <c r="C609" s="56"/>
      <c r="E609" s="56"/>
      <c r="G609" s="56"/>
      <c r="I609" s="56"/>
      <c r="K609" s="56"/>
    </row>
    <row r="610">
      <c r="C610" s="56"/>
      <c r="E610" s="56"/>
      <c r="G610" s="56"/>
      <c r="I610" s="56"/>
      <c r="K610" s="56"/>
    </row>
    <row r="611">
      <c r="C611" s="56"/>
      <c r="E611" s="56"/>
      <c r="G611" s="56"/>
      <c r="I611" s="56"/>
      <c r="K611" s="56"/>
    </row>
    <row r="612">
      <c r="C612" s="56"/>
      <c r="E612" s="56"/>
      <c r="G612" s="56"/>
      <c r="I612" s="56"/>
      <c r="K612" s="56"/>
    </row>
    <row r="613">
      <c r="C613" s="56"/>
      <c r="E613" s="56"/>
      <c r="G613" s="56"/>
      <c r="I613" s="56"/>
      <c r="K613" s="56"/>
    </row>
    <row r="614">
      <c r="C614" s="56"/>
      <c r="E614" s="56"/>
      <c r="G614" s="56"/>
      <c r="I614" s="56"/>
      <c r="K614" s="56"/>
    </row>
    <row r="615">
      <c r="C615" s="56"/>
      <c r="E615" s="56"/>
      <c r="G615" s="56"/>
      <c r="I615" s="56"/>
      <c r="K615" s="56"/>
    </row>
    <row r="616">
      <c r="C616" s="56"/>
      <c r="E616" s="56"/>
      <c r="G616" s="56"/>
      <c r="I616" s="56"/>
      <c r="K616" s="56"/>
    </row>
    <row r="617">
      <c r="C617" s="56"/>
      <c r="E617" s="56"/>
      <c r="G617" s="56"/>
      <c r="I617" s="56"/>
      <c r="K617" s="56"/>
    </row>
    <row r="618">
      <c r="C618" s="56"/>
      <c r="E618" s="56"/>
      <c r="G618" s="56"/>
      <c r="I618" s="56"/>
      <c r="K618" s="56"/>
    </row>
    <row r="619">
      <c r="C619" s="56"/>
      <c r="E619" s="56"/>
      <c r="G619" s="56"/>
      <c r="I619" s="56"/>
      <c r="K619" s="56"/>
    </row>
    <row r="620">
      <c r="C620" s="56"/>
      <c r="E620" s="56"/>
      <c r="G620" s="56"/>
      <c r="I620" s="56"/>
      <c r="K620" s="56"/>
    </row>
    <row r="621">
      <c r="C621" s="56"/>
      <c r="E621" s="56"/>
      <c r="G621" s="56"/>
      <c r="I621" s="56"/>
      <c r="K621" s="56"/>
    </row>
    <row r="622">
      <c r="C622" s="56"/>
      <c r="E622" s="56"/>
      <c r="G622" s="56"/>
      <c r="I622" s="56"/>
      <c r="K622" s="56"/>
    </row>
    <row r="623">
      <c r="C623" s="56"/>
      <c r="E623" s="56"/>
      <c r="G623" s="56"/>
      <c r="I623" s="56"/>
      <c r="K623" s="56"/>
    </row>
    <row r="624">
      <c r="C624" s="56"/>
      <c r="E624" s="56"/>
      <c r="G624" s="56"/>
      <c r="I624" s="56"/>
      <c r="K624" s="56"/>
    </row>
    <row r="625">
      <c r="C625" s="56"/>
      <c r="E625" s="56"/>
      <c r="G625" s="56"/>
      <c r="I625" s="56"/>
      <c r="K625" s="56"/>
    </row>
    <row r="626">
      <c r="C626" s="56"/>
      <c r="E626" s="56"/>
      <c r="G626" s="56"/>
      <c r="I626" s="56"/>
      <c r="K626" s="56"/>
    </row>
    <row r="627">
      <c r="C627" s="56"/>
      <c r="E627" s="56"/>
      <c r="G627" s="56"/>
      <c r="I627" s="56"/>
      <c r="K627" s="56"/>
    </row>
    <row r="628">
      <c r="C628" s="56"/>
      <c r="E628" s="56"/>
      <c r="G628" s="56"/>
      <c r="I628" s="56"/>
      <c r="K628" s="56"/>
    </row>
    <row r="629">
      <c r="C629" s="56"/>
      <c r="E629" s="56"/>
      <c r="G629" s="56"/>
      <c r="I629" s="56"/>
      <c r="K629" s="56"/>
    </row>
    <row r="630">
      <c r="C630" s="56"/>
      <c r="E630" s="56"/>
      <c r="G630" s="56"/>
      <c r="I630" s="56"/>
      <c r="K630" s="56"/>
    </row>
    <row r="631">
      <c r="C631" s="56"/>
      <c r="E631" s="56"/>
      <c r="G631" s="56"/>
      <c r="I631" s="56"/>
      <c r="K631" s="56"/>
    </row>
    <row r="632">
      <c r="C632" s="56"/>
      <c r="E632" s="56"/>
      <c r="G632" s="56"/>
      <c r="I632" s="56"/>
      <c r="K632" s="56"/>
    </row>
    <row r="633">
      <c r="C633" s="56"/>
      <c r="E633" s="56"/>
      <c r="G633" s="56"/>
      <c r="I633" s="56"/>
      <c r="K633" s="56"/>
    </row>
    <row r="634">
      <c r="C634" s="56"/>
      <c r="E634" s="56"/>
      <c r="G634" s="56"/>
      <c r="I634" s="56"/>
      <c r="K634" s="56"/>
    </row>
    <row r="635">
      <c r="C635" s="56"/>
      <c r="E635" s="56"/>
      <c r="G635" s="56"/>
      <c r="I635" s="56"/>
      <c r="K635" s="56"/>
    </row>
    <row r="636">
      <c r="C636" s="56"/>
      <c r="E636" s="56"/>
      <c r="G636" s="56"/>
      <c r="I636" s="56"/>
      <c r="K636" s="56"/>
    </row>
    <row r="637">
      <c r="C637" s="56"/>
      <c r="E637" s="56"/>
      <c r="G637" s="56"/>
      <c r="I637" s="56"/>
      <c r="K637" s="56"/>
    </row>
    <row r="638">
      <c r="C638" s="56"/>
      <c r="E638" s="56"/>
      <c r="G638" s="56"/>
      <c r="I638" s="56"/>
      <c r="K638" s="56"/>
    </row>
    <row r="639">
      <c r="C639" s="56"/>
      <c r="E639" s="56"/>
      <c r="G639" s="56"/>
      <c r="I639" s="56"/>
      <c r="K639" s="56"/>
    </row>
    <row r="640">
      <c r="C640" s="56"/>
      <c r="E640" s="56"/>
      <c r="G640" s="56"/>
      <c r="I640" s="56"/>
      <c r="K640" s="56"/>
    </row>
    <row r="641">
      <c r="C641" s="56"/>
      <c r="E641" s="56"/>
      <c r="G641" s="56"/>
      <c r="I641" s="56"/>
      <c r="K641" s="56"/>
    </row>
    <row r="642">
      <c r="C642" s="56"/>
      <c r="E642" s="56"/>
      <c r="G642" s="56"/>
      <c r="I642" s="56"/>
      <c r="K642" s="56"/>
    </row>
    <row r="643">
      <c r="C643" s="56"/>
      <c r="E643" s="56"/>
      <c r="G643" s="56"/>
      <c r="I643" s="56"/>
      <c r="K643" s="56"/>
    </row>
    <row r="644">
      <c r="C644" s="56"/>
      <c r="E644" s="56"/>
      <c r="G644" s="56"/>
      <c r="I644" s="56"/>
      <c r="K644" s="56"/>
    </row>
    <row r="645">
      <c r="C645" s="56"/>
      <c r="E645" s="56"/>
      <c r="G645" s="56"/>
      <c r="I645" s="56"/>
      <c r="K645" s="56"/>
    </row>
    <row r="646">
      <c r="C646" s="56"/>
      <c r="E646" s="56"/>
      <c r="G646" s="56"/>
      <c r="I646" s="56"/>
      <c r="K646" s="56"/>
    </row>
    <row r="647">
      <c r="C647" s="56"/>
      <c r="E647" s="56"/>
      <c r="G647" s="56"/>
      <c r="I647" s="56"/>
      <c r="K647" s="56"/>
    </row>
    <row r="648">
      <c r="C648" s="56"/>
      <c r="E648" s="56"/>
      <c r="G648" s="56"/>
      <c r="I648" s="56"/>
      <c r="K648" s="56"/>
    </row>
    <row r="649">
      <c r="C649" s="56"/>
      <c r="E649" s="56"/>
      <c r="G649" s="56"/>
      <c r="I649" s="56"/>
      <c r="K649" s="56"/>
    </row>
    <row r="650">
      <c r="C650" s="56"/>
      <c r="E650" s="56"/>
      <c r="G650" s="56"/>
      <c r="I650" s="56"/>
      <c r="K650" s="56"/>
    </row>
    <row r="651">
      <c r="C651" s="56"/>
      <c r="E651" s="56"/>
      <c r="G651" s="56"/>
      <c r="I651" s="56"/>
      <c r="K651" s="56"/>
    </row>
    <row r="652">
      <c r="C652" s="56"/>
      <c r="E652" s="56"/>
      <c r="G652" s="56"/>
      <c r="I652" s="56"/>
      <c r="K652" s="56"/>
    </row>
    <row r="653">
      <c r="C653" s="56"/>
      <c r="E653" s="56"/>
      <c r="G653" s="56"/>
      <c r="I653" s="56"/>
      <c r="K653" s="56"/>
    </row>
    <row r="654">
      <c r="C654" s="56"/>
      <c r="E654" s="56"/>
      <c r="G654" s="56"/>
      <c r="I654" s="56"/>
      <c r="K654" s="56"/>
    </row>
    <row r="655">
      <c r="C655" s="56"/>
      <c r="E655" s="56"/>
      <c r="G655" s="56"/>
      <c r="I655" s="56"/>
      <c r="K655" s="56"/>
    </row>
    <row r="656">
      <c r="C656" s="56"/>
      <c r="E656" s="56"/>
      <c r="G656" s="56"/>
      <c r="I656" s="56"/>
      <c r="K656" s="56"/>
    </row>
    <row r="657">
      <c r="C657" s="56"/>
      <c r="E657" s="56"/>
      <c r="G657" s="56"/>
      <c r="I657" s="56"/>
      <c r="K657" s="56"/>
    </row>
    <row r="658">
      <c r="C658" s="56"/>
      <c r="E658" s="56"/>
      <c r="G658" s="56"/>
      <c r="I658" s="56"/>
      <c r="K658" s="56"/>
    </row>
    <row r="659">
      <c r="C659" s="56"/>
      <c r="E659" s="56"/>
      <c r="G659" s="56"/>
      <c r="I659" s="56"/>
      <c r="K659" s="56"/>
    </row>
    <row r="660">
      <c r="C660" s="56"/>
      <c r="E660" s="56"/>
      <c r="G660" s="56"/>
      <c r="I660" s="56"/>
      <c r="K660" s="56"/>
    </row>
    <row r="661">
      <c r="C661" s="56"/>
      <c r="E661" s="56"/>
      <c r="G661" s="56"/>
      <c r="I661" s="56"/>
      <c r="K661" s="56"/>
    </row>
    <row r="662">
      <c r="C662" s="56"/>
      <c r="E662" s="56"/>
      <c r="G662" s="56"/>
      <c r="I662" s="56"/>
      <c r="K662" s="56"/>
    </row>
    <row r="663">
      <c r="C663" s="56"/>
      <c r="E663" s="56"/>
      <c r="G663" s="56"/>
      <c r="I663" s="56"/>
      <c r="K663" s="56"/>
    </row>
    <row r="664">
      <c r="C664" s="56"/>
      <c r="E664" s="56"/>
      <c r="G664" s="56"/>
      <c r="I664" s="56"/>
      <c r="K664" s="56"/>
    </row>
    <row r="665">
      <c r="C665" s="56"/>
      <c r="E665" s="56"/>
      <c r="G665" s="56"/>
      <c r="I665" s="56"/>
      <c r="K665" s="56"/>
    </row>
    <row r="666">
      <c r="C666" s="56"/>
      <c r="E666" s="56"/>
      <c r="G666" s="56"/>
      <c r="I666" s="56"/>
      <c r="K666" s="56"/>
    </row>
    <row r="667">
      <c r="C667" s="56"/>
      <c r="E667" s="56"/>
      <c r="G667" s="56"/>
      <c r="I667" s="56"/>
      <c r="K667" s="56"/>
    </row>
    <row r="668">
      <c r="C668" s="56"/>
      <c r="E668" s="56"/>
      <c r="G668" s="56"/>
      <c r="I668" s="56"/>
      <c r="K668" s="56"/>
    </row>
    <row r="669">
      <c r="C669" s="56"/>
      <c r="E669" s="56"/>
      <c r="G669" s="56"/>
      <c r="I669" s="56"/>
      <c r="K669" s="56"/>
    </row>
    <row r="670">
      <c r="C670" s="56"/>
      <c r="E670" s="56"/>
      <c r="G670" s="56"/>
      <c r="I670" s="56"/>
      <c r="K670" s="56"/>
    </row>
    <row r="671">
      <c r="C671" s="56"/>
      <c r="E671" s="56"/>
      <c r="G671" s="56"/>
      <c r="I671" s="56"/>
      <c r="K671" s="56"/>
    </row>
    <row r="672">
      <c r="C672" s="56"/>
      <c r="E672" s="56"/>
      <c r="G672" s="56"/>
      <c r="I672" s="56"/>
      <c r="K672" s="56"/>
    </row>
    <row r="673">
      <c r="C673" s="56"/>
      <c r="E673" s="56"/>
      <c r="G673" s="56"/>
      <c r="I673" s="56"/>
      <c r="K673" s="56"/>
    </row>
    <row r="674">
      <c r="C674" s="56"/>
      <c r="E674" s="56"/>
      <c r="G674" s="56"/>
      <c r="I674" s="56"/>
      <c r="K674" s="56"/>
    </row>
    <row r="675">
      <c r="C675" s="56"/>
      <c r="E675" s="56"/>
      <c r="G675" s="56"/>
      <c r="I675" s="56"/>
      <c r="K675" s="56"/>
    </row>
    <row r="676">
      <c r="C676" s="56"/>
      <c r="E676" s="56"/>
      <c r="G676" s="56"/>
      <c r="I676" s="56"/>
      <c r="K676" s="56"/>
    </row>
    <row r="677">
      <c r="C677" s="56"/>
      <c r="E677" s="56"/>
      <c r="G677" s="56"/>
      <c r="I677" s="56"/>
      <c r="K677" s="56"/>
    </row>
    <row r="678">
      <c r="C678" s="56"/>
      <c r="E678" s="56"/>
      <c r="G678" s="56"/>
      <c r="I678" s="56"/>
      <c r="K678" s="56"/>
    </row>
    <row r="679">
      <c r="C679" s="56"/>
      <c r="E679" s="56"/>
      <c r="G679" s="56"/>
      <c r="I679" s="56"/>
      <c r="K679" s="56"/>
    </row>
    <row r="680">
      <c r="C680" s="56"/>
      <c r="E680" s="56"/>
      <c r="G680" s="56"/>
      <c r="I680" s="56"/>
      <c r="K680" s="56"/>
    </row>
    <row r="681">
      <c r="C681" s="56"/>
      <c r="E681" s="56"/>
      <c r="G681" s="56"/>
      <c r="I681" s="56"/>
      <c r="K681" s="56"/>
    </row>
    <row r="682">
      <c r="C682" s="56"/>
      <c r="E682" s="56"/>
      <c r="G682" s="56"/>
      <c r="I682" s="56"/>
      <c r="K682" s="56"/>
    </row>
    <row r="683">
      <c r="C683" s="56"/>
      <c r="E683" s="56"/>
      <c r="G683" s="56"/>
      <c r="I683" s="56"/>
      <c r="K683" s="56"/>
    </row>
    <row r="684">
      <c r="C684" s="56"/>
      <c r="E684" s="56"/>
      <c r="G684" s="56"/>
      <c r="I684" s="56"/>
      <c r="K684" s="56"/>
    </row>
    <row r="685">
      <c r="C685" s="56"/>
      <c r="E685" s="56"/>
      <c r="G685" s="56"/>
      <c r="I685" s="56"/>
      <c r="K685" s="56"/>
    </row>
    <row r="686">
      <c r="C686" s="56"/>
      <c r="E686" s="56"/>
      <c r="G686" s="56"/>
      <c r="I686" s="56"/>
      <c r="K686" s="56"/>
    </row>
    <row r="687">
      <c r="C687" s="56"/>
      <c r="E687" s="56"/>
      <c r="G687" s="56"/>
      <c r="I687" s="56"/>
      <c r="K687" s="56"/>
    </row>
    <row r="688">
      <c r="C688" s="56"/>
      <c r="E688" s="56"/>
      <c r="G688" s="56"/>
      <c r="I688" s="56"/>
      <c r="K688" s="56"/>
    </row>
    <row r="689">
      <c r="C689" s="56"/>
      <c r="E689" s="56"/>
      <c r="G689" s="56"/>
      <c r="I689" s="56"/>
      <c r="K689" s="56"/>
    </row>
    <row r="690">
      <c r="C690" s="56"/>
      <c r="E690" s="56"/>
      <c r="G690" s="56"/>
      <c r="I690" s="56"/>
      <c r="K690" s="56"/>
    </row>
    <row r="691">
      <c r="C691" s="56"/>
      <c r="E691" s="56"/>
      <c r="G691" s="56"/>
      <c r="I691" s="56"/>
      <c r="K691" s="56"/>
    </row>
    <row r="692">
      <c r="C692" s="56"/>
      <c r="E692" s="56"/>
      <c r="G692" s="56"/>
      <c r="I692" s="56"/>
      <c r="K692" s="56"/>
    </row>
    <row r="693">
      <c r="C693" s="56"/>
      <c r="E693" s="56"/>
      <c r="G693" s="56"/>
      <c r="I693" s="56"/>
      <c r="K693" s="56"/>
    </row>
    <row r="694">
      <c r="C694" s="56"/>
      <c r="E694" s="56"/>
      <c r="G694" s="56"/>
      <c r="I694" s="56"/>
      <c r="K694" s="56"/>
    </row>
    <row r="695">
      <c r="C695" s="56"/>
      <c r="E695" s="56"/>
      <c r="G695" s="56"/>
      <c r="I695" s="56"/>
      <c r="K695" s="56"/>
    </row>
    <row r="696">
      <c r="C696" s="56"/>
      <c r="E696" s="56"/>
      <c r="G696" s="56"/>
      <c r="I696" s="56"/>
      <c r="K696" s="56"/>
    </row>
    <row r="697">
      <c r="C697" s="56"/>
      <c r="E697" s="56"/>
      <c r="G697" s="56"/>
      <c r="I697" s="56"/>
      <c r="K697" s="56"/>
    </row>
    <row r="698">
      <c r="C698" s="56"/>
      <c r="E698" s="56"/>
      <c r="G698" s="56"/>
      <c r="I698" s="56"/>
      <c r="K698" s="56"/>
    </row>
    <row r="699">
      <c r="C699" s="56"/>
      <c r="E699" s="56"/>
      <c r="G699" s="56"/>
      <c r="I699" s="56"/>
      <c r="K699" s="56"/>
    </row>
    <row r="700">
      <c r="C700" s="56"/>
      <c r="E700" s="56"/>
      <c r="G700" s="56"/>
      <c r="I700" s="56"/>
      <c r="K700" s="56"/>
    </row>
    <row r="701">
      <c r="C701" s="56"/>
      <c r="E701" s="56"/>
      <c r="G701" s="56"/>
      <c r="I701" s="56"/>
      <c r="K701" s="56"/>
    </row>
    <row r="702">
      <c r="C702" s="56"/>
      <c r="E702" s="56"/>
      <c r="G702" s="56"/>
      <c r="I702" s="56"/>
      <c r="K702" s="56"/>
    </row>
    <row r="703">
      <c r="C703" s="56"/>
      <c r="E703" s="56"/>
      <c r="G703" s="56"/>
      <c r="I703" s="56"/>
      <c r="K703" s="56"/>
    </row>
    <row r="704">
      <c r="C704" s="56"/>
      <c r="E704" s="56"/>
      <c r="G704" s="56"/>
      <c r="I704" s="56"/>
      <c r="K704" s="56"/>
    </row>
    <row r="705">
      <c r="C705" s="56"/>
      <c r="E705" s="56"/>
      <c r="G705" s="56"/>
      <c r="I705" s="56"/>
      <c r="K705" s="56"/>
    </row>
    <row r="706">
      <c r="C706" s="56"/>
      <c r="E706" s="56"/>
      <c r="G706" s="56"/>
      <c r="I706" s="56"/>
      <c r="K706" s="56"/>
    </row>
    <row r="707">
      <c r="C707" s="56"/>
      <c r="E707" s="56"/>
      <c r="G707" s="56"/>
      <c r="I707" s="56"/>
      <c r="K707" s="56"/>
    </row>
    <row r="708">
      <c r="C708" s="56"/>
      <c r="E708" s="56"/>
      <c r="G708" s="56"/>
      <c r="I708" s="56"/>
      <c r="K708" s="56"/>
    </row>
    <row r="709">
      <c r="C709" s="56"/>
      <c r="E709" s="56"/>
      <c r="G709" s="56"/>
      <c r="I709" s="56"/>
      <c r="K709" s="56"/>
    </row>
    <row r="710">
      <c r="C710" s="56"/>
      <c r="E710" s="56"/>
      <c r="G710" s="56"/>
      <c r="I710" s="56"/>
      <c r="K710" s="56"/>
    </row>
    <row r="711">
      <c r="C711" s="56"/>
      <c r="E711" s="56"/>
      <c r="G711" s="56"/>
      <c r="I711" s="56"/>
      <c r="K711" s="56"/>
    </row>
    <row r="712">
      <c r="C712" s="56"/>
      <c r="E712" s="56"/>
      <c r="G712" s="56"/>
      <c r="I712" s="56"/>
      <c r="K712" s="56"/>
    </row>
    <row r="713">
      <c r="C713" s="56"/>
      <c r="E713" s="56"/>
      <c r="G713" s="56"/>
      <c r="I713" s="56"/>
      <c r="K713" s="56"/>
    </row>
    <row r="714">
      <c r="C714" s="56"/>
      <c r="E714" s="56"/>
      <c r="G714" s="56"/>
      <c r="I714" s="56"/>
      <c r="K714" s="56"/>
    </row>
    <row r="715">
      <c r="C715" s="56"/>
      <c r="E715" s="56"/>
      <c r="G715" s="56"/>
      <c r="I715" s="56"/>
      <c r="K715" s="56"/>
    </row>
    <row r="716">
      <c r="C716" s="56"/>
      <c r="E716" s="56"/>
      <c r="G716" s="56"/>
      <c r="I716" s="56"/>
      <c r="K716" s="56"/>
    </row>
    <row r="717">
      <c r="C717" s="56"/>
      <c r="E717" s="56"/>
      <c r="G717" s="56"/>
      <c r="I717" s="56"/>
      <c r="K717" s="56"/>
    </row>
    <row r="718">
      <c r="C718" s="56"/>
      <c r="E718" s="56"/>
      <c r="G718" s="56"/>
      <c r="I718" s="56"/>
      <c r="K718" s="56"/>
    </row>
    <row r="719">
      <c r="C719" s="56"/>
      <c r="E719" s="56"/>
      <c r="G719" s="56"/>
      <c r="I719" s="56"/>
      <c r="K719" s="56"/>
    </row>
    <row r="720">
      <c r="C720" s="56"/>
      <c r="E720" s="56"/>
      <c r="G720" s="56"/>
      <c r="I720" s="56"/>
      <c r="K720" s="56"/>
    </row>
    <row r="721">
      <c r="C721" s="56"/>
      <c r="E721" s="56"/>
      <c r="G721" s="56"/>
      <c r="I721" s="56"/>
      <c r="K721" s="56"/>
    </row>
    <row r="722">
      <c r="C722" s="56"/>
      <c r="E722" s="56"/>
      <c r="G722" s="56"/>
      <c r="I722" s="56"/>
      <c r="K722" s="56"/>
    </row>
    <row r="723">
      <c r="C723" s="56"/>
      <c r="E723" s="56"/>
      <c r="G723" s="56"/>
      <c r="I723" s="56"/>
      <c r="K723" s="56"/>
    </row>
    <row r="724">
      <c r="C724" s="56"/>
      <c r="E724" s="56"/>
      <c r="G724" s="56"/>
      <c r="I724" s="56"/>
      <c r="K724" s="56"/>
    </row>
    <row r="725">
      <c r="C725" s="56"/>
      <c r="E725" s="56"/>
      <c r="G725" s="56"/>
      <c r="I725" s="56"/>
      <c r="K725" s="56"/>
    </row>
    <row r="726">
      <c r="C726" s="56"/>
      <c r="E726" s="56"/>
      <c r="G726" s="56"/>
      <c r="I726" s="56"/>
      <c r="K726" s="56"/>
    </row>
    <row r="727">
      <c r="C727" s="56"/>
      <c r="E727" s="56"/>
      <c r="G727" s="56"/>
      <c r="I727" s="56"/>
      <c r="K727" s="56"/>
    </row>
    <row r="728">
      <c r="C728" s="56"/>
      <c r="E728" s="56"/>
      <c r="G728" s="56"/>
      <c r="I728" s="56"/>
      <c r="K728" s="56"/>
    </row>
    <row r="729">
      <c r="C729" s="56"/>
      <c r="E729" s="56"/>
      <c r="G729" s="56"/>
      <c r="I729" s="56"/>
      <c r="K729" s="56"/>
    </row>
    <row r="730">
      <c r="C730" s="56"/>
      <c r="E730" s="56"/>
      <c r="G730" s="56"/>
      <c r="I730" s="56"/>
      <c r="K730" s="56"/>
    </row>
    <row r="731">
      <c r="C731" s="56"/>
      <c r="E731" s="56"/>
      <c r="G731" s="56"/>
      <c r="I731" s="56"/>
      <c r="K731" s="56"/>
    </row>
    <row r="732">
      <c r="C732" s="56"/>
      <c r="E732" s="56"/>
      <c r="G732" s="56"/>
      <c r="I732" s="56"/>
      <c r="K732" s="56"/>
    </row>
    <row r="733">
      <c r="C733" s="56"/>
      <c r="E733" s="56"/>
      <c r="G733" s="56"/>
      <c r="I733" s="56"/>
      <c r="K733" s="56"/>
    </row>
    <row r="734">
      <c r="C734" s="56"/>
      <c r="E734" s="56"/>
      <c r="G734" s="56"/>
      <c r="I734" s="56"/>
      <c r="K734" s="56"/>
    </row>
    <row r="735">
      <c r="C735" s="56"/>
      <c r="E735" s="56"/>
      <c r="G735" s="56"/>
      <c r="I735" s="56"/>
      <c r="K735" s="56"/>
    </row>
    <row r="736">
      <c r="C736" s="56"/>
      <c r="E736" s="56"/>
      <c r="G736" s="56"/>
      <c r="I736" s="56"/>
      <c r="K736" s="56"/>
    </row>
    <row r="737">
      <c r="C737" s="56"/>
      <c r="E737" s="56"/>
      <c r="G737" s="56"/>
      <c r="I737" s="56"/>
      <c r="K737" s="56"/>
    </row>
    <row r="738">
      <c r="C738" s="56"/>
      <c r="E738" s="56"/>
      <c r="G738" s="56"/>
      <c r="I738" s="56"/>
      <c r="K738" s="56"/>
    </row>
    <row r="739">
      <c r="C739" s="56"/>
      <c r="E739" s="56"/>
      <c r="G739" s="56"/>
      <c r="I739" s="56"/>
      <c r="K739" s="56"/>
    </row>
    <row r="740">
      <c r="C740" s="56"/>
      <c r="E740" s="56"/>
      <c r="G740" s="56"/>
      <c r="I740" s="56"/>
      <c r="K740" s="56"/>
    </row>
    <row r="741">
      <c r="C741" s="56"/>
      <c r="E741" s="56"/>
      <c r="G741" s="56"/>
      <c r="I741" s="56"/>
      <c r="K741" s="56"/>
    </row>
    <row r="742">
      <c r="C742" s="56"/>
      <c r="E742" s="56"/>
      <c r="G742" s="56"/>
      <c r="I742" s="56"/>
      <c r="K742" s="56"/>
    </row>
    <row r="743">
      <c r="C743" s="56"/>
      <c r="E743" s="56"/>
      <c r="G743" s="56"/>
      <c r="I743" s="56"/>
      <c r="K743" s="56"/>
    </row>
    <row r="744">
      <c r="C744" s="56"/>
      <c r="E744" s="56"/>
      <c r="G744" s="56"/>
      <c r="I744" s="56"/>
      <c r="K744" s="56"/>
    </row>
    <row r="745">
      <c r="C745" s="56"/>
      <c r="E745" s="56"/>
      <c r="G745" s="56"/>
      <c r="I745" s="56"/>
      <c r="K745" s="56"/>
    </row>
    <row r="746">
      <c r="C746" s="56"/>
      <c r="E746" s="56"/>
      <c r="G746" s="56"/>
      <c r="I746" s="56"/>
      <c r="K746" s="56"/>
    </row>
    <row r="747">
      <c r="C747" s="56"/>
      <c r="E747" s="56"/>
      <c r="G747" s="56"/>
      <c r="I747" s="56"/>
      <c r="K747" s="56"/>
    </row>
    <row r="748">
      <c r="C748" s="56"/>
      <c r="E748" s="56"/>
      <c r="G748" s="56"/>
      <c r="I748" s="56"/>
      <c r="K748" s="56"/>
    </row>
    <row r="749">
      <c r="C749" s="56"/>
      <c r="E749" s="56"/>
      <c r="G749" s="56"/>
      <c r="I749" s="56"/>
      <c r="K749" s="56"/>
    </row>
    <row r="750">
      <c r="C750" s="56"/>
      <c r="E750" s="56"/>
      <c r="G750" s="56"/>
      <c r="I750" s="56"/>
      <c r="K750" s="56"/>
    </row>
    <row r="751">
      <c r="C751" s="56"/>
      <c r="E751" s="56"/>
      <c r="G751" s="56"/>
      <c r="I751" s="56"/>
      <c r="K751" s="56"/>
    </row>
    <row r="752">
      <c r="C752" s="56"/>
      <c r="E752" s="56"/>
      <c r="G752" s="56"/>
      <c r="I752" s="56"/>
      <c r="K752" s="56"/>
    </row>
    <row r="753">
      <c r="C753" s="56"/>
      <c r="E753" s="56"/>
      <c r="G753" s="56"/>
      <c r="I753" s="56"/>
      <c r="K753" s="56"/>
    </row>
    <row r="754">
      <c r="C754" s="56"/>
      <c r="E754" s="56"/>
      <c r="G754" s="56"/>
      <c r="I754" s="56"/>
      <c r="K754" s="56"/>
    </row>
    <row r="755">
      <c r="C755" s="56"/>
      <c r="E755" s="56"/>
      <c r="G755" s="56"/>
      <c r="I755" s="56"/>
      <c r="K755" s="56"/>
    </row>
    <row r="756">
      <c r="C756" s="56"/>
      <c r="E756" s="56"/>
      <c r="G756" s="56"/>
      <c r="I756" s="56"/>
      <c r="K756" s="56"/>
    </row>
    <row r="757">
      <c r="C757" s="56"/>
      <c r="E757" s="56"/>
      <c r="G757" s="56"/>
      <c r="I757" s="56"/>
      <c r="K757" s="56"/>
    </row>
    <row r="758">
      <c r="C758" s="56"/>
      <c r="E758" s="56"/>
      <c r="G758" s="56"/>
      <c r="I758" s="56"/>
      <c r="K758" s="56"/>
    </row>
    <row r="759">
      <c r="C759" s="56"/>
      <c r="E759" s="56"/>
      <c r="G759" s="56"/>
      <c r="I759" s="56"/>
      <c r="K759" s="56"/>
    </row>
    <row r="760">
      <c r="C760" s="56"/>
      <c r="E760" s="56"/>
      <c r="G760" s="56"/>
      <c r="I760" s="56"/>
      <c r="K760" s="56"/>
    </row>
    <row r="761">
      <c r="C761" s="56"/>
      <c r="E761" s="56"/>
      <c r="G761" s="56"/>
      <c r="I761" s="56"/>
      <c r="K761" s="56"/>
    </row>
    <row r="762">
      <c r="C762" s="56"/>
      <c r="E762" s="56"/>
      <c r="G762" s="56"/>
      <c r="I762" s="56"/>
      <c r="K762" s="56"/>
    </row>
    <row r="763">
      <c r="C763" s="56"/>
      <c r="E763" s="56"/>
      <c r="G763" s="56"/>
      <c r="I763" s="56"/>
      <c r="K763" s="56"/>
    </row>
    <row r="764">
      <c r="C764" s="56"/>
      <c r="E764" s="56"/>
      <c r="G764" s="56"/>
      <c r="I764" s="56"/>
      <c r="K764" s="56"/>
    </row>
    <row r="765">
      <c r="C765" s="56"/>
      <c r="E765" s="56"/>
      <c r="G765" s="56"/>
      <c r="I765" s="56"/>
      <c r="K765" s="56"/>
    </row>
    <row r="766">
      <c r="C766" s="56"/>
      <c r="E766" s="56"/>
      <c r="G766" s="56"/>
      <c r="I766" s="56"/>
      <c r="K766" s="56"/>
    </row>
    <row r="767">
      <c r="C767" s="56"/>
      <c r="E767" s="56"/>
      <c r="G767" s="56"/>
      <c r="I767" s="56"/>
      <c r="K767" s="56"/>
    </row>
    <row r="768">
      <c r="C768" s="56"/>
      <c r="E768" s="56"/>
      <c r="G768" s="56"/>
      <c r="I768" s="56"/>
      <c r="K768" s="56"/>
    </row>
    <row r="769">
      <c r="C769" s="56"/>
      <c r="E769" s="56"/>
      <c r="G769" s="56"/>
      <c r="I769" s="56"/>
      <c r="K769" s="56"/>
    </row>
    <row r="770">
      <c r="C770" s="56"/>
      <c r="E770" s="56"/>
      <c r="G770" s="56"/>
      <c r="I770" s="56"/>
      <c r="K770" s="56"/>
    </row>
    <row r="771">
      <c r="C771" s="56"/>
      <c r="E771" s="56"/>
      <c r="G771" s="56"/>
      <c r="I771" s="56"/>
      <c r="K771" s="56"/>
    </row>
    <row r="772">
      <c r="C772" s="56"/>
      <c r="E772" s="56"/>
      <c r="G772" s="56"/>
      <c r="I772" s="56"/>
      <c r="K772" s="56"/>
    </row>
    <row r="773">
      <c r="C773" s="56"/>
      <c r="E773" s="56"/>
      <c r="G773" s="56"/>
      <c r="I773" s="56"/>
      <c r="K773" s="56"/>
    </row>
    <row r="774">
      <c r="C774" s="56"/>
      <c r="E774" s="56"/>
      <c r="G774" s="56"/>
      <c r="I774" s="56"/>
      <c r="K774" s="56"/>
    </row>
    <row r="775">
      <c r="C775" s="56"/>
      <c r="E775" s="56"/>
      <c r="G775" s="56"/>
      <c r="I775" s="56"/>
      <c r="K775" s="56"/>
    </row>
    <row r="776">
      <c r="C776" s="56"/>
      <c r="E776" s="56"/>
      <c r="G776" s="56"/>
      <c r="I776" s="56"/>
      <c r="K776" s="56"/>
    </row>
    <row r="777">
      <c r="C777" s="56"/>
      <c r="E777" s="56"/>
      <c r="G777" s="56"/>
      <c r="I777" s="56"/>
      <c r="K777" s="56"/>
    </row>
    <row r="778">
      <c r="C778" s="56"/>
      <c r="E778" s="56"/>
      <c r="G778" s="56"/>
      <c r="I778" s="56"/>
      <c r="K778" s="56"/>
    </row>
    <row r="779">
      <c r="C779" s="56"/>
      <c r="E779" s="56"/>
      <c r="G779" s="56"/>
      <c r="I779" s="56"/>
      <c r="K779" s="56"/>
    </row>
    <row r="780">
      <c r="C780" s="56"/>
      <c r="E780" s="56"/>
      <c r="G780" s="56"/>
      <c r="I780" s="56"/>
      <c r="K780" s="56"/>
    </row>
    <row r="781">
      <c r="C781" s="56"/>
      <c r="E781" s="56"/>
      <c r="G781" s="56"/>
      <c r="I781" s="56"/>
      <c r="K781" s="56"/>
    </row>
    <row r="782">
      <c r="C782" s="56"/>
      <c r="E782" s="56"/>
      <c r="G782" s="56"/>
      <c r="I782" s="56"/>
      <c r="K782" s="56"/>
    </row>
    <row r="783">
      <c r="C783" s="56"/>
      <c r="E783" s="56"/>
      <c r="G783" s="56"/>
      <c r="I783" s="56"/>
      <c r="K783" s="56"/>
    </row>
    <row r="784">
      <c r="C784" s="56"/>
      <c r="E784" s="56"/>
      <c r="G784" s="56"/>
      <c r="I784" s="56"/>
      <c r="K784" s="56"/>
    </row>
    <row r="785">
      <c r="C785" s="56"/>
      <c r="E785" s="56"/>
      <c r="G785" s="56"/>
      <c r="I785" s="56"/>
      <c r="K785" s="56"/>
    </row>
    <row r="786">
      <c r="C786" s="56"/>
      <c r="E786" s="56"/>
      <c r="G786" s="56"/>
      <c r="I786" s="56"/>
      <c r="K786" s="56"/>
    </row>
    <row r="787">
      <c r="C787" s="56"/>
      <c r="E787" s="56"/>
      <c r="G787" s="56"/>
      <c r="I787" s="56"/>
      <c r="K787" s="56"/>
    </row>
    <row r="788">
      <c r="C788" s="56"/>
      <c r="E788" s="56"/>
      <c r="G788" s="56"/>
      <c r="I788" s="56"/>
      <c r="K788" s="56"/>
    </row>
    <row r="789">
      <c r="C789" s="56"/>
      <c r="E789" s="56"/>
      <c r="G789" s="56"/>
      <c r="I789" s="56"/>
      <c r="K789" s="56"/>
    </row>
    <row r="790">
      <c r="C790" s="56"/>
      <c r="E790" s="56"/>
      <c r="G790" s="56"/>
      <c r="I790" s="56"/>
      <c r="K790" s="56"/>
    </row>
    <row r="791">
      <c r="C791" s="56"/>
      <c r="E791" s="56"/>
      <c r="G791" s="56"/>
      <c r="I791" s="56"/>
      <c r="K791" s="56"/>
    </row>
    <row r="792">
      <c r="C792" s="56"/>
      <c r="E792" s="56"/>
      <c r="G792" s="56"/>
      <c r="I792" s="56"/>
      <c r="K792" s="56"/>
    </row>
    <row r="793">
      <c r="C793" s="56"/>
      <c r="E793" s="56"/>
      <c r="G793" s="56"/>
      <c r="I793" s="56"/>
      <c r="K793" s="56"/>
    </row>
    <row r="794">
      <c r="C794" s="56"/>
      <c r="E794" s="56"/>
      <c r="G794" s="56"/>
      <c r="I794" s="56"/>
      <c r="K794" s="56"/>
    </row>
    <row r="795">
      <c r="C795" s="56"/>
      <c r="E795" s="56"/>
      <c r="G795" s="56"/>
      <c r="I795" s="56"/>
      <c r="K795" s="56"/>
    </row>
    <row r="796">
      <c r="C796" s="56"/>
      <c r="E796" s="56"/>
      <c r="G796" s="56"/>
      <c r="I796" s="56"/>
      <c r="K796" s="56"/>
    </row>
    <row r="797">
      <c r="C797" s="56"/>
      <c r="E797" s="56"/>
      <c r="G797" s="56"/>
      <c r="I797" s="56"/>
      <c r="K797" s="56"/>
    </row>
    <row r="798">
      <c r="C798" s="56"/>
      <c r="E798" s="56"/>
      <c r="G798" s="56"/>
      <c r="I798" s="56"/>
      <c r="K798" s="56"/>
    </row>
    <row r="799">
      <c r="C799" s="56"/>
      <c r="E799" s="56"/>
      <c r="G799" s="56"/>
      <c r="I799" s="56"/>
      <c r="K799" s="56"/>
    </row>
    <row r="800">
      <c r="C800" s="56"/>
      <c r="E800" s="56"/>
      <c r="G800" s="56"/>
      <c r="I800" s="56"/>
      <c r="K800" s="56"/>
    </row>
    <row r="801">
      <c r="C801" s="56"/>
      <c r="E801" s="56"/>
      <c r="G801" s="56"/>
      <c r="I801" s="56"/>
      <c r="K801" s="56"/>
    </row>
    <row r="802">
      <c r="C802" s="56"/>
      <c r="E802" s="56"/>
      <c r="G802" s="56"/>
      <c r="I802" s="56"/>
      <c r="K802" s="56"/>
    </row>
    <row r="803">
      <c r="C803" s="56"/>
      <c r="E803" s="56"/>
      <c r="G803" s="56"/>
      <c r="I803" s="56"/>
      <c r="K803" s="56"/>
    </row>
    <row r="804">
      <c r="C804" s="56"/>
      <c r="E804" s="56"/>
      <c r="G804" s="56"/>
      <c r="I804" s="56"/>
      <c r="K804" s="56"/>
    </row>
    <row r="805">
      <c r="C805" s="56"/>
      <c r="E805" s="56"/>
      <c r="G805" s="56"/>
      <c r="I805" s="56"/>
      <c r="K805" s="56"/>
    </row>
    <row r="806">
      <c r="C806" s="56"/>
      <c r="E806" s="56"/>
      <c r="G806" s="56"/>
      <c r="I806" s="56"/>
      <c r="K806" s="56"/>
    </row>
    <row r="807">
      <c r="C807" s="56"/>
      <c r="E807" s="56"/>
      <c r="G807" s="56"/>
      <c r="I807" s="56"/>
      <c r="K807" s="56"/>
    </row>
    <row r="808">
      <c r="C808" s="56"/>
      <c r="E808" s="56"/>
      <c r="G808" s="56"/>
      <c r="I808" s="56"/>
      <c r="K808" s="56"/>
    </row>
    <row r="809">
      <c r="C809" s="56"/>
      <c r="E809" s="56"/>
      <c r="G809" s="56"/>
      <c r="I809" s="56"/>
      <c r="K809" s="56"/>
    </row>
    <row r="810">
      <c r="C810" s="56"/>
      <c r="E810" s="56"/>
      <c r="G810" s="56"/>
      <c r="I810" s="56"/>
      <c r="K810" s="56"/>
    </row>
    <row r="811">
      <c r="C811" s="56"/>
      <c r="E811" s="56"/>
      <c r="G811" s="56"/>
      <c r="I811" s="56"/>
      <c r="K811" s="56"/>
    </row>
    <row r="812">
      <c r="C812" s="56"/>
      <c r="E812" s="56"/>
      <c r="G812" s="56"/>
      <c r="I812" s="56"/>
      <c r="K812" s="56"/>
    </row>
    <row r="813">
      <c r="C813" s="56"/>
      <c r="E813" s="56"/>
      <c r="G813" s="56"/>
      <c r="I813" s="56"/>
      <c r="K813" s="56"/>
    </row>
    <row r="814">
      <c r="C814" s="56"/>
      <c r="E814" s="56"/>
      <c r="G814" s="56"/>
      <c r="I814" s="56"/>
      <c r="K814" s="56"/>
    </row>
    <row r="815">
      <c r="C815" s="56"/>
      <c r="E815" s="56"/>
      <c r="G815" s="56"/>
      <c r="I815" s="56"/>
      <c r="K815" s="56"/>
    </row>
    <row r="816">
      <c r="C816" s="56"/>
      <c r="E816" s="56"/>
      <c r="G816" s="56"/>
      <c r="I816" s="56"/>
      <c r="K816" s="56"/>
    </row>
    <row r="817">
      <c r="C817" s="56"/>
      <c r="E817" s="56"/>
      <c r="G817" s="56"/>
      <c r="I817" s="56"/>
      <c r="K817" s="56"/>
    </row>
    <row r="818">
      <c r="C818" s="56"/>
      <c r="E818" s="56"/>
      <c r="G818" s="56"/>
      <c r="I818" s="56"/>
      <c r="K818" s="56"/>
    </row>
    <row r="819">
      <c r="C819" s="56"/>
      <c r="E819" s="56"/>
      <c r="G819" s="56"/>
      <c r="I819" s="56"/>
      <c r="K819" s="56"/>
    </row>
    <row r="820">
      <c r="C820" s="56"/>
      <c r="E820" s="56"/>
      <c r="G820" s="56"/>
      <c r="I820" s="56"/>
      <c r="K820" s="56"/>
    </row>
    <row r="821">
      <c r="C821" s="56"/>
      <c r="E821" s="56"/>
      <c r="G821" s="56"/>
      <c r="I821" s="56"/>
      <c r="K821" s="56"/>
    </row>
    <row r="822">
      <c r="C822" s="56"/>
      <c r="E822" s="56"/>
      <c r="G822" s="56"/>
      <c r="I822" s="56"/>
      <c r="K822" s="56"/>
    </row>
    <row r="823">
      <c r="C823" s="56"/>
      <c r="E823" s="56"/>
      <c r="G823" s="56"/>
      <c r="I823" s="56"/>
      <c r="K823" s="56"/>
    </row>
    <row r="824">
      <c r="C824" s="56"/>
      <c r="E824" s="56"/>
      <c r="G824" s="56"/>
      <c r="I824" s="56"/>
      <c r="K824" s="56"/>
    </row>
    <row r="825">
      <c r="C825" s="56"/>
      <c r="E825" s="56"/>
      <c r="G825" s="56"/>
      <c r="I825" s="56"/>
      <c r="K825" s="56"/>
    </row>
    <row r="826">
      <c r="C826" s="56"/>
      <c r="E826" s="56"/>
      <c r="G826" s="56"/>
      <c r="I826" s="56"/>
      <c r="K826" s="56"/>
    </row>
    <row r="827">
      <c r="C827" s="56"/>
      <c r="E827" s="56"/>
      <c r="G827" s="56"/>
      <c r="I827" s="56"/>
      <c r="K827" s="56"/>
    </row>
    <row r="828">
      <c r="C828" s="56"/>
      <c r="E828" s="56"/>
      <c r="G828" s="56"/>
      <c r="I828" s="56"/>
      <c r="K828" s="56"/>
    </row>
    <row r="829">
      <c r="C829" s="56"/>
      <c r="E829" s="56"/>
      <c r="G829" s="56"/>
      <c r="I829" s="56"/>
      <c r="K829" s="56"/>
    </row>
    <row r="830">
      <c r="C830" s="56"/>
      <c r="E830" s="56"/>
      <c r="G830" s="56"/>
      <c r="I830" s="56"/>
      <c r="K830" s="56"/>
    </row>
    <row r="831">
      <c r="C831" s="56"/>
      <c r="E831" s="56"/>
      <c r="G831" s="56"/>
      <c r="I831" s="56"/>
      <c r="K831" s="56"/>
    </row>
    <row r="832">
      <c r="C832" s="56"/>
      <c r="E832" s="56"/>
      <c r="G832" s="56"/>
      <c r="I832" s="56"/>
      <c r="K832" s="56"/>
    </row>
    <row r="833">
      <c r="C833" s="56"/>
      <c r="E833" s="56"/>
      <c r="G833" s="56"/>
      <c r="I833" s="56"/>
      <c r="K833" s="56"/>
    </row>
    <row r="834">
      <c r="C834" s="56"/>
      <c r="E834" s="56"/>
      <c r="G834" s="56"/>
      <c r="I834" s="56"/>
      <c r="K834" s="56"/>
    </row>
    <row r="835">
      <c r="C835" s="56"/>
      <c r="E835" s="56"/>
      <c r="G835" s="56"/>
      <c r="I835" s="56"/>
      <c r="K835" s="56"/>
    </row>
    <row r="836">
      <c r="C836" s="56"/>
      <c r="E836" s="56"/>
      <c r="G836" s="56"/>
      <c r="I836" s="56"/>
      <c r="K836" s="56"/>
    </row>
    <row r="837">
      <c r="C837" s="56"/>
      <c r="E837" s="56"/>
      <c r="G837" s="56"/>
      <c r="I837" s="56"/>
      <c r="K837" s="56"/>
    </row>
    <row r="838">
      <c r="C838" s="56"/>
      <c r="E838" s="56"/>
      <c r="G838" s="56"/>
      <c r="I838" s="56"/>
      <c r="K838" s="56"/>
    </row>
    <row r="839">
      <c r="C839" s="56"/>
      <c r="E839" s="56"/>
      <c r="G839" s="56"/>
      <c r="I839" s="56"/>
      <c r="K839" s="56"/>
    </row>
    <row r="840">
      <c r="C840" s="56"/>
      <c r="E840" s="56"/>
      <c r="G840" s="56"/>
      <c r="I840" s="56"/>
      <c r="K840" s="56"/>
    </row>
    <row r="841">
      <c r="C841" s="56"/>
      <c r="E841" s="56"/>
      <c r="G841" s="56"/>
      <c r="I841" s="56"/>
      <c r="K841" s="56"/>
    </row>
    <row r="842">
      <c r="C842" s="56"/>
      <c r="E842" s="56"/>
      <c r="G842" s="56"/>
      <c r="I842" s="56"/>
      <c r="K842" s="56"/>
    </row>
    <row r="843">
      <c r="C843" s="56"/>
      <c r="E843" s="56"/>
      <c r="G843" s="56"/>
      <c r="I843" s="56"/>
      <c r="K843" s="56"/>
    </row>
    <row r="844">
      <c r="C844" s="56"/>
      <c r="E844" s="56"/>
      <c r="G844" s="56"/>
      <c r="I844" s="56"/>
      <c r="K844" s="56"/>
    </row>
    <row r="845">
      <c r="C845" s="56"/>
      <c r="E845" s="56"/>
      <c r="G845" s="56"/>
      <c r="I845" s="56"/>
      <c r="K845" s="56"/>
    </row>
    <row r="846">
      <c r="C846" s="56"/>
      <c r="E846" s="56"/>
      <c r="G846" s="56"/>
      <c r="I846" s="56"/>
      <c r="K846" s="56"/>
    </row>
    <row r="847">
      <c r="C847" s="56"/>
      <c r="E847" s="56"/>
      <c r="G847" s="56"/>
      <c r="I847" s="56"/>
      <c r="K847" s="56"/>
    </row>
    <row r="848">
      <c r="C848" s="56"/>
      <c r="E848" s="56"/>
      <c r="G848" s="56"/>
      <c r="I848" s="56"/>
      <c r="K848" s="56"/>
    </row>
    <row r="849">
      <c r="C849" s="56"/>
      <c r="E849" s="56"/>
      <c r="G849" s="56"/>
      <c r="I849" s="56"/>
      <c r="K849" s="56"/>
    </row>
    <row r="850">
      <c r="C850" s="56"/>
      <c r="E850" s="56"/>
      <c r="G850" s="56"/>
      <c r="I850" s="56"/>
      <c r="K850" s="56"/>
    </row>
    <row r="851">
      <c r="C851" s="56"/>
      <c r="E851" s="56"/>
      <c r="G851" s="56"/>
      <c r="I851" s="56"/>
      <c r="K851" s="56"/>
    </row>
    <row r="852">
      <c r="C852" s="56"/>
      <c r="E852" s="56"/>
      <c r="G852" s="56"/>
      <c r="I852" s="56"/>
      <c r="K852" s="56"/>
    </row>
    <row r="853">
      <c r="C853" s="56"/>
      <c r="E853" s="56"/>
      <c r="G853" s="56"/>
      <c r="I853" s="56"/>
      <c r="K853" s="56"/>
    </row>
    <row r="854">
      <c r="C854" s="56"/>
      <c r="E854" s="56"/>
      <c r="G854" s="56"/>
      <c r="I854" s="56"/>
      <c r="K854" s="56"/>
    </row>
    <row r="855">
      <c r="C855" s="56"/>
      <c r="E855" s="56"/>
      <c r="G855" s="56"/>
      <c r="I855" s="56"/>
      <c r="K855" s="56"/>
    </row>
    <row r="856">
      <c r="C856" s="56"/>
      <c r="E856" s="56"/>
      <c r="G856" s="56"/>
      <c r="I856" s="56"/>
      <c r="K856" s="56"/>
    </row>
    <row r="857">
      <c r="C857" s="56"/>
      <c r="E857" s="56"/>
      <c r="G857" s="56"/>
      <c r="I857" s="56"/>
      <c r="K857" s="56"/>
    </row>
    <row r="858">
      <c r="C858" s="56"/>
      <c r="E858" s="56"/>
      <c r="G858" s="56"/>
      <c r="I858" s="56"/>
      <c r="K858" s="56"/>
    </row>
    <row r="859">
      <c r="C859" s="56"/>
      <c r="E859" s="56"/>
      <c r="G859" s="56"/>
      <c r="I859" s="56"/>
      <c r="K859" s="56"/>
    </row>
    <row r="860">
      <c r="C860" s="56"/>
      <c r="E860" s="56"/>
      <c r="G860" s="56"/>
      <c r="I860" s="56"/>
      <c r="K860" s="56"/>
    </row>
    <row r="861">
      <c r="C861" s="56"/>
      <c r="E861" s="56"/>
      <c r="G861" s="56"/>
      <c r="I861" s="56"/>
      <c r="K861" s="56"/>
    </row>
    <row r="862">
      <c r="C862" s="56"/>
      <c r="E862" s="56"/>
      <c r="G862" s="56"/>
      <c r="I862" s="56"/>
      <c r="K862" s="56"/>
    </row>
    <row r="863">
      <c r="C863" s="56"/>
      <c r="E863" s="56"/>
      <c r="G863" s="56"/>
      <c r="I863" s="56"/>
      <c r="K863" s="56"/>
    </row>
    <row r="864">
      <c r="C864" s="56"/>
      <c r="E864" s="56"/>
      <c r="G864" s="56"/>
      <c r="I864" s="56"/>
      <c r="K864" s="56"/>
    </row>
    <row r="865">
      <c r="C865" s="56"/>
      <c r="E865" s="56"/>
      <c r="G865" s="56"/>
      <c r="I865" s="56"/>
      <c r="K865" s="56"/>
    </row>
    <row r="866">
      <c r="C866" s="56"/>
      <c r="E866" s="56"/>
      <c r="G866" s="56"/>
      <c r="I866" s="56"/>
      <c r="K866" s="56"/>
    </row>
    <row r="867">
      <c r="C867" s="56"/>
      <c r="E867" s="56"/>
      <c r="G867" s="56"/>
      <c r="I867" s="56"/>
      <c r="K867" s="56"/>
    </row>
    <row r="868">
      <c r="C868" s="56"/>
      <c r="E868" s="56"/>
      <c r="G868" s="56"/>
      <c r="I868" s="56"/>
      <c r="K868" s="56"/>
    </row>
    <row r="869">
      <c r="C869" s="56"/>
      <c r="E869" s="56"/>
      <c r="G869" s="56"/>
      <c r="I869" s="56"/>
      <c r="K869" s="56"/>
    </row>
    <row r="870">
      <c r="C870" s="56"/>
      <c r="E870" s="56"/>
      <c r="G870" s="56"/>
      <c r="I870" s="56"/>
      <c r="K870" s="56"/>
    </row>
    <row r="871">
      <c r="C871" s="56"/>
      <c r="E871" s="56"/>
      <c r="G871" s="56"/>
      <c r="I871" s="56"/>
      <c r="K871" s="56"/>
    </row>
    <row r="872">
      <c r="C872" s="56"/>
      <c r="E872" s="56"/>
      <c r="G872" s="56"/>
      <c r="I872" s="56"/>
      <c r="K872" s="56"/>
    </row>
    <row r="873">
      <c r="C873" s="56"/>
      <c r="E873" s="56"/>
      <c r="G873" s="56"/>
      <c r="I873" s="56"/>
      <c r="K873" s="56"/>
    </row>
    <row r="874">
      <c r="C874" s="56"/>
      <c r="E874" s="56"/>
      <c r="G874" s="56"/>
      <c r="I874" s="56"/>
      <c r="K874" s="56"/>
    </row>
    <row r="875">
      <c r="C875" s="56"/>
      <c r="E875" s="56"/>
      <c r="G875" s="56"/>
      <c r="I875" s="56"/>
      <c r="K875" s="56"/>
    </row>
    <row r="876">
      <c r="C876" s="56"/>
      <c r="E876" s="56"/>
      <c r="G876" s="56"/>
      <c r="I876" s="56"/>
      <c r="K876" s="56"/>
    </row>
    <row r="877">
      <c r="C877" s="56"/>
      <c r="E877" s="56"/>
      <c r="G877" s="56"/>
      <c r="I877" s="56"/>
      <c r="K877" s="56"/>
    </row>
    <row r="878">
      <c r="C878" s="56"/>
      <c r="E878" s="56"/>
      <c r="G878" s="56"/>
      <c r="I878" s="56"/>
      <c r="K878" s="56"/>
    </row>
    <row r="879">
      <c r="C879" s="56"/>
      <c r="E879" s="56"/>
      <c r="G879" s="56"/>
      <c r="I879" s="56"/>
      <c r="K879" s="56"/>
    </row>
    <row r="880">
      <c r="C880" s="56"/>
      <c r="E880" s="56"/>
      <c r="G880" s="56"/>
      <c r="I880" s="56"/>
      <c r="K880" s="56"/>
    </row>
    <row r="881">
      <c r="C881" s="56"/>
      <c r="E881" s="56"/>
      <c r="G881" s="56"/>
      <c r="I881" s="56"/>
      <c r="K881" s="56"/>
    </row>
    <row r="882">
      <c r="C882" s="56"/>
      <c r="E882" s="56"/>
      <c r="G882" s="56"/>
      <c r="I882" s="56"/>
      <c r="K882" s="56"/>
    </row>
    <row r="883">
      <c r="C883" s="56"/>
      <c r="E883" s="56"/>
      <c r="G883" s="56"/>
      <c r="I883" s="56"/>
      <c r="K883" s="56"/>
    </row>
    <row r="884">
      <c r="C884" s="56"/>
      <c r="E884" s="56"/>
      <c r="G884" s="56"/>
      <c r="I884" s="56"/>
      <c r="K884" s="56"/>
    </row>
    <row r="885">
      <c r="C885" s="56"/>
      <c r="E885" s="56"/>
      <c r="G885" s="56"/>
      <c r="I885" s="56"/>
      <c r="K885" s="56"/>
    </row>
    <row r="886">
      <c r="C886" s="56"/>
      <c r="E886" s="56"/>
      <c r="G886" s="56"/>
      <c r="I886" s="56"/>
      <c r="K886" s="56"/>
    </row>
    <row r="887">
      <c r="C887" s="56"/>
      <c r="E887" s="56"/>
      <c r="G887" s="56"/>
      <c r="I887" s="56"/>
      <c r="K887" s="56"/>
    </row>
    <row r="888">
      <c r="C888" s="56"/>
      <c r="E888" s="56"/>
      <c r="G888" s="56"/>
      <c r="I888" s="56"/>
      <c r="K888" s="56"/>
    </row>
    <row r="889">
      <c r="C889" s="56"/>
      <c r="E889" s="56"/>
      <c r="G889" s="56"/>
      <c r="I889" s="56"/>
      <c r="K889" s="56"/>
    </row>
    <row r="890">
      <c r="C890" s="56"/>
      <c r="E890" s="56"/>
      <c r="G890" s="56"/>
      <c r="I890" s="56"/>
      <c r="K890" s="56"/>
    </row>
    <row r="891">
      <c r="C891" s="56"/>
      <c r="E891" s="56"/>
      <c r="G891" s="56"/>
      <c r="I891" s="56"/>
      <c r="K891" s="56"/>
    </row>
    <row r="892">
      <c r="C892" s="56"/>
      <c r="E892" s="56"/>
      <c r="G892" s="56"/>
      <c r="I892" s="56"/>
      <c r="K892" s="56"/>
    </row>
    <row r="893">
      <c r="C893" s="56"/>
      <c r="E893" s="56"/>
      <c r="G893" s="56"/>
      <c r="I893" s="56"/>
      <c r="K893" s="56"/>
    </row>
    <row r="894">
      <c r="C894" s="56"/>
      <c r="E894" s="56"/>
      <c r="G894" s="56"/>
      <c r="I894" s="56"/>
      <c r="K894" s="56"/>
    </row>
    <row r="895">
      <c r="C895" s="56"/>
      <c r="E895" s="56"/>
      <c r="G895" s="56"/>
      <c r="I895" s="56"/>
      <c r="K895" s="56"/>
    </row>
    <row r="896">
      <c r="C896" s="56"/>
      <c r="E896" s="56"/>
      <c r="G896" s="56"/>
      <c r="I896" s="56"/>
      <c r="K896" s="56"/>
    </row>
    <row r="897">
      <c r="C897" s="56"/>
      <c r="E897" s="56"/>
      <c r="G897" s="56"/>
      <c r="I897" s="56"/>
      <c r="K897" s="56"/>
    </row>
    <row r="898">
      <c r="C898" s="56"/>
      <c r="E898" s="56"/>
      <c r="G898" s="56"/>
      <c r="I898" s="56"/>
      <c r="K898" s="56"/>
    </row>
    <row r="899">
      <c r="C899" s="56"/>
      <c r="E899" s="56"/>
      <c r="G899" s="56"/>
      <c r="I899" s="56"/>
      <c r="K899" s="56"/>
    </row>
    <row r="900">
      <c r="C900" s="56"/>
      <c r="E900" s="56"/>
      <c r="G900" s="56"/>
      <c r="I900" s="56"/>
      <c r="K900" s="56"/>
    </row>
    <row r="901">
      <c r="C901" s="56"/>
      <c r="E901" s="56"/>
      <c r="G901" s="56"/>
      <c r="I901" s="56"/>
      <c r="K901" s="56"/>
    </row>
    <row r="902">
      <c r="C902" s="56"/>
      <c r="E902" s="56"/>
      <c r="G902" s="56"/>
      <c r="I902" s="56"/>
      <c r="K902" s="56"/>
    </row>
    <row r="903">
      <c r="C903" s="56"/>
      <c r="E903" s="56"/>
      <c r="G903" s="56"/>
      <c r="I903" s="56"/>
      <c r="K903" s="56"/>
    </row>
    <row r="904">
      <c r="C904" s="56"/>
      <c r="E904" s="56"/>
      <c r="G904" s="56"/>
      <c r="I904" s="56"/>
      <c r="K904" s="56"/>
    </row>
    <row r="905">
      <c r="C905" s="56"/>
      <c r="E905" s="56"/>
      <c r="G905" s="56"/>
      <c r="I905" s="56"/>
      <c r="K905" s="56"/>
    </row>
    <row r="906">
      <c r="C906" s="56"/>
      <c r="E906" s="56"/>
      <c r="G906" s="56"/>
      <c r="I906" s="56"/>
      <c r="K906" s="56"/>
    </row>
    <row r="907">
      <c r="C907" s="56"/>
      <c r="E907" s="56"/>
      <c r="G907" s="56"/>
      <c r="I907" s="56"/>
      <c r="K907" s="56"/>
    </row>
    <row r="908">
      <c r="C908" s="56"/>
      <c r="E908" s="56"/>
      <c r="G908" s="56"/>
      <c r="I908" s="56"/>
      <c r="K908" s="56"/>
    </row>
    <row r="909">
      <c r="C909" s="56"/>
      <c r="E909" s="56"/>
      <c r="G909" s="56"/>
      <c r="I909" s="56"/>
      <c r="K909" s="56"/>
    </row>
    <row r="910">
      <c r="C910" s="56"/>
      <c r="E910" s="56"/>
      <c r="G910" s="56"/>
      <c r="I910" s="56"/>
      <c r="K910" s="56"/>
    </row>
    <row r="911">
      <c r="C911" s="56"/>
      <c r="E911" s="56"/>
      <c r="G911" s="56"/>
      <c r="I911" s="56"/>
      <c r="K911" s="56"/>
    </row>
    <row r="912">
      <c r="C912" s="56"/>
      <c r="E912" s="56"/>
      <c r="G912" s="56"/>
      <c r="I912" s="56"/>
      <c r="K912" s="56"/>
    </row>
    <row r="913">
      <c r="C913" s="56"/>
      <c r="E913" s="56"/>
      <c r="G913" s="56"/>
      <c r="I913" s="56"/>
      <c r="K913" s="56"/>
    </row>
    <row r="914">
      <c r="C914" s="56"/>
      <c r="E914" s="56"/>
      <c r="G914" s="56"/>
      <c r="I914" s="56"/>
      <c r="K914" s="56"/>
    </row>
    <row r="915">
      <c r="C915" s="56"/>
      <c r="E915" s="56"/>
      <c r="G915" s="56"/>
      <c r="I915" s="56"/>
      <c r="K915" s="56"/>
    </row>
    <row r="916">
      <c r="C916" s="56"/>
      <c r="E916" s="56"/>
      <c r="G916" s="56"/>
      <c r="I916" s="56"/>
      <c r="K916" s="56"/>
    </row>
    <row r="917">
      <c r="C917" s="56"/>
      <c r="E917" s="56"/>
      <c r="G917" s="56"/>
      <c r="I917" s="56"/>
      <c r="K917" s="56"/>
    </row>
    <row r="918">
      <c r="C918" s="56"/>
      <c r="E918" s="56"/>
      <c r="G918" s="56"/>
      <c r="I918" s="56"/>
      <c r="K918" s="56"/>
    </row>
    <row r="919">
      <c r="C919" s="56"/>
      <c r="E919" s="56"/>
      <c r="G919" s="56"/>
      <c r="I919" s="56"/>
      <c r="K919" s="56"/>
    </row>
    <row r="920">
      <c r="C920" s="56"/>
      <c r="E920" s="56"/>
      <c r="G920" s="56"/>
      <c r="I920" s="56"/>
      <c r="K920" s="56"/>
    </row>
    <row r="921">
      <c r="C921" s="56"/>
      <c r="E921" s="56"/>
      <c r="G921" s="56"/>
      <c r="I921" s="56"/>
      <c r="K921" s="56"/>
    </row>
    <row r="922">
      <c r="C922" s="56"/>
      <c r="E922" s="56"/>
      <c r="G922" s="56"/>
      <c r="I922" s="56"/>
      <c r="K922" s="56"/>
    </row>
    <row r="923">
      <c r="C923" s="56"/>
      <c r="E923" s="56"/>
      <c r="G923" s="56"/>
      <c r="I923" s="56"/>
      <c r="K923" s="56"/>
    </row>
    <row r="924">
      <c r="C924" s="56"/>
      <c r="E924" s="56"/>
      <c r="G924" s="56"/>
      <c r="I924" s="56"/>
      <c r="K924" s="56"/>
    </row>
    <row r="925">
      <c r="C925" s="56"/>
      <c r="E925" s="56"/>
      <c r="G925" s="56"/>
      <c r="I925" s="56"/>
      <c r="K925" s="56"/>
    </row>
    <row r="926">
      <c r="C926" s="56"/>
      <c r="E926" s="56"/>
      <c r="G926" s="56"/>
      <c r="I926" s="56"/>
      <c r="K926" s="56"/>
    </row>
    <row r="927">
      <c r="C927" s="56"/>
      <c r="E927" s="56"/>
      <c r="G927" s="56"/>
      <c r="I927" s="56"/>
      <c r="K927" s="56"/>
    </row>
    <row r="928">
      <c r="C928" s="56"/>
      <c r="E928" s="56"/>
      <c r="G928" s="56"/>
      <c r="I928" s="56"/>
      <c r="K928" s="56"/>
    </row>
    <row r="929">
      <c r="C929" s="56"/>
      <c r="E929" s="56"/>
      <c r="G929" s="56"/>
      <c r="I929" s="56"/>
      <c r="K929" s="56"/>
    </row>
    <row r="930">
      <c r="C930" s="56"/>
      <c r="E930" s="56"/>
      <c r="G930" s="56"/>
      <c r="I930" s="56"/>
      <c r="K930" s="56"/>
    </row>
    <row r="931">
      <c r="C931" s="56"/>
      <c r="E931" s="56"/>
      <c r="G931" s="56"/>
      <c r="I931" s="56"/>
      <c r="K931" s="56"/>
    </row>
    <row r="932">
      <c r="C932" s="56"/>
      <c r="E932" s="56"/>
      <c r="G932" s="56"/>
      <c r="I932" s="56"/>
      <c r="K932" s="56"/>
    </row>
    <row r="933">
      <c r="C933" s="56"/>
      <c r="E933" s="56"/>
      <c r="G933" s="56"/>
      <c r="I933" s="56"/>
      <c r="K933" s="56"/>
    </row>
    <row r="934">
      <c r="C934" s="56"/>
      <c r="E934" s="56"/>
      <c r="G934" s="56"/>
      <c r="I934" s="56"/>
      <c r="K934" s="56"/>
    </row>
    <row r="935">
      <c r="C935" s="56"/>
      <c r="E935" s="56"/>
      <c r="G935" s="56"/>
      <c r="I935" s="56"/>
      <c r="K935" s="56"/>
    </row>
    <row r="936">
      <c r="C936" s="56"/>
      <c r="E936" s="56"/>
      <c r="G936" s="56"/>
      <c r="I936" s="56"/>
      <c r="K936" s="56"/>
    </row>
    <row r="937">
      <c r="C937" s="56"/>
      <c r="E937" s="56"/>
      <c r="G937" s="56"/>
      <c r="I937" s="56"/>
      <c r="K937" s="56"/>
    </row>
    <row r="938">
      <c r="C938" s="56"/>
      <c r="E938" s="56"/>
      <c r="G938" s="56"/>
      <c r="I938" s="56"/>
      <c r="K938" s="56"/>
    </row>
    <row r="939">
      <c r="C939" s="56"/>
      <c r="E939" s="56"/>
      <c r="G939" s="56"/>
      <c r="I939" s="56"/>
      <c r="K939" s="56"/>
    </row>
    <row r="940">
      <c r="C940" s="56"/>
      <c r="E940" s="56"/>
      <c r="G940" s="56"/>
      <c r="I940" s="56"/>
      <c r="K940" s="56"/>
    </row>
    <row r="941">
      <c r="C941" s="56"/>
      <c r="E941" s="56"/>
      <c r="G941" s="56"/>
      <c r="I941" s="56"/>
      <c r="K941" s="56"/>
    </row>
    <row r="942">
      <c r="C942" s="56"/>
      <c r="E942" s="56"/>
      <c r="G942" s="56"/>
      <c r="I942" s="56"/>
      <c r="K942" s="56"/>
    </row>
    <row r="943">
      <c r="C943" s="56"/>
      <c r="E943" s="56"/>
      <c r="G943" s="56"/>
      <c r="I943" s="56"/>
      <c r="K943" s="56"/>
    </row>
    <row r="944">
      <c r="C944" s="56"/>
      <c r="E944" s="56"/>
      <c r="G944" s="56"/>
      <c r="I944" s="56"/>
      <c r="K944" s="56"/>
    </row>
    <row r="945">
      <c r="C945" s="56"/>
      <c r="E945" s="56"/>
      <c r="G945" s="56"/>
      <c r="I945" s="56"/>
      <c r="K945" s="56"/>
    </row>
    <row r="946">
      <c r="C946" s="56"/>
      <c r="E946" s="56"/>
      <c r="G946" s="56"/>
      <c r="I946" s="56"/>
      <c r="K946" s="56"/>
    </row>
    <row r="947">
      <c r="C947" s="56"/>
      <c r="E947" s="56"/>
      <c r="G947" s="56"/>
      <c r="I947" s="56"/>
      <c r="K947" s="56"/>
    </row>
    <row r="948">
      <c r="C948" s="56"/>
      <c r="E948" s="56"/>
      <c r="G948" s="56"/>
      <c r="I948" s="56"/>
      <c r="K948" s="56"/>
    </row>
    <row r="949">
      <c r="C949" s="56"/>
      <c r="E949" s="56"/>
      <c r="G949" s="56"/>
      <c r="I949" s="56"/>
      <c r="K949" s="56"/>
    </row>
    <row r="950">
      <c r="C950" s="56"/>
      <c r="E950" s="56"/>
      <c r="G950" s="56"/>
      <c r="I950" s="56"/>
      <c r="K950" s="56"/>
    </row>
    <row r="951">
      <c r="C951" s="56"/>
      <c r="E951" s="56"/>
      <c r="G951" s="56"/>
      <c r="I951" s="56"/>
      <c r="K951" s="56"/>
    </row>
    <row r="952">
      <c r="C952" s="56"/>
      <c r="E952" s="56"/>
      <c r="G952" s="56"/>
      <c r="I952" s="56"/>
      <c r="K952" s="56"/>
    </row>
    <row r="953">
      <c r="C953" s="56"/>
      <c r="E953" s="56"/>
      <c r="G953" s="56"/>
      <c r="I953" s="56"/>
      <c r="K953" s="56"/>
    </row>
    <row r="954">
      <c r="C954" s="56"/>
      <c r="E954" s="56"/>
      <c r="G954" s="56"/>
      <c r="I954" s="56"/>
      <c r="K954" s="56"/>
    </row>
    <row r="955">
      <c r="C955" s="56"/>
      <c r="E955" s="56"/>
      <c r="G955" s="56"/>
      <c r="I955" s="56"/>
      <c r="K955" s="56"/>
    </row>
    <row r="956">
      <c r="C956" s="56"/>
      <c r="E956" s="56"/>
      <c r="G956" s="56"/>
      <c r="I956" s="56"/>
      <c r="K956" s="56"/>
    </row>
    <row r="957">
      <c r="C957" s="56"/>
      <c r="E957" s="56"/>
      <c r="G957" s="56"/>
      <c r="I957" s="56"/>
      <c r="K957" s="56"/>
    </row>
    <row r="958">
      <c r="C958" s="56"/>
      <c r="E958" s="56"/>
      <c r="G958" s="56"/>
      <c r="I958" s="56"/>
      <c r="K958" s="56"/>
    </row>
    <row r="959">
      <c r="C959" s="56"/>
      <c r="E959" s="56"/>
      <c r="G959" s="56"/>
      <c r="I959" s="56"/>
      <c r="K959" s="56"/>
    </row>
    <row r="960">
      <c r="C960" s="56"/>
      <c r="E960" s="56"/>
      <c r="G960" s="56"/>
      <c r="I960" s="56"/>
      <c r="K960" s="56"/>
    </row>
    <row r="961">
      <c r="C961" s="56"/>
      <c r="E961" s="56"/>
      <c r="G961" s="56"/>
      <c r="I961" s="56"/>
      <c r="K961" s="56"/>
    </row>
    <row r="962">
      <c r="C962" s="56"/>
      <c r="E962" s="56"/>
      <c r="G962" s="56"/>
      <c r="I962" s="56"/>
      <c r="K962" s="56"/>
    </row>
    <row r="963">
      <c r="C963" s="56"/>
      <c r="E963" s="56"/>
      <c r="G963" s="56"/>
      <c r="I963" s="56"/>
      <c r="K963" s="56"/>
    </row>
    <row r="964">
      <c r="C964" s="56"/>
      <c r="E964" s="56"/>
      <c r="G964" s="56"/>
      <c r="I964" s="56"/>
      <c r="K964" s="56"/>
    </row>
    <row r="965">
      <c r="C965" s="56"/>
      <c r="E965" s="56"/>
      <c r="G965" s="56"/>
      <c r="I965" s="56"/>
      <c r="K965" s="56"/>
    </row>
    <row r="966">
      <c r="C966" s="56"/>
      <c r="E966" s="56"/>
      <c r="G966" s="56"/>
      <c r="I966" s="56"/>
      <c r="K966" s="56"/>
    </row>
    <row r="967">
      <c r="C967" s="56"/>
      <c r="E967" s="56"/>
      <c r="G967" s="56"/>
      <c r="I967" s="56"/>
      <c r="K967" s="56"/>
    </row>
    <row r="968">
      <c r="C968" s="56"/>
      <c r="E968" s="56"/>
      <c r="G968" s="56"/>
      <c r="I968" s="56"/>
      <c r="K968" s="56"/>
    </row>
    <row r="969">
      <c r="C969" s="56"/>
      <c r="E969" s="56"/>
      <c r="G969" s="56"/>
      <c r="I969" s="56"/>
      <c r="K969" s="56"/>
    </row>
    <row r="970">
      <c r="C970" s="56"/>
      <c r="E970" s="56"/>
      <c r="G970" s="56"/>
      <c r="I970" s="56"/>
      <c r="K970" s="56"/>
    </row>
    <row r="971">
      <c r="C971" s="56"/>
      <c r="E971" s="56"/>
      <c r="G971" s="56"/>
      <c r="I971" s="56"/>
      <c r="K971" s="56"/>
    </row>
    <row r="972">
      <c r="C972" s="56"/>
      <c r="E972" s="56"/>
      <c r="G972" s="56"/>
      <c r="I972" s="56"/>
      <c r="K972" s="56"/>
    </row>
    <row r="973">
      <c r="C973" s="56"/>
      <c r="E973" s="56"/>
      <c r="G973" s="56"/>
      <c r="I973" s="56"/>
      <c r="K973" s="56"/>
    </row>
    <row r="974">
      <c r="C974" s="56"/>
      <c r="E974" s="56"/>
      <c r="G974" s="56"/>
      <c r="I974" s="56"/>
      <c r="K974" s="56"/>
    </row>
    <row r="975">
      <c r="C975" s="56"/>
      <c r="E975" s="56"/>
      <c r="G975" s="56"/>
      <c r="I975" s="56"/>
      <c r="K975" s="56"/>
    </row>
    <row r="976">
      <c r="C976" s="56"/>
      <c r="E976" s="56"/>
      <c r="G976" s="56"/>
      <c r="I976" s="56"/>
      <c r="K976" s="56"/>
    </row>
    <row r="977">
      <c r="C977" s="56"/>
      <c r="E977" s="56"/>
      <c r="G977" s="56"/>
      <c r="I977" s="56"/>
      <c r="K977" s="56"/>
    </row>
    <row r="978">
      <c r="C978" s="56"/>
      <c r="E978" s="56"/>
      <c r="G978" s="56"/>
      <c r="I978" s="56"/>
      <c r="K978" s="56"/>
    </row>
    <row r="979">
      <c r="C979" s="56"/>
      <c r="E979" s="56"/>
      <c r="G979" s="56"/>
      <c r="I979" s="56"/>
      <c r="K979" s="56"/>
    </row>
    <row r="980">
      <c r="C980" s="56"/>
      <c r="E980" s="56"/>
      <c r="G980" s="56"/>
      <c r="I980" s="56"/>
      <c r="K980" s="56"/>
    </row>
    <row r="981">
      <c r="C981" s="56"/>
      <c r="E981" s="56"/>
      <c r="G981" s="56"/>
      <c r="I981" s="56"/>
      <c r="K981" s="56"/>
    </row>
    <row r="982">
      <c r="C982" s="56"/>
      <c r="E982" s="56"/>
      <c r="G982" s="56"/>
      <c r="I982" s="56"/>
      <c r="K982" s="56"/>
    </row>
    <row r="983">
      <c r="C983" s="56"/>
      <c r="E983" s="56"/>
      <c r="G983" s="56"/>
      <c r="I983" s="56"/>
      <c r="K983" s="56"/>
    </row>
    <row r="984">
      <c r="C984" s="56"/>
      <c r="E984" s="56"/>
      <c r="G984" s="56"/>
      <c r="I984" s="56"/>
      <c r="K984" s="56"/>
    </row>
    <row r="985">
      <c r="C985" s="56"/>
      <c r="E985" s="56"/>
      <c r="G985" s="56"/>
      <c r="I985" s="56"/>
      <c r="K985" s="56"/>
    </row>
    <row r="986">
      <c r="C986" s="56"/>
      <c r="E986" s="56"/>
      <c r="G986" s="56"/>
      <c r="I986" s="56"/>
      <c r="K986" s="56"/>
    </row>
    <row r="987">
      <c r="C987" s="56"/>
      <c r="E987" s="56"/>
      <c r="G987" s="56"/>
      <c r="I987" s="56"/>
      <c r="K987" s="56"/>
    </row>
    <row r="988">
      <c r="C988" s="56"/>
      <c r="E988" s="56"/>
      <c r="G988" s="56"/>
      <c r="I988" s="56"/>
      <c r="K988" s="56"/>
    </row>
    <row r="989">
      <c r="C989" s="56"/>
      <c r="E989" s="56"/>
      <c r="G989" s="56"/>
      <c r="I989" s="56"/>
      <c r="K989" s="56"/>
    </row>
    <row r="990">
      <c r="C990" s="56"/>
      <c r="E990" s="56"/>
      <c r="G990" s="56"/>
      <c r="I990" s="56"/>
      <c r="K990" s="56"/>
    </row>
    <row r="991">
      <c r="C991" s="56"/>
      <c r="E991" s="56"/>
      <c r="G991" s="56"/>
      <c r="I991" s="56"/>
      <c r="K991" s="56"/>
    </row>
    <row r="992">
      <c r="C992" s="56"/>
      <c r="E992" s="56"/>
      <c r="G992" s="56"/>
      <c r="I992" s="56"/>
      <c r="K992" s="56"/>
    </row>
    <row r="993">
      <c r="C993" s="56"/>
      <c r="E993" s="56"/>
      <c r="G993" s="56"/>
      <c r="I993" s="56"/>
      <c r="K993" s="56"/>
    </row>
    <row r="994">
      <c r="C994" s="56"/>
      <c r="E994" s="56"/>
      <c r="G994" s="56"/>
      <c r="I994" s="56"/>
      <c r="K994" s="56"/>
    </row>
    <row r="995">
      <c r="C995" s="56"/>
      <c r="E995" s="56"/>
      <c r="G995" s="56"/>
      <c r="I995" s="56"/>
      <c r="K995" s="56"/>
    </row>
    <row r="996">
      <c r="C996" s="56"/>
      <c r="E996" s="56"/>
      <c r="G996" s="56"/>
      <c r="I996" s="56"/>
      <c r="K996" s="56"/>
    </row>
    <row r="997">
      <c r="C997" s="56"/>
      <c r="E997" s="56"/>
      <c r="G997" s="56"/>
      <c r="I997" s="56"/>
      <c r="K997" s="56"/>
    </row>
    <row r="998">
      <c r="C998" s="56"/>
      <c r="E998" s="56"/>
      <c r="G998" s="56"/>
      <c r="I998" s="56"/>
      <c r="K998" s="56"/>
    </row>
    <row r="999">
      <c r="C999" s="56"/>
      <c r="E999" s="56"/>
      <c r="G999" s="56"/>
      <c r="I999" s="56"/>
      <c r="K999" s="56"/>
    </row>
    <row r="1000">
      <c r="C1000" s="56"/>
      <c r="E1000" s="56"/>
      <c r="G1000" s="56"/>
      <c r="I1000" s="56"/>
      <c r="K1000" s="56"/>
    </row>
    <row r="1001">
      <c r="C1001" s="56"/>
      <c r="E1001" s="56"/>
      <c r="G1001" s="56"/>
      <c r="I1001" s="56"/>
      <c r="K1001" s="56"/>
    </row>
    <row r="1002">
      <c r="C1002" s="56"/>
      <c r="E1002" s="56"/>
      <c r="G1002" s="56"/>
      <c r="I1002" s="56"/>
      <c r="K1002" s="56"/>
    </row>
    <row r="1003">
      <c r="C1003" s="56"/>
      <c r="E1003" s="56"/>
      <c r="G1003" s="56"/>
      <c r="I1003" s="56"/>
      <c r="K1003" s="56"/>
    </row>
    <row r="1004">
      <c r="C1004" s="56"/>
      <c r="E1004" s="56"/>
      <c r="G1004" s="56"/>
      <c r="I1004" s="56"/>
      <c r="K1004" s="56"/>
    </row>
    <row r="1005">
      <c r="C1005" s="56"/>
      <c r="E1005" s="56"/>
      <c r="G1005" s="56"/>
      <c r="I1005" s="56"/>
      <c r="K1005" s="56"/>
    </row>
    <row r="1006">
      <c r="C1006" s="56"/>
      <c r="E1006" s="56"/>
      <c r="G1006" s="56"/>
      <c r="I1006" s="56"/>
      <c r="K1006" s="56"/>
    </row>
    <row r="1007">
      <c r="C1007" s="56"/>
      <c r="E1007" s="56"/>
      <c r="G1007" s="56"/>
      <c r="I1007" s="56"/>
      <c r="K1007" s="56"/>
    </row>
    <row r="1008">
      <c r="C1008" s="56"/>
      <c r="E1008" s="56"/>
      <c r="G1008" s="56"/>
      <c r="I1008" s="56"/>
      <c r="K1008" s="56"/>
    </row>
    <row r="1009">
      <c r="C1009" s="56"/>
      <c r="E1009" s="56"/>
      <c r="G1009" s="56"/>
      <c r="I1009" s="56"/>
      <c r="K1009" s="56"/>
    </row>
    <row r="1010">
      <c r="C1010" s="56"/>
      <c r="E1010" s="56"/>
      <c r="G1010" s="56"/>
      <c r="I1010" s="56"/>
      <c r="K1010" s="56"/>
    </row>
    <row r="1011">
      <c r="C1011" s="56"/>
      <c r="E1011" s="56"/>
      <c r="G1011" s="56"/>
      <c r="I1011" s="56"/>
      <c r="K1011" s="56"/>
    </row>
    <row r="1012">
      <c r="C1012" s="56"/>
      <c r="E1012" s="56"/>
      <c r="G1012" s="56"/>
      <c r="I1012" s="56"/>
      <c r="K1012" s="56"/>
    </row>
    <row r="1013">
      <c r="C1013" s="56"/>
      <c r="E1013" s="56"/>
      <c r="G1013" s="56"/>
      <c r="I1013" s="56"/>
      <c r="K1013" s="56"/>
    </row>
    <row r="1014">
      <c r="C1014" s="56"/>
      <c r="E1014" s="56"/>
      <c r="G1014" s="56"/>
      <c r="I1014" s="56"/>
      <c r="K1014" s="56"/>
    </row>
    <row r="1015">
      <c r="C1015" s="56"/>
      <c r="E1015" s="56"/>
      <c r="G1015" s="56"/>
      <c r="I1015" s="56"/>
      <c r="K1015" s="56"/>
    </row>
    <row r="1016">
      <c r="C1016" s="56"/>
      <c r="E1016" s="56"/>
      <c r="G1016" s="56"/>
      <c r="I1016" s="56"/>
      <c r="K1016" s="5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13"/>
  </cols>
  <sheetData>
    <row r="1">
      <c r="C1" s="63" t="s">
        <v>37</v>
      </c>
      <c r="D1" s="63"/>
      <c r="E1" s="63" t="s">
        <v>36</v>
      </c>
      <c r="F1" s="63"/>
      <c r="G1" s="63" t="s">
        <v>29</v>
      </c>
      <c r="H1" s="63"/>
    </row>
    <row r="2">
      <c r="A2" s="64"/>
      <c r="B2" s="56"/>
      <c r="C2" s="63" t="s">
        <v>85</v>
      </c>
      <c r="E2" s="65" t="s">
        <v>86</v>
      </c>
      <c r="G2" s="65" t="s">
        <v>87</v>
      </c>
    </row>
    <row r="3">
      <c r="A3" s="66"/>
      <c r="B3" s="58"/>
      <c r="C3" s="67" t="s">
        <v>70</v>
      </c>
      <c r="D3" s="67" t="s">
        <v>71</v>
      </c>
      <c r="E3" s="67" t="s">
        <v>70</v>
      </c>
      <c r="F3" s="67" t="s">
        <v>71</v>
      </c>
      <c r="G3" s="67" t="s">
        <v>70</v>
      </c>
      <c r="H3" s="67" t="s">
        <v>71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</row>
    <row r="4">
      <c r="A4" s="68" t="s">
        <v>88</v>
      </c>
      <c r="B4" s="40" t="s">
        <v>9</v>
      </c>
      <c r="C4" s="69">
        <f>IFERROR(__xludf.DUMMYFUNCTION("FILTER(RawData_SemEval!$B$2:$B$398, 
  REGEXMATCH(RawData_SemEval!$A$2:$A$398, ""(?i)"" &amp; $A$5), 
  REGEXMATCH(RawData_SemEval!$A$2:$A$398, ""(?i)"" &amp; $C$1), 
  REGEXMATCH(RawData_SemEval!$A$2:$A$398, ""(?i)"" &amp; $B$4), 
  NOT(REGEXMATCH(RawData_SemEval!$A"&amp;"$2:$A$398,  ""(?i)ensemble""))
)"),0.4038)</f>
        <v>0.4038</v>
      </c>
      <c r="D4" s="69">
        <f>IFERROR(__xludf.DUMMYFUNCTION("FILTER(RawData_SemEval!$F$2:$F$398, 
  REGEXMATCH(RawData_SemEval!$A$2:$A$398, ""(?i)"" &amp; $A$5), 
  REGEXMATCH(RawData_SemEval!$A$2:$A$398, ""(?i)"" &amp; $C$1), 
  REGEXMATCH(RawData_SemEval!$A$2:$A$398, ""(?i)"" &amp; $B$4), 
  NOT(REGEXMATCH(RawData_SemEval!$A"&amp;"$2:$A$398,  ""(?i)ensemble""))
)"),0.2144)</f>
        <v>0.2144</v>
      </c>
      <c r="E4" s="70">
        <f>IFERROR(__xludf.DUMMYFUNCTION("FILTER(RawData_SemEval!$B$2:$B$398, 
  REGEXMATCH(RawData_SemEval!$A$2:$A$398, ""(?i)"" &amp; $A$5), 
  REGEXMATCH(RawData_SemEval!$A$2:$A$398, ""(?i)"" &amp; $E$1), 
  REGEXMATCH(RawData_SemEval!$A$2:$A$398, ""(?i)"" &amp; $B$4), 
  NOT(REGEXMATCH(RawData_SemEval!$A"&amp;"$2:$A$398,  ""(?i)ensemble""))
)"),0.5206)</f>
        <v>0.5206</v>
      </c>
      <c r="F4" s="69">
        <f>IFERROR(__xludf.DUMMYFUNCTION("FILTER(RawData_SemEval!$F$2:$F$398, 
  REGEXMATCH(RawData_SemEval!$A$2:$A$398, ""(?i)"" &amp; $A$5), 
  REGEXMATCH(RawData_SemEval!$A$2:$A$398, ""(?i)"" &amp; $E$1), 
  REGEXMATCH(RawData_SemEval!$A$2:$A$398, ""(?i)"" &amp; $B$4), 
  NOT(REGEXMATCH(RawData_SemEval!$A"&amp;"$2:$A$398,  ""(?i)ensemble""))
)"),0.3216)</f>
        <v>0.3216</v>
      </c>
      <c r="G4" s="70">
        <f>IFERROR(__xludf.DUMMYFUNCTION("FILTER(RawData_SemEval!$B$2:$B$398, 
  REGEXMATCH(RawData_SemEval!$A$2:$A$398, ""(?i)"" &amp; $A$5), 
  REGEXMATCH(RawData_SemEval!$A$2:$A$398, ""(?i)"" &amp; $G$1), 
  REGEXMATCH(RawData_SemEval!$A$2:$A$398, ""(?i)"" &amp; $B$4), 
  NOT(REGEXMATCH(RawData_SemEval!$A"&amp;"$2:$A$398,  ""(?i)ensemble""))
)"),0.4296)</f>
        <v>0.4296</v>
      </c>
      <c r="H4" s="69">
        <f>IFERROR(__xludf.DUMMYFUNCTION("FILTER(RawData_SemEval!$F$2:$F$398, 
  REGEXMATCH(RawData_SemEval!$A$2:$A$398, ""(?i)"" &amp; $A$5), 
  REGEXMATCH(RawData_SemEval!$A$2:$A$398, ""(?i)"" &amp; $G$1), 
  REGEXMATCH(RawData_SemEval!$A$2:$A$398, ""(?i)"" &amp; $B$4), 
  NOT(REGEXMATCH(RawData_SemEval!$A"&amp;"$2:$A$398,  ""(?i)ensemble""))
)"),0.2824)</f>
        <v>0.2824</v>
      </c>
    </row>
    <row r="5">
      <c r="A5" s="68" t="s">
        <v>4</v>
      </c>
      <c r="B5" s="40" t="s">
        <v>67</v>
      </c>
      <c r="C5" s="69">
        <f>IFERROR(__xludf.DUMMYFUNCTION("FILTER(RawData_SemEval!$B$2:$B$398, 
  REGEXMATCH(RawData_SemEval!$A$2:$A$398, ""(?i)"" &amp; $A$5), 
  REGEXMATCH(RawData_SemEval!$A$2:$A$398, ""(?i)"" &amp; $C$1), 
  REGEXMATCH(RawData_SemEval!$A$2:$A$398, ""(?i)"" &amp; $B$4), 
  REGEXMATCH(RawData_SemEval!$A$2:$"&amp;"A$398, ""(?i)"" &amp; $B$5)
)"),0.431)</f>
        <v>0.431</v>
      </c>
      <c r="D5" s="69">
        <f>IFERROR(__xludf.DUMMYFUNCTION("FILTER(RawData_SemEval!$F$2:$F$398, 
  REGEXMATCH(RawData_SemEval!$A$2:$A$398, ""(?i)"" &amp; $A$5), 
  REGEXMATCH(RawData_SemEval!$A$2:$A$398, ""(?i)"" &amp; $C$1), 
  REGEXMATCH(RawData_SemEval!$A$2:$A$398, ""(?i)"" &amp; $B$4), 
  REGEXMATCH(RawData_SemEval!$A$2:$"&amp;"A$398, ""(?i)"" &amp; $B$5)
)"),0.23)</f>
        <v>0.23</v>
      </c>
      <c r="E5" s="70">
        <f>IFERROR(__xludf.DUMMYFUNCTION("FILTER(RawData_SemEval!$B$2:$B$398, 
  REGEXMATCH(RawData_SemEval!$A$2:$A$398, ""(?i)"" &amp; $A$5), 
  REGEXMATCH(RawData_SemEval!$A$2:$A$398, ""(?i)"" &amp; $E$1), 
  REGEXMATCH(RawData_SemEval!$A$2:$A$398, ""(?i)"" &amp; $B$4), 
  REGEXMATCH(RawData_SemEval!$A$2:$"&amp;"A$398, ""(?i)"" &amp; $B$5)
)"),0.532)</f>
        <v>0.532</v>
      </c>
      <c r="F5" s="69">
        <f>IFERROR(__xludf.DUMMYFUNCTION("FILTER(RawData_SemEval!$F$2:$F$398, 
  REGEXMATCH(RawData_SemEval!$A$2:$A$398, ""(?i)"" &amp; $A$5), 
  REGEXMATCH(RawData_SemEval!$A$2:$A$398, ""(?i)"" &amp; $E$1), 
  REGEXMATCH(RawData_SemEval!$A$2:$A$398, ""(?i)"" &amp; $B$4), 
  REGEXMATCH(RawData_SemEval!$A$2:$"&amp;"A$398, ""(?i)"" &amp; $B$5)
)"),0.34)</f>
        <v>0.34</v>
      </c>
      <c r="G5" s="70">
        <f>IFERROR(__xludf.DUMMYFUNCTION("FILTER(RawData_SemEval!$B$2:$B$398, 
  REGEXMATCH(RawData_SemEval!$A$2:$A$398, ""(?i)"" &amp; $A$5), 
  REGEXMATCH(RawData_SemEval!$A$2:$A$398, ""(?i)"" &amp; $G$1), 
  REGEXMATCH(RawData_SemEval!$A$2:$A$398, ""(?i)"" &amp; $B$4), 
  REGEXMATCH(RawData_SemEval!$A$2:$"&amp;"A$398, ""(?i)"" &amp; $B$5)
)"),0.442)</f>
        <v>0.442</v>
      </c>
      <c r="H5" s="69">
        <f>IFERROR(__xludf.DUMMYFUNCTION("FILTER(RawData_SemEval!$F$2:$F$398, 
  REGEXMATCH(RawData_SemEval!$A$2:$A$398, ""(?i)"" &amp; $A$5), 
  REGEXMATCH(RawData_SemEval!$A$2:$A$398, ""(?i)"" &amp; $G$1), 
  REGEXMATCH(RawData_SemEval!$A$2:$A$398, ""(?i)"" &amp; $B$4), 
  REGEXMATCH(RawData_SemEval!$A$2:$"&amp;"A$398, ""(?i)"" &amp; $B$5)
)"),0.286)</f>
        <v>0.286</v>
      </c>
    </row>
    <row r="6">
      <c r="A6" s="68"/>
      <c r="B6" s="44" t="s">
        <v>68</v>
      </c>
      <c r="C6" s="71">
        <f>IFERROR(__xludf.DUMMYFUNCTION("FILTER(RawData_SemEval!$B$2:$B$398, 
  REGEXMATCH(RawData_SemEval!$A$2:$A$398, ""(?i)"" &amp; $A$5), 
  REGEXMATCH(RawData_SemEval!$A$2:$A$398, ""(?i)"" &amp; $C$1), 
  REGEXMATCH(RawData_SemEval!$A$2:$A$398, ""(?i)"" &amp; $B$4), 
  REGEXMATCH(RawData_SemEval!$A$2:$"&amp;"A$398, ""(?i)"" &amp; $B$6)
)"),0.464)</f>
        <v>0.464</v>
      </c>
      <c r="D6" s="71">
        <f>IFERROR(__xludf.DUMMYFUNCTION("FILTER(RawData_SemEval!$F$2:$F$398, 
  REGEXMATCH(RawData_SemEval!$A$2:$A$398, ""(?i)"" &amp; $A$5), 
  REGEXMATCH(RawData_SemEval!$A$2:$A$398, ""(?i)"" &amp; $C$1), 
  REGEXMATCH(RawData_SemEval!$A$2:$A$398, ""(?i)"" &amp; $B$4), 
  REGEXMATCH(RawData_SemEval!$A$2:$"&amp;"A$398, ""(?i)"" &amp; $B$6)
)"),0.262)</f>
        <v>0.262</v>
      </c>
      <c r="E6" s="72">
        <f>IFERROR(__xludf.DUMMYFUNCTION("FILTER(RawData_SemEval!$B$2:$B$398, 
  REGEXMATCH(RawData_SemEval!$A$2:$A$398, ""(?i)"" &amp; $A$5), 
  REGEXMATCH(RawData_SemEval!$A$2:$A$398, ""(?i)"" &amp; $E$1), 
  REGEXMATCH(RawData_SemEval!$A$2:$A$398, ""(?i)"" &amp; $B$4), 
  REGEXMATCH(RawData_SemEval!$A$2:$"&amp;"A$398, ""(?i)"" &amp; $B$6)
)"),0.538)</f>
        <v>0.538</v>
      </c>
      <c r="F6" s="71">
        <f>IFERROR(__xludf.DUMMYFUNCTION("FILTER(RawData_SemEval!$F$2:$F$398, 
  REGEXMATCH(RawData_SemEval!$A$2:$A$398, ""(?i)"" &amp; $A$5), 
  REGEXMATCH(RawData_SemEval!$A$2:$A$398, ""(?i)"" &amp; $E$1), 
  REGEXMATCH(RawData_SemEval!$A$2:$A$398, ""(?i)"" &amp; $B$4), 
  REGEXMATCH(RawData_SemEval!$A$2:$"&amp;"A$398, ""(?i)"" &amp; $B$6)
)"),0.338)</f>
        <v>0.338</v>
      </c>
      <c r="G6" s="72">
        <f>IFERROR(__xludf.DUMMYFUNCTION("FILTER(RawData_SemEval!$B$2:$B$398, 
  REGEXMATCH(RawData_SemEval!$A$2:$A$398, ""(?i)"" &amp; $A$5), 
  REGEXMATCH(RawData_SemEval!$A$2:$A$398, ""(?i)"" &amp; $G$1), 
  REGEXMATCH(RawData_SemEval!$A$2:$A$398, ""(?i)"" &amp; $B$4), 
  REGEXMATCH(RawData_SemEval!$A$2:$"&amp;"A$398, ""(?i)"" &amp; $B$6)
)"),0.456)</f>
        <v>0.456</v>
      </c>
      <c r="H6" s="71">
        <f>IFERROR(__xludf.DUMMYFUNCTION("FILTER(RawData_SemEval!$F$2:$F$398, 
  REGEXMATCH(RawData_SemEval!$A$2:$A$398, ""(?i)"" &amp; $A$5), 
  REGEXMATCH(RawData_SemEval!$A$2:$A$398, ""(?i)"" &amp; $G$1), 
  REGEXMATCH(RawData_SemEval!$A$2:$A$398, ""(?i)"" &amp; $B$4), 
  REGEXMATCH(RawData_SemEval!$A$2:$"&amp;"A$398, ""(?i)"" &amp; $B$6)
)"),0.3)</f>
        <v>0.3</v>
      </c>
      <c r="I6" s="49"/>
      <c r="J6" s="44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</row>
    <row r="7">
      <c r="A7" s="68" t="s">
        <v>89</v>
      </c>
      <c r="B7" s="4" t="s">
        <v>11</v>
      </c>
      <c r="C7" s="69">
        <f>IFERROR(__xludf.DUMMYFUNCTION("FILTER(RawData_SemEval!$B$2:$B$398, 
  REGEXMATCH(RawData_SemEval!$A$2:$A$398, ""(?i)"" &amp; $A$5), 
  REGEXMATCH(RawData_SemEval!$A$2:$A$398, ""(?i)"" &amp; $C$1), 
  REGEXMATCH(RawData_SemEval!$A$2:$A$398, ""(?i)"" &amp; $B$7), 
  NOT(REGEXMATCH(RawData_SemEval!$A"&amp;"$2:$A$398,  ""(?i)ensemble""))
)"),0.3806)</f>
        <v>0.3806</v>
      </c>
      <c r="D7" s="69">
        <f>IFERROR(__xludf.DUMMYFUNCTION("FILTER(RawData_SemEval!$F$2:$F$398, 
  REGEXMATCH(RawData_SemEval!$A$2:$A$398, ""(?i)"" &amp; $A$5), 
  REGEXMATCH(RawData_SemEval!$A$2:$A$398, ""(?i)"" &amp; $C$1), 
  REGEXMATCH(RawData_SemEval!$A$2:$A$398, ""(?i)"" &amp; $B$7), 
  NOT(REGEXMATCH(RawData_SemEval!$A"&amp;"$2:$A$398,  ""(?i)ensemble""))
)"),0.2112)</f>
        <v>0.2112</v>
      </c>
      <c r="E7" s="70">
        <f>IFERROR(__xludf.DUMMYFUNCTION("FILTER(RawData_SemEval!$B$2:$B$398, 
  REGEXMATCH(RawData_SemEval!$A$2:$A$398, ""(?i)"" &amp; $A$5), 
  REGEXMATCH(RawData_SemEval!$A$2:$A$398, ""(?i)"" &amp; $E$1), 
  REGEXMATCH(RawData_SemEval!$A$2:$A$398, ""(?i)"" &amp; $B$7), 
  NOT(REGEXMATCH(RawData_SemEval!$A"&amp;"$2:$A$398,  ""(?i)ensemble""))
)"),0.4858)</f>
        <v>0.4858</v>
      </c>
      <c r="F7" s="69">
        <f>IFERROR(__xludf.DUMMYFUNCTION("FILTER(RawData_SemEval!$F$2:$F$398, 
  REGEXMATCH(RawData_SemEval!$A$2:$A$398, ""(?i)"" &amp; $A$5), 
  REGEXMATCH(RawData_SemEval!$A$2:$A$398, ""(?i)"" &amp; $E$1), 
  REGEXMATCH(RawData_SemEval!$A$2:$A$398, ""(?i)"" &amp; $B$7), 
  NOT(REGEXMATCH(RawData_SemEval!$A"&amp;"$2:$A$398,  ""(?i)ensemble""))
)"),0.301799999999999)</f>
        <v>0.3018</v>
      </c>
      <c r="G7" s="70">
        <f>IFERROR(__xludf.DUMMYFUNCTION("FILTER(RawData_SemEval!$B$2:$B$398, 
  REGEXMATCH(RawData_SemEval!$A$2:$A$398, ""(?i)"" &amp; $A$5), 
  REGEXMATCH(RawData_SemEval!$A$2:$A$398, ""(?i)"" &amp; $G$1), 
  REGEXMATCH(RawData_SemEval!$A$2:$A$398, ""(?i)"" &amp; $B$7), 
  NOT(REGEXMATCH(RawData_SemEval!$A"&amp;"$2:$A$398,  ""(?i)ensemble""))
)"),0.4884)</f>
        <v>0.4884</v>
      </c>
      <c r="H7" s="69">
        <f>IFERROR(__xludf.DUMMYFUNCTION("FILTER(RawData_SemEval!$F$2:$F$398, 
  REGEXMATCH(RawData_SemEval!$A$2:$A$398, ""(?i)"" &amp; $A$5), 
  REGEXMATCH(RawData_SemEval!$A$2:$A$398, ""(?i)"" &amp; $G$1), 
  REGEXMATCH(RawData_SemEval!$A$2:$A$398, ""(?i)"" &amp; $B$7), 
  NOT(REGEXMATCH(RawData_SemEval!$A"&amp;"$2:$A$398,  ""(?i)ensemble""))
)"),0.309799999999999)</f>
        <v>0.3098</v>
      </c>
    </row>
    <row r="8">
      <c r="A8" s="68"/>
      <c r="B8" s="4" t="s">
        <v>67</v>
      </c>
      <c r="C8" s="69">
        <f>IFERROR(__xludf.DUMMYFUNCTION("FILTER(RawData_SemEval!$B$2:$B$398, 
  REGEXMATCH(RawData_SemEval!$A$2:$A$398, ""(?i)"" &amp; $A$5), 
  REGEXMATCH(RawData_SemEval!$A$2:$A$398, ""(?i)"" &amp; $C$1), 
  REGEXMATCH(RawData_SemEval!$A$2:$A$398, ""(?i)"" &amp; $B$7), 
  REGEXMATCH(RawData_SemEval!$A$2:$"&amp;"A$398, ""(?i)"" &amp; $B$5)
)"),0.382)</f>
        <v>0.382</v>
      </c>
      <c r="D8" s="69">
        <f>IFERROR(__xludf.DUMMYFUNCTION("FILTER(RawData_SemEval!$F$2:$F$398, 
  REGEXMATCH(RawData_SemEval!$A$2:$A$398, ""(?i)"" &amp; $A$5), 
  REGEXMATCH(RawData_SemEval!$A$2:$A$398, ""(?i)"" &amp; $C$1), 
  REGEXMATCH(RawData_SemEval!$A$2:$A$398, ""(?i)"" &amp; $B$7), 
  REGEXMATCH(RawData_SemEval!$A$2:$"&amp;"A$398, ""(?i)"" &amp; $B$5)
)"),0.225)</f>
        <v>0.225</v>
      </c>
      <c r="E8" s="70">
        <f>IFERROR(__xludf.DUMMYFUNCTION("FILTER(RawData_SemEval!$B$2:$B$398, 
  REGEXMATCH(RawData_SemEval!$A$2:$A$398, ""(?i)"" &amp; $A$5), 
  REGEXMATCH(RawData_SemEval!$A$2:$A$398, ""(?i)"" &amp; $E$1), 
  REGEXMATCH(RawData_SemEval!$A$2:$A$398, ""(?i)"" &amp; $B$7), 
  REGEXMATCH(RawData_SemEval!$A$2:$"&amp;"A$398, ""(?i)"" &amp; $B$5)
)"),0.105)</f>
        <v>0.105</v>
      </c>
      <c r="F8" s="69">
        <f>IFERROR(__xludf.DUMMYFUNCTION("FILTER(RawData_SemEval!$F$2:$F$398, 
  REGEXMATCH(RawData_SemEval!$A$2:$A$398, ""(?i)"" &amp; $A$5), 
  REGEXMATCH(RawData_SemEval!$A$2:$A$398, ""(?i)"" &amp; $E$1), 
  REGEXMATCH(RawData_SemEval!$A$2:$A$398, ""(?i)"" &amp; $B$7), 
  REGEXMATCH(RawData_SemEval!$A$2:$"&amp;"A$398, ""(?i)"" &amp; $B$5)
)"),0.036)</f>
        <v>0.036</v>
      </c>
      <c r="G8" s="70">
        <f>IFERROR(__xludf.DUMMYFUNCTION("FILTER(RawData_SemEval!$B$2:$B$398, 
  REGEXMATCH(RawData_SemEval!$A$2:$A$398, ""(?i)"" &amp; $A$5), 
  REGEXMATCH(RawData_SemEval!$A$2:$A$398, ""(?i)"" &amp; $G$1), 
  REGEXMATCH(RawData_SemEval!$A$2:$A$398, ""(?i)"" &amp; $B$7), 
  REGEXMATCH(RawData_SemEval!$A$2:$"&amp;"A$398, ""(?i)"" &amp; $B$5)
)"),0.498)</f>
        <v>0.498</v>
      </c>
      <c r="H8" s="69">
        <f>IFERROR(__xludf.DUMMYFUNCTION("FILTER(RawData_SemEval!$F$2:$F$398, 
  REGEXMATCH(RawData_SemEval!$A$2:$A$398, ""(?i)"" &amp; $A$5), 
  REGEXMATCH(RawData_SemEval!$A$2:$A$398, ""(?i)"" &amp; $G$1), 
  REGEXMATCH(RawData_SemEval!$A$2:$A$398, ""(?i)"" &amp; $B$7), 
  REGEXMATCH(RawData_SemEval!$A$2:$"&amp;"A$398, ""(?i)"" &amp; $B$5)
)"),0.308)</f>
        <v>0.308</v>
      </c>
    </row>
    <row r="9">
      <c r="A9" s="68"/>
      <c r="B9" s="44" t="s">
        <v>68</v>
      </c>
      <c r="C9" s="71">
        <f>IFERROR(__xludf.DUMMYFUNCTION("FILTER(RawData_SemEval!$B$2:$B$398, 
  REGEXMATCH(RawData_SemEval!$A$2:$A$398, ""(?i)"" &amp; $A$5), 
  REGEXMATCH(RawData_SemEval!$A$2:$A$398, ""(?i)"" &amp; $C$1), 
  REGEXMATCH(RawData_SemEval!$A$2:$A$398, ""(?i)"" &amp; $B$7), 
  REGEXMATCH(RawData_SemEval!$A$2:$"&amp;"A$398, ""(?i)"" &amp; $B$6)
)"),0.442)</f>
        <v>0.442</v>
      </c>
      <c r="D9" s="71">
        <f>IFERROR(__xludf.DUMMYFUNCTION("FILTER(RawData_SemEval!$F$2:$F$398, 
  REGEXMATCH(RawData_SemEval!$A$2:$A$398, ""(?i)"" &amp; $A$5), 
  REGEXMATCH(RawData_SemEval!$A$2:$A$398, ""(?i)"" &amp; $C$1), 
  REGEXMATCH(RawData_SemEval!$A$2:$A$398, ""(?i)"" &amp; $B$7), 
  REGEXMATCH(RawData_SemEval!$A$2:$"&amp;"A$398, ""(?i)"" &amp; $B$6)
)"),0.248)</f>
        <v>0.248</v>
      </c>
      <c r="E9" s="72">
        <f>IFERROR(__xludf.DUMMYFUNCTION("FILTER(RawData_SemEval!$B$2:$B$398, 
  REGEXMATCH(RawData_SemEval!$A$2:$A$398, ""(?i)"" &amp; $A$5), 
  REGEXMATCH(RawData_SemEval!$A$2:$A$398, ""(?i)"" &amp; $E$1), 
  REGEXMATCH(RawData_SemEval!$A$2:$A$398, ""(?i)"" &amp; $B$7), 
  REGEXMATCH(RawData_SemEval!$A$2:$"&amp;"A$398, ""(?i)"" &amp; $B$6)
)"),0.34)</f>
        <v>0.34</v>
      </c>
      <c r="F9" s="71">
        <f>IFERROR(__xludf.DUMMYFUNCTION("FILTER(RawData_SemEval!$F$2:$F$398, 
  REGEXMATCH(RawData_SemEval!$A$2:$A$398, ""(?i)"" &amp; $A$5), 
  REGEXMATCH(RawData_SemEval!$A$2:$A$398, ""(?i)"" &amp; $E$1), 
  REGEXMATCH(RawData_SemEval!$A$2:$A$398, ""(?i)"" &amp; $B$7), 
  REGEXMATCH(RawData_SemEval!$A$2:$"&amp;"A$398, ""(?i)"" &amp; $B$6)
)"),0.195)</f>
        <v>0.195</v>
      </c>
      <c r="G9" s="72">
        <f>IFERROR(__xludf.DUMMYFUNCTION("FILTER(RawData_SemEval!$B$2:$B$398, 
  REGEXMATCH(RawData_SemEval!$A$2:$A$398, ""(?i)"" &amp; $A$5), 
  REGEXMATCH(RawData_SemEval!$A$2:$A$398, ""(?i)"" &amp; $G$1), 
  REGEXMATCH(RawData_SemEval!$A$2:$A$398, ""(?i)"" &amp; $B$7), 
  REGEXMATCH(RawData_SemEval!$A$2:$"&amp;"A$398, ""(?i)"" &amp; $B$6)
)"),0.508)</f>
        <v>0.508</v>
      </c>
      <c r="H9" s="71">
        <f>IFERROR(__xludf.DUMMYFUNCTION("FILTER(RawData_SemEval!$F$2:$F$398, 
  REGEXMATCH(RawData_SemEval!$A$2:$A$398, ""(?i)"" &amp; $A$5), 
  REGEXMATCH(RawData_SemEval!$A$2:$A$398, ""(?i)"" &amp; $G$1), 
  REGEXMATCH(RawData_SemEval!$A$2:$A$398, ""(?i)"" &amp; $B$7), 
  REGEXMATCH(RawData_SemEval!$A$2:$"&amp;"A$398, ""(?i)"" &amp; $B$6)
)"),0.325)</f>
        <v>0.325</v>
      </c>
      <c r="I9" s="49"/>
      <c r="J9" s="44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</row>
    <row r="10">
      <c r="A10" s="68" t="s">
        <v>90</v>
      </c>
      <c r="B10" s="4" t="s">
        <v>15</v>
      </c>
      <c r="C10" s="69">
        <f>IFERROR(__xludf.DUMMYFUNCTION("FILTER(RawData_SemEval!$B$2:$B$398, 
  REGEXMATCH(RawData_SemEval!$A$2:$A$398, ""(?i)"" &amp; $A$5), 
  REGEXMATCH(RawData_SemEval!$A$2:$A$398, ""(?i)"" &amp; $C$1), 
  REGEXMATCH(RawData_SemEval!$A$2:$A$398, ""(?i)"" &amp; $A$10), 
  NOT(REGEXMATCH(RawData_SemEval!$"&amp;"A$2:$A$398,  ""(?i)ensemble""))
)"),0.3578)</f>
        <v>0.3578</v>
      </c>
      <c r="D10" s="69">
        <f>IFERROR(__xludf.DUMMYFUNCTION("FILTER(RawData_SemEval!$F$2:$F$398, 
  REGEXMATCH(RawData_SemEval!$A$2:$A$398, ""(?i)"" &amp; $A$5), 
  REGEXMATCH(RawData_SemEval!$A$2:$A$398, ""(?i)"" &amp; $C$1), 
  REGEXMATCH(RawData_SemEval!$A$2:$A$398, ""(?i)"" &amp; $A$10), 
  NOT(REGEXMATCH(RawData_SemEval!$"&amp;"A$2:$A$398,  ""(?i)ensemble""))
)"),0.188)</f>
        <v>0.188</v>
      </c>
      <c r="E10" s="70">
        <f>IFERROR(__xludf.DUMMYFUNCTION("FILTER(RawData_SemEval!$B$2:$B$398, 
  REGEXMATCH(RawData_SemEval!$A$2:$A$398, ""(?i)"" &amp; $A$5), 
  REGEXMATCH(RawData_SemEval!$A$2:$A$398, ""(?i)"" &amp; $E$1), 
  REGEXMATCH(RawData_SemEval!$A$2:$A$398, ""(?i)"" &amp; $A$10), 
  NOT(REGEXMATCH(RawData_SemEval!$"&amp;"A$2:$A$398,  ""(?i)ensemble""))
)"),0.4516)</f>
        <v>0.4516</v>
      </c>
      <c r="F10" s="69">
        <f>IFERROR(__xludf.DUMMYFUNCTION("FILTER(RawData_SemEval!$F$2:$F$398, 
  REGEXMATCH(RawData_SemEval!$A$2:$A$398, ""(?i)"" &amp; $A$5), 
  REGEXMATCH(RawData_SemEval!$A$2:$A$398, ""(?i)"" &amp; $E$1), 
  REGEXMATCH(RawData_SemEval!$A$2:$A$398, ""(?i)"" &amp; $A$10), 
  NOT(REGEXMATCH(RawData_SemEval!$"&amp;"A$2:$A$398,  ""(?i)ensemble""))
)"),0.2602)</f>
        <v>0.2602</v>
      </c>
      <c r="G10" s="70">
        <f>IFERROR(__xludf.DUMMYFUNCTION("FILTER(RawData_SemEval!$B$2:$B$398, 
  REGEXMATCH(RawData_SemEval!$A$2:$A$398, ""(?i)"" &amp; $A$5), 
  REGEXMATCH(RawData_SemEval!$A$2:$A$398, ""(?i)"" &amp; $G$1), 
  REGEXMATCH(RawData_SemEval!$A$2:$A$398, ""(?i)"" &amp; $A$10), 
  NOT(REGEXMATCH(RawData_SemEval!$"&amp;"A$2:$A$398,  ""(?i)ensemble""))
)"),0.4362)</f>
        <v>0.4362</v>
      </c>
      <c r="H10" s="69">
        <f>IFERROR(__xludf.DUMMYFUNCTION("FILTER(RawData_SemEval!$F$2:$F$398, 
  REGEXMATCH(RawData_SemEval!$A$2:$A$398, ""(?i)"" &amp; $A$5), 
  REGEXMATCH(RawData_SemEval!$A$2:$A$398, ""(?i)"" &amp; $G$1), 
  REGEXMATCH(RawData_SemEval!$A$2:$A$398, ""(?i)"" &amp; $A$10), 
  NOT(REGEXMATCH(RawData_SemEval!$"&amp;"A$2:$A$398,  ""(?i)ensemble""))
)"),0.3042)</f>
        <v>0.3042</v>
      </c>
      <c r="J10" s="57"/>
    </row>
    <row r="11">
      <c r="A11" s="68"/>
      <c r="B11" s="4" t="s">
        <v>67</v>
      </c>
      <c r="C11" s="69">
        <f>IFERROR(__xludf.DUMMYFUNCTION("FILTER(RawData_SemEval!$B$2:$B$398, 
  REGEXMATCH(RawData_SemEval!$A$2:$A$398, ""(?i)"" &amp; $A$5), 
  REGEXMATCH(RawData_SemEval!$A$2:$A$398, ""(?i)"" &amp; $C$1), 
  REGEXMATCH(RawData_SemEval!$A$2:$A$398, ""(?i)"" &amp; $A$10), 
  REGEXMATCH(RawData_SemEval!$A$2:"&amp;"$A$398, ""(?i)"" &amp; $B$5)
)"),0.339)</f>
        <v>0.339</v>
      </c>
      <c r="D11" s="69">
        <f>IFERROR(__xludf.DUMMYFUNCTION("FILTER(RawData_SemEval!$F$2:$F$398, 
  REGEXMATCH(RawData_SemEval!$A$2:$A$398, ""(?i)"" &amp; $A$5), 
  REGEXMATCH(RawData_SemEval!$A$2:$A$398, ""(?i)"" &amp; $C$1), 
  REGEXMATCH(RawData_SemEval!$A$2:$A$398, ""(?i)"" &amp; $A$10), 
  REGEXMATCH(RawData_SemEval!$A$2:"&amp;"$A$398, ""(?i)"" &amp; $B$5)
)"),0.18)</f>
        <v>0.18</v>
      </c>
      <c r="E11" s="70">
        <f>IFERROR(__xludf.DUMMYFUNCTION("FILTER(RawData_SemEval!$B$2:$B$398, 
  REGEXMATCH(RawData_SemEval!$A$2:$A$398, ""(?i)"" &amp; $A$5), 
  REGEXMATCH(RawData_SemEval!$A$2:$A$398, ""(?i)"" &amp; $E$1), 
  REGEXMATCH(RawData_SemEval!$A$2:$A$398, ""(?i)"" &amp; $A$10), 
  REGEXMATCH(RawData_SemEval!$A$2:"&amp;"$A$398, ""(?i)"" &amp; $B$5)
)"),0.442)</f>
        <v>0.442</v>
      </c>
      <c r="F11" s="69">
        <f>IFERROR(__xludf.DUMMYFUNCTION("FILTER(RawData_SemEval!$F$2:$F$398, 
  REGEXMATCH(RawData_SemEval!$A$2:$A$398, ""(?i)"" &amp; $A$5), 
  REGEXMATCH(RawData_SemEval!$A$2:$A$398, ""(?i)"" &amp; $E$1), 
  REGEXMATCH(RawData_SemEval!$A$2:$A$398, ""(?i)"" &amp; $A$10), 
  REGEXMATCH(RawData_SemEval!$A$2:"&amp;"$A$398, ""(?i)"" &amp; $B$5)
)"),0.269)</f>
        <v>0.269</v>
      </c>
      <c r="G11" s="70">
        <f>IFERROR(__xludf.DUMMYFUNCTION("FILTER(RawData_SemEval!$B$2:$B$398, 
  REGEXMATCH(RawData_SemEval!$A$2:$A$398, ""(?i)"" &amp; $A$5), 
  REGEXMATCH(RawData_SemEval!$A$2:$A$398, ""(?i)"" &amp; $G$1), 
  REGEXMATCH(RawData_SemEval!$A$2:$A$398, ""(?i)"" &amp; $A$10), 
  REGEXMATCH(RawData_SemEval!$A$2:"&amp;"$A$398, ""(?i)"" &amp; $B$5)
)"),0.449)</f>
        <v>0.449</v>
      </c>
      <c r="H11" s="69">
        <f>IFERROR(__xludf.DUMMYFUNCTION("FILTER(RawData_SemEval!$F$2:$F$398, 
  REGEXMATCH(RawData_SemEval!$A$2:$A$398, ""(?i)"" &amp; $A$5), 
  REGEXMATCH(RawData_SemEval!$A$2:$A$398, ""(?i)"" &amp; $G$1), 
  REGEXMATCH(RawData_SemEval!$A$2:$A$398, ""(?i)"" &amp; $A$10), 
  REGEXMATCH(RawData_SemEval!$A$2:"&amp;"$A$398, ""(?i)"" &amp; $B$5)
)"),0.323)</f>
        <v>0.323</v>
      </c>
    </row>
    <row r="12">
      <c r="A12" s="68"/>
      <c r="B12" s="44" t="s">
        <v>68</v>
      </c>
      <c r="C12" s="71">
        <f>IFERROR(__xludf.DUMMYFUNCTION("FILTER(RawData_SemEval!$B$2:$B$398, 
  REGEXMATCH(RawData_SemEval!$A$2:$A$398, ""(?i)"" &amp; $A$5), 
  REGEXMATCH(RawData_SemEval!$A$2:$A$398, ""(?i)"" &amp; $C$1), 
  REGEXMATCH(RawData_SemEval!$A$2:$A$398, ""(?i)"" &amp; $A$10), 
  REGEXMATCH(RawData_SemEval!$A$2:"&amp;"$A$398, ""(?i)"" &amp; $B$6)
)"),0.408)</f>
        <v>0.408</v>
      </c>
      <c r="D12" s="71">
        <f>IFERROR(__xludf.DUMMYFUNCTION("FILTER(RawData_SemEval!$F$2:$F$398, 
  REGEXMATCH(RawData_SemEval!$A$2:$A$398, ""(?i)"" &amp; $A$5), 
  REGEXMATCH(RawData_SemEval!$A$2:$A$398, ""(?i)"" &amp; $C$1), 
  REGEXMATCH(RawData_SemEval!$A$2:$A$398, ""(?i)"" &amp; $A$10), 
  REGEXMATCH(RawData_SemEval!$A$2:"&amp;"$A$398, ""(?i)"" &amp; $B$6)
)"),0.235)</f>
        <v>0.235</v>
      </c>
      <c r="E12" s="72">
        <f>IFERROR(__xludf.DUMMYFUNCTION("FILTER(RawData_SemEval!$B$2:$B$398, 
  REGEXMATCH(RawData_SemEval!$A$2:$A$398, ""(?i)"" &amp; $A$5), 
  REGEXMATCH(RawData_SemEval!$A$2:$A$398, ""(?i)"" &amp; $E$1), 
  REGEXMATCH(RawData_SemEval!$A$2:$A$398, ""(?i)"" &amp; $A$10), 
  REGEXMATCH(RawData_SemEval!$A$2:"&amp;"$A$398, ""(?i)"" &amp; $B$6)
)"),0.496)</f>
        <v>0.496</v>
      </c>
      <c r="F12" s="71">
        <f>IFERROR(__xludf.DUMMYFUNCTION("FILTER(RawData_SemEval!$F$2:$F$398, 
  REGEXMATCH(RawData_SemEval!$A$2:$A$398, ""(?i)"" &amp; $A$5), 
  REGEXMATCH(RawData_SemEval!$A$2:$A$398, ""(?i)"" &amp; $E$1), 
  REGEXMATCH(RawData_SemEval!$A$2:$A$398, ""(?i)"" &amp; $A$10), 
  REGEXMATCH(RawData_SemEval!$A$2:"&amp;"$A$398, ""(?i)"" &amp; $B$6)
)"),0.295)</f>
        <v>0.295</v>
      </c>
      <c r="G12" s="72">
        <f>IFERROR(__xludf.DUMMYFUNCTION("FILTER(RawData_SemEval!$B$2:$B$398, 
  REGEXMATCH(RawData_SemEval!$A$2:$A$398, ""(?i)"" &amp; $A$5), 
  REGEXMATCH(RawData_SemEval!$A$2:$A$398, ""(?i)"" &amp; $G$1), 
  REGEXMATCH(RawData_SemEval!$A$2:$A$398, ""(?i)"" &amp; $A$10), 
  REGEXMATCH(RawData_SemEval!$A$2:"&amp;"$A$398, ""(?i)"" &amp; $B$6)
)"),0.499)</f>
        <v>0.499</v>
      </c>
      <c r="H12" s="71">
        <f>IFERROR(__xludf.DUMMYFUNCTION("FILTER(RawData_SemEval!$F$2:$F$398, 
  REGEXMATCH(RawData_SemEval!$A$2:$A$398, ""(?i)"" &amp; $A$5), 
  REGEXMATCH(RawData_SemEval!$A$2:$A$398, ""(?i)"" &amp; $G$1), 
  REGEXMATCH(RawData_SemEval!$A$2:$A$398, ""(?i)"" &amp; $A$10), 
  REGEXMATCH(RawData_SemEval!$A$2:"&amp;"$A$398, ""(?i)"" &amp; $B$6)
)"),0.35)</f>
        <v>0.35</v>
      </c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</row>
    <row r="13">
      <c r="A13" s="68" t="s">
        <v>91</v>
      </c>
      <c r="B13" s="4" t="s">
        <v>20</v>
      </c>
      <c r="C13" s="73"/>
      <c r="D13" s="73"/>
      <c r="E13" s="70">
        <f>IFERROR(__xludf.DUMMYFUNCTION("FILTER(RawData_SemEval!$B$2:$B$398, 
  REGEXMATCH(RawData_SemEval!$A$2:$A$398, ""(?i)"" &amp; $A$5), 
  REGEXMATCH(RawData_SemEval!$A$2:$A$398, ""(?i)"" &amp; $E$1), 
  REGEXMATCH(RawData_SemEval!$A$2:$A$398, ""(?i)"" &amp; $A$13), 
  NOT(REGEXMATCH(RawData_SemEval!$"&amp;"A$2:$A$398,  ""(?i)ensemble"")),NOT(REGEXMATCH(RawData_SemEval!$A$2:$A$398,  ""(?i)complete""))
)"),0.4682)</f>
        <v>0.4682</v>
      </c>
      <c r="F13" s="69">
        <f>IFERROR(__xludf.DUMMYFUNCTION("FILTER(RawData_SemEval!$F$2:$F$398, 
  REGEXMATCH(RawData_SemEval!$A$2:$A$398, ""(?i)"" &amp; $A$5), 
  REGEXMATCH(RawData_SemEval!$A$2:$A$398, ""(?i)"" &amp; $E$1), 
  REGEXMATCH(RawData_SemEval!$A$2:$A$398, ""(?i)"" &amp; $A$13), 
  NOT(REGEXMATCH(RawData_SemEval!$"&amp;"A$2:$A$398,  ""(?i)ensemble"")),NOT(REGEXMATCH(RawData_SemEval!$A$2:$A$398,  ""(?i)complete""))
)"),0.285599999999999)</f>
        <v>0.2856</v>
      </c>
      <c r="G13" s="70">
        <f>IFERROR(__xludf.DUMMYFUNCTION("FILTER(RawData_SemEval!$B$2:$B$398, 
  REGEXMATCH(RawData_SemEval!$A$2:$A$398, ""(?i)"" &amp; $A$5), 
  REGEXMATCH(RawData_SemEval!$A$2:$A$398, ""(?i)"" &amp; $G$1), 
  REGEXMATCH(RawData_SemEval!$A$2:$A$398, ""(?i)"" &amp; $A$13), 
  NOT(REGEXMATCH(RawData_SemEval!$"&amp;"A$2:$A$398,  ""(?i)ensemble"")),NOT(REGEXMATCH(RawData_SemEval!$A$2:$A$398,  ""(?i)complete""))
)"),0.4852)</f>
        <v>0.4852</v>
      </c>
      <c r="H13" s="69">
        <f>IFERROR(__xludf.DUMMYFUNCTION("FILTER(RawData_SemEval!$F$2:$F$398, 
  REGEXMATCH(RawData_SemEval!$A$2:$A$398, ""(?i)"" &amp; $A$5), 
  REGEXMATCH(RawData_SemEval!$A$2:$A$398, ""(?i)"" &amp; $G$1), 
  REGEXMATCH(RawData_SemEval!$A$2:$A$398, ""(?i)"" &amp; $A$13), 
  NOT(REGEXMATCH(RawData_SemEval!$"&amp;"A$2:$A$398,  ""(?i)ensemble"")),NOT(REGEXMATCH(RawData_SemEval!$A$2:$A$398,  ""(?i)complete""))
)"),0.3286)</f>
        <v>0.3286</v>
      </c>
    </row>
    <row r="14">
      <c r="A14" s="68"/>
      <c r="B14" s="4" t="s">
        <v>67</v>
      </c>
      <c r="C14" s="73"/>
      <c r="D14" s="73"/>
      <c r="E14" s="70">
        <f>IFERROR(__xludf.DUMMYFUNCTION("FILTER(RawData_SemEval!$B$2:$B$398, 
  REGEXMATCH(RawData_SemEval!$A$2:$A$398, ""(?i)"" &amp; $A$5), 
  REGEXMATCH(RawData_SemEval!$A$2:$A$398, ""(?i)"" &amp; $E$1), 
  REGEXMATCH(RawData_SemEval!$A$2:$A$398, ""(?i)"" &amp; $A$13), 
  REGEXMATCH(RawData_SemEval!$A$2:"&amp;"$A$398, ""(?i)"" &amp; $B$5),NOT(REGEXMATCH(RawData_SemEval!$A$2:$A$398,  ""(?i)complete""))
)"),0.479)</f>
        <v>0.479</v>
      </c>
      <c r="F14" s="69">
        <f>IFERROR(__xludf.DUMMYFUNCTION("FILTER(RawData_SemEval!$F$2:$F$398, 
  REGEXMATCH(RawData_SemEval!$A$2:$A$398, ""(?i)"" &amp; $A$5), 
  REGEXMATCH(RawData_SemEval!$A$2:$A$398, ""(?i)"" &amp; $E$1), 
  REGEXMATCH(RawData_SemEval!$A$2:$A$398, ""(?i)"" &amp; $A$13), 
  REGEXMATCH(RawData_SemEval!$A$2:"&amp;"$A$398, ""(?i)"" &amp; $B$5),NOT(REGEXMATCH(RawData_SemEval!$A$2:$A$398,  ""(?i)complete""))
)"),0.307)</f>
        <v>0.307</v>
      </c>
      <c r="G14" s="70">
        <f>IFERROR(__xludf.DUMMYFUNCTION("FILTER(RawData_SemEval!$B$2:$B$398, 
  REGEXMATCH(RawData_SemEval!$A$2:$A$398, ""(?i)"" &amp; $A$5), 
  REGEXMATCH(RawData_SemEval!$A$2:$A$398, ""(?i)"" &amp; $G$1), 
  REGEXMATCH(RawData_SemEval!$A$2:$A$398, ""(?i)"" &amp; $A$13), 
  REGEXMATCH(RawData_SemEval!$A$2:"&amp;"$A$398, ""(?i)"" &amp; $B$5),NOT(REGEXMATCH(RawData_SemEval!$A$2:$A$398,  ""(?i)complete""))
)"),0.516)</f>
        <v>0.516</v>
      </c>
      <c r="H14" s="69">
        <f>IFERROR(__xludf.DUMMYFUNCTION("FILTER(RawData_SemEval!$F$2:$F$398, 
  REGEXMATCH(RawData_SemEval!$A$2:$A$398, ""(?i)"" &amp; $A$5), 
  REGEXMATCH(RawData_SemEval!$A$2:$A$398, ""(?i)"" &amp; $G$1), 
  REGEXMATCH(RawData_SemEval!$A$2:$A$398, ""(?i)"" &amp; $A$13), 
  REGEXMATCH(RawData_SemEval!$A$2:"&amp;"$A$398, ""(?i)"" &amp; $B$5),NOT(REGEXMATCH(RawData_SemEval!$A$2:$A$398,  ""(?i)complete""))
)"),0.356)</f>
        <v>0.356</v>
      </c>
    </row>
    <row r="15">
      <c r="A15" s="68"/>
      <c r="B15" s="44" t="s">
        <v>68</v>
      </c>
      <c r="C15" s="74"/>
      <c r="D15" s="74"/>
      <c r="E15" s="72">
        <f>IFERROR(__xludf.DUMMYFUNCTION("FILTER(RawData_SemEval!$B$2:$B$398, 
  REGEXMATCH(RawData_SemEval!$A$2:$A$398, ""(?i)"" &amp; $A$5), 
  REGEXMATCH(RawData_SemEval!$A$2:$A$398, ""(?i)"" &amp; $E$1), 
  REGEXMATCH(RawData_SemEval!$A$2:$A$398, ""(?i)"" &amp; $A$13), 
  REGEXMATCH(RawData_SemEval!$A$2:"&amp;"$A$398, ""(?i)"" &amp; $B$6),NOT(REGEXMATCH(RawData_SemEval!$A$2:$A$398,  ""(?i)complete""))
)"),0.502)</f>
        <v>0.502</v>
      </c>
      <c r="F15" s="71">
        <f>IFERROR(__xludf.DUMMYFUNCTION("FILTER(RawData_SemEval!$F$2:$F$398, 
  REGEXMATCH(RawData_SemEval!$A$2:$A$398, ""(?i)"" &amp; $A$5), 
  REGEXMATCH(RawData_SemEval!$A$2:$A$398, ""(?i)"" &amp; $E$1), 
  REGEXMATCH(RawData_SemEval!$A$2:$A$398, ""(?i)"" &amp; $A$13), 
  REGEXMATCH(RawData_SemEval!$A$2:"&amp;"$A$398, ""(?i)"" &amp; $B$6),NOT(REGEXMATCH(RawData_SemEval!$A$2:$A$398,  ""(?i)complete""))
)"),0.301)</f>
        <v>0.301</v>
      </c>
      <c r="G15" s="72">
        <f>IFERROR(__xludf.DUMMYFUNCTION("FILTER(RawData_SemEval!$B$2:$B$398, 
  REGEXMATCH(RawData_SemEval!$A$2:$A$398, ""(?i)"" &amp; $A$5), 
  REGEXMATCH(RawData_SemEval!$A$2:$A$398, ""(?i)"" &amp; $G$1), 
  REGEXMATCH(RawData_SemEval!$A$2:$A$398, ""(?i)"" &amp; $A$13), 
  REGEXMATCH(RawData_SemEval!$A$2:"&amp;"$A$398, ""(?i)"" &amp; $B$6),NOT(REGEXMATCH(RawData_SemEval!$A$2:$A$398,  ""(?i)complete""))
)"),0.504)</f>
        <v>0.504</v>
      </c>
      <c r="H15" s="71">
        <f>IFERROR(__xludf.DUMMYFUNCTION("FILTER(RawData_SemEval!$F$2:$F$398, 
  REGEXMATCH(RawData_SemEval!$A$2:$A$398, ""(?i)"" &amp; $A$5), 
  REGEXMATCH(RawData_SemEval!$A$2:$A$398, ""(?i)"" &amp; $G$1), 
  REGEXMATCH(RawData_SemEval!$A$2:$A$398, ""(?i)"" &amp; $A$13), 
  REGEXMATCH(RawData_SemEval!$A$2:"&amp;"$A$398, ""(?i)"" &amp; $B$6),NOT(REGEXMATCH(RawData_SemEval!$A$2:$A$398,  ""(?i)complete""))
)"),0.352)</f>
        <v>0.352</v>
      </c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>
      <c r="A16" s="68" t="s">
        <v>92</v>
      </c>
      <c r="B16" s="4" t="s">
        <v>25</v>
      </c>
      <c r="C16" s="73"/>
      <c r="D16" s="73"/>
      <c r="E16" s="70">
        <f>IFERROR(__xludf.DUMMYFUNCTION("FILTER(RawData_SemEval!$B$2:$B$398, 
  REGEXMATCH(RawData_SemEval!$A$2:$A$398, ""(?i)"" &amp; $A$5), 
  REGEXMATCH(RawData_SemEval!$A$2:$A$398, ""(?i)"" &amp; $E$1), 
  REGEXMATCH(RawData_SemEval!$A$2:$A$398, ""(?i)"" &amp; $A$16), 
  NOT(REGEXMATCH(RawData_SemEval!$"&amp;"A$2:$A$398,  ""(?i)ensemble""))
)"),0.453599999999999)</f>
        <v>0.4536</v>
      </c>
      <c r="F16" s="69">
        <f>IFERROR(__xludf.DUMMYFUNCTION("FILTER(RawData_SemEval!$F$2:$F$398, 
  REGEXMATCH(RawData_SemEval!$A$2:$A$398, ""(?i)"" &amp; $A$5), 
  REGEXMATCH(RawData_SemEval!$A$2:$A$398, ""(?i)"" &amp; $E$1), 
  REGEXMATCH(RawData_SemEval!$A$2:$A$398, ""(?i)"" &amp; $A$16), 
  NOT(REGEXMATCH(RawData_SemEval!$"&amp;"A$2:$A$398,  ""(?i)ensemble""))
)"),0.2698)</f>
        <v>0.2698</v>
      </c>
      <c r="G16" s="70">
        <f>IFERROR(__xludf.DUMMYFUNCTION("FILTER(RawData_SemEval!$B$2:$B$398, 
  REGEXMATCH(RawData_SemEval!$A$2:$A$398, ""(?i)"" &amp; $A$5), 
  REGEXMATCH(RawData_SemEval!$A$2:$A$398, ""(?i)"" &amp; $G$1), 
  REGEXMATCH(RawData_SemEval!$A$2:$A$398, ""(?i)"" &amp; $A$16), 
  NOT(REGEXMATCH(RawData_SemEval!$"&amp;"A$2:$A$398,  ""(?i)ensemble""))
)"),0.4522)</f>
        <v>0.4522</v>
      </c>
      <c r="H16" s="69">
        <f>IFERROR(__xludf.DUMMYFUNCTION("FILTER(RawData_SemEval!$F$2:$F$398, 
  REGEXMATCH(RawData_SemEval!$A$2:$A$398, ""(?i)"" &amp; $A$5), 
  REGEXMATCH(RawData_SemEval!$A$2:$A$398, ""(?i)"" &amp; $G$1), 
  REGEXMATCH(RawData_SemEval!$A$2:$A$398, ""(?i)"" &amp; $A$16), 
  NOT(REGEXMATCH(RawData_SemEval!$"&amp;"A$2:$A$398,  ""(?i)ensemble""))
)"),0.3188)</f>
        <v>0.3188</v>
      </c>
    </row>
    <row r="17">
      <c r="A17" s="68"/>
      <c r="B17" s="4" t="s">
        <v>67</v>
      </c>
      <c r="C17" s="73"/>
      <c r="D17" s="73"/>
      <c r="E17" s="70">
        <f>IFERROR(__xludf.DUMMYFUNCTION("FILTER(RawData_SemEval!$B$2:$B$398, 
  REGEXMATCH(RawData_SemEval!$A$2:$A$398, ""(?i)"" &amp; $A$5), 
  REGEXMATCH(RawData_SemEval!$A$2:$A$398, ""(?i)"" &amp; $E$1), 
  REGEXMATCH(RawData_SemEval!$A$2:$A$398, ""(?i)"" &amp; $A$16), 
  REGEXMATCH(RawData_SemEval!$A$2:"&amp;"$A$398, ""(?i)"" &amp; $B$5)
)"),0.467)</f>
        <v>0.467</v>
      </c>
      <c r="F17" s="69">
        <f>IFERROR(__xludf.DUMMYFUNCTION("FILTER(RawData_SemEval!$F$2:$F$398, 
  REGEXMATCH(RawData_SemEval!$A$2:$A$398, ""(?i)"" &amp; $A$5), 
  REGEXMATCH(RawData_SemEval!$A$2:$A$398, ""(?i)"" &amp; $E$1), 
  REGEXMATCH(RawData_SemEval!$A$2:$A$398, ""(?i)"" &amp; $A$16), 
  REGEXMATCH(RawData_SemEval!$A$2:"&amp;"$A$398, ""(?i)"" &amp; $B$5)
)"),0.294)</f>
        <v>0.294</v>
      </c>
      <c r="G17" s="70">
        <f>IFERROR(__xludf.DUMMYFUNCTION("FILTER(RawData_SemEval!$B$2:$B$398, 
  REGEXMATCH(RawData_SemEval!$A$2:$A$398, ""(?i)"" &amp; $A$5), 
  REGEXMATCH(RawData_SemEval!$A$2:$A$398, ""(?i)"" &amp; $G$1), 
  REGEXMATCH(RawData_SemEval!$A$2:$A$398, ""(?i)"" &amp; $A$16), 
  REGEXMATCH(RawData_SemEval!$A$2:"&amp;"$A$398, ""(?i)"" &amp; $B$5)
)"),0.455)</f>
        <v>0.455</v>
      </c>
      <c r="H17" s="69">
        <f>IFERROR(__xludf.DUMMYFUNCTION("FILTER(RawData_SemEval!$F$2:$F$398, 
  REGEXMATCH(RawData_SemEval!$A$2:$A$398, ""(?i)"" &amp; $A$5), 
  REGEXMATCH(RawData_SemEval!$A$2:$A$398, ""(?i)"" &amp; $G$1), 
  REGEXMATCH(RawData_SemEval!$A$2:$A$398, ""(?i)"" &amp; $A$16), 
  REGEXMATCH(RawData_SemEval!$A$2:"&amp;"$A$398, ""(?i)"" &amp; $B$5)
)"),0.324)</f>
        <v>0.324</v>
      </c>
    </row>
    <row r="18">
      <c r="A18" s="68"/>
      <c r="B18" s="44" t="s">
        <v>68</v>
      </c>
      <c r="C18" s="74"/>
      <c r="D18" s="74"/>
      <c r="E18" s="72">
        <f>IFERROR(__xludf.DUMMYFUNCTION("FILTER(RawData_SemEval!$B$2:$B$398, 
  REGEXMATCH(RawData_SemEval!$A$2:$A$398, ""(?i)"" &amp; $A$5), 
  REGEXMATCH(RawData_SemEval!$A$2:$A$398, ""(?i)"" &amp; $E$1), 
  REGEXMATCH(RawData_SemEval!$A$2:$A$398, ""(?i)"" &amp; $A$16), 
  REGEXMATCH(RawData_SemEval!$A$2:"&amp;"$A$398, ""(?i)"" &amp; $B$6)
)"),0.485)</f>
        <v>0.485</v>
      </c>
      <c r="F18" s="71">
        <f>IFERROR(__xludf.DUMMYFUNCTION("FILTER(RawData_SemEval!$F$2:$F$398, 
  REGEXMATCH(RawData_SemEval!$A$2:$A$398, ""(?i)"" &amp; $A$5), 
  REGEXMATCH(RawData_SemEval!$A$2:$A$398, ""(?i)"" &amp; $E$1), 
  REGEXMATCH(RawData_SemEval!$A$2:$A$398, ""(?i)"" &amp; $A$16), 
  REGEXMATCH(RawData_SemEval!$A$2:"&amp;"$A$398, ""(?i)"" &amp; $B$6)
)"),0.292)</f>
        <v>0.292</v>
      </c>
      <c r="G18" s="72">
        <f>IFERROR(__xludf.DUMMYFUNCTION("FILTER(RawData_SemEval!$B$2:$B$398, 
  REGEXMATCH(RawData_SemEval!$A$2:$A$398, ""(?i)"" &amp; $A$5), 
  REGEXMATCH(RawData_SemEval!$A$2:$A$398, ""(?i)"" &amp; $G$1), 
  REGEXMATCH(RawData_SemEval!$A$2:$A$398, ""(?i)"" &amp; $A$16), 
  REGEXMATCH(RawData_SemEval!$A$2:"&amp;"$A$398, ""(?i)"" &amp; $B$6)
)"),0.508)</f>
        <v>0.508</v>
      </c>
      <c r="H18" s="71">
        <f>IFERROR(__xludf.DUMMYFUNCTION("FILTER(RawData_SemEval!$F$2:$F$398, 
  REGEXMATCH(RawData_SemEval!$A$2:$A$398, ""(?i)"" &amp; $A$5), 
  REGEXMATCH(RawData_SemEval!$A$2:$A$398, ""(?i)"" &amp; $G$1), 
  REGEXMATCH(RawData_SemEval!$A$2:$A$398, ""(?i)"" &amp; $A$16), 
  REGEXMATCH(RawData_SemEval!$A$2:"&amp;"$A$398, ""(?i)"" &amp; $B$6)
)"),0.347)</f>
        <v>0.347</v>
      </c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</row>
    <row r="19">
      <c r="A19" s="68" t="s">
        <v>93</v>
      </c>
      <c r="B19" s="4" t="s">
        <v>18</v>
      </c>
      <c r="C19" s="69">
        <f>IFERROR(__xludf.DUMMYFUNCTION("FILTER(RawData_SemEval!$B$2:$B$398, 
  REGEXMATCH(RawData_SemEval!$A$2:$A$398, ""(?i)"" &amp; $A$5), 
  REGEXMATCH(RawData_SemEval!$A$2:$A$398, ""(?i)"" &amp; $C$1), 
  REGEXMATCH(RawData_SemEval!$A$2:$A$398, ""(?i)gpt_only_title""), 
  NOT(REGEXMATCH(RawData_Sem"&amp;"Eval!$A$2:$A$398,  ""(?i)ensemble""))
)"),0.3814)</f>
        <v>0.3814</v>
      </c>
      <c r="D19" s="69">
        <f>IFERROR(__xludf.DUMMYFUNCTION("FILTER(RawData_SemEval!$F$2:$F$398, 
  REGEXMATCH(RawData_SemEval!$A$2:$A$398, ""(?i)"" &amp; $A$5), 
  REGEXMATCH(RawData_SemEval!$A$2:$A$398, ""(?i)"" &amp; $C$1), 
  REGEXMATCH(RawData_SemEval!$A$2:$A$398, ""(?i)gpt_only_title""), 
  NOT(REGEXMATCH(RawData_Sem"&amp;"Eval!$A$2:$A$398,  ""(?i)ensemble""))
)"),0.2058)</f>
        <v>0.2058</v>
      </c>
      <c r="E19" s="70">
        <f>IFERROR(__xludf.DUMMYFUNCTION("FILTER(RawData_SemEval!$B$2:$B$398, 
  REGEXMATCH(RawData_SemEval!$A$2:$A$398, ""(?i)"" &amp; $A$5), 
  REGEXMATCH(RawData_SemEval!$A$2:$A$398, ""(?i)"" &amp; $E$1), 
  REGEXMATCH(RawData_SemEval!$A$2:$A$398, ""(?i)gpt_only_title""), 
  NOT(REGEXMATCH(RawData_Sem"&amp;"Eval!$A$2:$A$398,  ""(?i)ensemble""))
)"),0.469)</f>
        <v>0.469</v>
      </c>
      <c r="F19" s="69">
        <f>IFERROR(__xludf.DUMMYFUNCTION("FILTER(RawData_SemEval!$F$2:$F$398, 
  REGEXMATCH(RawData_SemEval!$A$2:$A$398, ""(?i)"" &amp; $A$5), 
  REGEXMATCH(RawData_SemEval!$A$2:$A$398, ""(?i)"" &amp; $E$1), 
  REGEXMATCH(RawData_SemEval!$A$2:$A$398, ""(?i)gpt_only_title""), 
  NOT(REGEXMATCH(RawData_Sem"&amp;"Eval!$A$2:$A$398,  ""(?i)ensemble""))
)"),0.265399999999999)</f>
        <v>0.2654</v>
      </c>
      <c r="G19" s="70">
        <f>IFERROR(__xludf.DUMMYFUNCTION("FILTER(RawData_SemEval!$B$2:$B$398, 
  REGEXMATCH(RawData_SemEval!$A$2:$A$398, ""(?i)"" &amp; $A$5), 
  REGEXMATCH(RawData_SemEval!$A$2:$A$398, ""(?i)"" &amp; $G$1), 
  REGEXMATCH(RawData_SemEval!$A$2:$A$398, ""(?i)gpt_only_title""), 
  NOT(REGEXMATCH(RawData_Sem"&amp;"Eval!$A$2:$A$398,  ""(?i)ensemble""))
)"),0.444199999999999)</f>
        <v>0.4442</v>
      </c>
      <c r="H19" s="69">
        <f>IFERROR(__xludf.DUMMYFUNCTION("FILTER(RawData_SemEval!$F$2:$F$398, 
  REGEXMATCH(RawData_SemEval!$A$2:$A$398, ""(?i)"" &amp; $A$5), 
  REGEXMATCH(RawData_SemEval!$A$2:$A$398, ""(?i)"" &amp; $G$1), 
  REGEXMATCH(RawData_SemEval!$A$2:$A$398, ""(?i)gpt_only_title""), 
  NOT(REGEXMATCH(RawData_Sem"&amp;"Eval!$A$2:$A$398,  ""(?i)ensemble""))
)"),0.281)</f>
        <v>0.281</v>
      </c>
    </row>
    <row r="20">
      <c r="A20" s="68"/>
      <c r="B20" s="4" t="s">
        <v>67</v>
      </c>
      <c r="C20" s="69">
        <f>IFERROR(__xludf.DUMMYFUNCTION("FILTER(RawData_SemEval!$B$2:$B$398, 
  REGEXMATCH(RawData_SemEval!$A$2:$A$398, ""(?i)"" &amp; $A$5), 
  REGEXMATCH(RawData_SemEval!$A$2:$A$398, ""(?i)"" &amp; $C$1), 
  REGEXMATCH(RawData_SemEval!$A$2:$A$398, ""(?i)gpt_only_title""), 
  REGEXMATCH(RawData_SemEval"&amp;"!$A$2:$A$398, ""(?i)"" &amp; $B$5)
)"),0.368)</f>
        <v>0.368</v>
      </c>
      <c r="D20" s="69">
        <f>IFERROR(__xludf.DUMMYFUNCTION("FILTER(RawData_SemEval!$F$2:$F$398, 
  REGEXMATCH(RawData_SemEval!$A$2:$A$398, ""(?i)"" &amp; $A$5), 
  REGEXMATCH(RawData_SemEval!$A$2:$A$398, ""(?i)"" &amp; $C$1), 
  REGEXMATCH(RawData_SemEval!$A$2:$A$398, ""(?i)gpt_only_title""), 
  REGEXMATCH(RawData_SemEval"&amp;"!$A$2:$A$398, ""(?i)"" &amp; $B$5)
)"),0.219)</f>
        <v>0.219</v>
      </c>
      <c r="E20" s="70">
        <f>IFERROR(__xludf.DUMMYFUNCTION("FILTER(RawData_SemEval!$B$2:$B$398, 
  REGEXMATCH(RawData_SemEval!$A$2:$A$398, ""(?i)"" &amp; $A$5), 
  REGEXMATCH(RawData_SemEval!$A$2:$A$398, ""(?i)"" &amp; $E$1), 
  REGEXMATCH(RawData_SemEval!$A$2:$A$398, ""(?i)gpt_only_title""), 
  REGEXMATCH(RawData_SemEval"&amp;"!$A$2:$A$398, ""(?i)"" &amp; $B$5)
)"),0.469)</f>
        <v>0.469</v>
      </c>
      <c r="F20" s="69">
        <f>IFERROR(__xludf.DUMMYFUNCTION("FILTER(RawData_SemEval!$F$2:$F$398, 
  REGEXMATCH(RawData_SemEval!$A$2:$A$398, ""(?i)"" &amp; $A$5), 
  REGEXMATCH(RawData_SemEval!$A$2:$A$398, ""(?i)"" &amp; $E$1), 
  REGEXMATCH(RawData_SemEval!$A$2:$A$398, ""(?i)gpt_only_title""), 
  REGEXMATCH(RawData_SemEval"&amp;"!$A$2:$A$398, ""(?i)"" &amp; $B$5)
)"),0.285)</f>
        <v>0.285</v>
      </c>
      <c r="G20" s="70">
        <f>IFERROR(__xludf.DUMMYFUNCTION("FILTER(RawData_SemEval!$B$2:$B$398, 
  REGEXMATCH(RawData_SemEval!$A$2:$A$398, ""(?i)"" &amp; $A$5), 
  REGEXMATCH(RawData_SemEval!$A$2:$A$398, ""(?i)"" &amp; $G$1), 
  REGEXMATCH(RawData_SemEval!$A$2:$A$398, ""(?i)gpt_only_title""), 
  REGEXMATCH(RawData_SemEval"&amp;"!$A$2:$A$398, ""(?i)"" &amp; $B$5)
)"),0.459)</f>
        <v>0.459</v>
      </c>
      <c r="H20" s="69">
        <f>IFERROR(__xludf.DUMMYFUNCTION("FILTER(RawData_SemEval!$F$2:$F$398, 
  REGEXMATCH(RawData_SemEval!$A$2:$A$398, ""(?i)"" &amp; $A$5), 
  REGEXMATCH(RawData_SemEval!$A$2:$A$398, ""(?i)"" &amp; $G$1), 
  REGEXMATCH(RawData_SemEval!$A$2:$A$398, ""(?i)gpt_only_title""), 
  REGEXMATCH(RawData_SemEval"&amp;"!$A$2:$A$398, ""(?i)"" &amp; $B$5)
)"),0.281)</f>
        <v>0.281</v>
      </c>
    </row>
    <row r="21">
      <c r="A21" s="68"/>
      <c r="B21" s="44" t="s">
        <v>68</v>
      </c>
      <c r="C21" s="71">
        <f>IFERROR(__xludf.DUMMYFUNCTION("FILTER(RawData_SemEval!$B$2:$B$398, 
  REGEXMATCH(RawData_SemEval!$A$2:$A$398, ""(?i)"" &amp; $A$5), 
  REGEXMATCH(RawData_SemEval!$A$2:$A$398, ""(?i)"" &amp; $C$1), 
  REGEXMATCH(RawData_SemEval!$A$2:$A$398, ""(?i)gpt_only_title""), 
  REGEXMATCH(RawData_SemEval"&amp;"!$A$2:$A$398, ""(?i)"" &amp; $B$6)
)"),0.429)</f>
        <v>0.429</v>
      </c>
      <c r="D21" s="71">
        <f>IFERROR(__xludf.DUMMYFUNCTION("FILTER(RawData_SemEval!$F$2:$F$398, 
  REGEXMATCH(RawData_SemEval!$A$2:$A$398, ""(?i)"" &amp; $A$5), 
  REGEXMATCH(RawData_SemEval!$A$2:$A$398, ""(?i)"" &amp; $C$1), 
  REGEXMATCH(RawData_SemEval!$A$2:$A$398, ""(?i)gpt_only_title""), 
  REGEXMATCH(RawData_SemEval"&amp;"!$A$2:$A$398, ""(?i)"" &amp; $B$6)
)"),0.244)</f>
        <v>0.244</v>
      </c>
      <c r="E21" s="72">
        <f>IFERROR(__xludf.DUMMYFUNCTION("FILTER(RawData_SemEval!$B$2:$B$398, 
  REGEXMATCH(RawData_SemEval!$A$2:$A$398, ""(?i)"" &amp; $A$5), 
  REGEXMATCH(RawData_SemEval!$A$2:$A$398, ""(?i)"" &amp; $E$1), 
  REGEXMATCH(RawData_SemEval!$A$2:$A$398, ""(?i)gpt_only_title""), 
  REGEXMATCH(RawData_SemEval"&amp;"!$A$2:$A$398, ""(?i)"" &amp; $B$6)
)"),0.502)</f>
        <v>0.502</v>
      </c>
      <c r="F21" s="71">
        <f>IFERROR(__xludf.DUMMYFUNCTION("FILTER(RawData_SemEval!$F$2:$F$398, 
  REGEXMATCH(RawData_SemEval!$A$2:$A$398, ""(?i)"" &amp; $A$5), 
  REGEXMATCH(RawData_SemEval!$A$2:$A$398, ""(?i)"" &amp; $E$1), 
  REGEXMATCH(RawData_SemEval!$A$2:$A$398, ""(?i)gpt_only_title""), 
  REGEXMATCH(RawData_SemEval"&amp;"!$A$2:$A$398, ""(?i)"" &amp; $B$6)
)"),0.283)</f>
        <v>0.283</v>
      </c>
      <c r="G21" s="72">
        <f>IFERROR(__xludf.DUMMYFUNCTION("FILTER(RawData_SemEval!$B$2:$B$398, 
  REGEXMATCH(RawData_SemEval!$A$2:$A$398, ""(?i)"" &amp; $A$5), 
  REGEXMATCH(RawData_SemEval!$A$2:$A$398, ""(?i)"" &amp; $G$1), 
  REGEXMATCH(RawData_SemEval!$A$2:$A$398, ""(?i)gpt_only_title""), 
  REGEXMATCH(RawData_SemEval"&amp;"!$A$2:$A$398, ""(?i)"" &amp; $B$6)
)"),0.494)</f>
        <v>0.494</v>
      </c>
      <c r="H21" s="71">
        <f>IFERROR(__xludf.DUMMYFUNCTION("FILTER(RawData_SemEval!$F$2:$F$398, 
  REGEXMATCH(RawData_SemEval!$A$2:$A$398, ""(?i)"" &amp; $A$5), 
  REGEXMATCH(RawData_SemEval!$A$2:$A$398, ""(?i)"" &amp; $G$1), 
  REGEXMATCH(RawData_SemEval!$A$2:$A$398, ""(?i)gpt_only_title""), 
  REGEXMATCH(RawData_SemEval"&amp;"!$A$2:$A$398, ""(?i)"" &amp; $B$6)
)"),0.333)</f>
        <v>0.333</v>
      </c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</row>
    <row r="22">
      <c r="A22" s="68" t="s">
        <v>94</v>
      </c>
      <c r="B22" s="4" t="s">
        <v>22</v>
      </c>
      <c r="C22" s="69">
        <f>IFERROR(__xludf.DUMMYFUNCTION("FILTER(RawData_SemEval!$B$2:$B$398, 
  REGEXMATCH(RawData_SemEval!$A$2:$A$398, ""(?i)"" &amp; $A$5), 
  REGEXMATCH(RawData_SemEval!$A$2:$A$398, ""(?i)"" &amp; $C$1), 
  REGEXMATCH(RawData_SemEval!$A$2:$A$398, ""(?i)gpt_title_description""), 
  NOT(REGEXMATCH(RawD"&amp;"ata_SemEval!$A$2:$A$398,  ""(?i)ensemble"")),NOT(REGEXMATCH(RawData_SemEval!$A$2:$A$398,  ""(?i)complete""))
)"),0.372)</f>
        <v>0.372</v>
      </c>
      <c r="D22" s="69">
        <f>IFERROR(__xludf.DUMMYFUNCTION("FILTER(RawData_SemEval!$F$2:$F$398, 
  REGEXMATCH(RawData_SemEval!$A$2:$A$398, ""(?i)"" &amp; $A$5), 
  REGEXMATCH(RawData_SemEval!$A$2:$A$398, ""(?i)"" &amp; $C$1), 
  REGEXMATCH(RawData_SemEval!$A$2:$A$398, ""(?i)gpt_title_description""), 
  NOT(REGEXMATCH(RawD"&amp;"ata_SemEval!$A$2:$A$398,  ""(?i)ensemble""))
)"),0.2172)</f>
        <v>0.2172</v>
      </c>
      <c r="E22" s="70">
        <f>IFERROR(__xludf.DUMMYFUNCTION("FILTER(RawData_SemEval!$B$2:$B$398, 
  REGEXMATCH(RawData_SemEval!$A$2:$A$398, ""(?i)"" &amp; $A$5), 
  REGEXMATCH(RawData_SemEval!$A$2:$A$398, ""(?i)"" &amp; $E$1), 
  REGEXMATCH(RawData_SemEval!$A$2:$A$398, ""(?i)gpt_title_description""), 
  NOT(REGEXMATCH(RawD"&amp;"ata_SemEval!$A$2:$A$398,  ""(?i)ensemble"")),NOT(REGEXMATCH(RawData_SemEval!$A$2:$A$398,  ""(?i)complete""))
)"),0.4574)</f>
        <v>0.4574</v>
      </c>
      <c r="F22" s="69">
        <f>IFERROR(__xludf.DUMMYFUNCTION("FILTER(RawData_SemEval!$F$2:$F$398, 
  REGEXMATCH(RawData_SemEval!$A$2:$A$398, ""(?i)"" &amp; $A$5), 
  REGEXMATCH(RawData_SemEval!$A$2:$A$398, ""(?i)"" &amp; $E$1), 
  REGEXMATCH(RawData_SemEval!$A$2:$A$398, ""(?i)gpt_title_description""), 
  NOT(REGEXMATCH(RawD"&amp;"ata_SemEval!$A$2:$A$398,  ""(?i)ensemble"")),NOT(REGEXMATCH(RawData_SemEval!$A$2:$A$398,  ""(?i)complete""))
)"),0.267)</f>
        <v>0.267</v>
      </c>
      <c r="G22" s="70">
        <f>IFERROR(__xludf.DUMMYFUNCTION("FILTER(RawData_SemEval!$B$2:$B$398, 
  REGEXMATCH(RawData_SemEval!$A$2:$A$398, ""(?i)"" &amp; $A$5), 
  REGEXMATCH(RawData_SemEval!$A$2:$A$398, ""(?i)"" &amp; $G$1), 
  REGEXMATCH(RawData_SemEval!$A$2:$A$398, ""(?i)gpt_title_description""), 
  NOT(REGEXMATCH(RawD"&amp;"ata_SemEval!$A$2:$A$398,  ""(?i)ensemble"")),NOT(REGEXMATCH(RawData_SemEval!$A$2:$A$398,  ""(?i)complete""))
)"),0.4684)</f>
        <v>0.4684</v>
      </c>
      <c r="H22" s="69">
        <f>IFERROR(__xludf.DUMMYFUNCTION("FILTER(RawData_SemEval!$F$2:$F$398, 
  REGEXMATCH(RawData_SemEval!$A$2:$A$398, ""(?i)"" &amp; $A$5), 
  REGEXMATCH(RawData_SemEval!$A$2:$A$398, ""(?i)"" &amp; $G$1), 
  REGEXMATCH(RawData_SemEval!$A$2:$A$398, ""(?i)gpt_title_description""), 
  NOT(REGEXMATCH(RawD"&amp;"ata_SemEval!$A$2:$A$398,  ""(?i)ensemble"")),NOT(REGEXMATCH(RawData_SemEval!$A$2:$A$398,  ""(?i)complete""))
)"),0.3222)</f>
        <v>0.3222</v>
      </c>
    </row>
    <row r="23">
      <c r="A23" s="68"/>
      <c r="B23" s="4" t="s">
        <v>67</v>
      </c>
      <c r="C23" s="69">
        <f>IFERROR(__xludf.DUMMYFUNCTION("FILTER(RawData_SemEval!$B$2:$B$398, 
  REGEXMATCH(RawData_SemEval!$A$2:$A$398, ""(?i)"" &amp; $A$5), 
  REGEXMATCH(RawData_SemEval!$A$2:$A$398, ""(?i)"" &amp; $C$1), 
  REGEXMATCH(RawData_SemEval!$A$2:$A$398, ""(?i)gpt_title_description""), 
  REGEXMATCH(RawData_"&amp;"SemEval!$A$2:$A$398, ""(?i)"" &amp; $B$5),NOT(REGEXMATCH(RawData_SemEval!$A$2:$A$398,  ""(?i)complete""))
)"),0.404)</f>
        <v>0.404</v>
      </c>
      <c r="D23" s="69">
        <f>IFERROR(__xludf.DUMMYFUNCTION("FILTER(RawData_SemEval!$F$2:$F$398, 
  REGEXMATCH(RawData_SemEval!$A$2:$A$398, ""(?i)"" &amp; $A$5), 
  REGEXMATCH(RawData_SemEval!$A$2:$A$398, ""(?i)"" &amp; $C$1), 
  REGEXMATCH(RawData_SemEval!$A$2:$A$398, ""(?i)gpt_title_description""), 
  REGEXMATCH(RawData_"&amp;"SemEval!$A$2:$A$398, ""(?i)"" &amp; $B$5),NOT(REGEXMATCH(RawData_SemEval!$A$2:$A$398,  ""(?i)complete""))
)"),0.245)</f>
        <v>0.245</v>
      </c>
      <c r="E23" s="70">
        <f>IFERROR(__xludf.DUMMYFUNCTION("FILTER(RawData_SemEval!$B$2:$B$398, 
  REGEXMATCH(RawData_SemEval!$A$2:$A$398, ""(?i)"" &amp; $A$5), 
  REGEXMATCH(RawData_SemEval!$A$2:$A$398, ""(?i)"" &amp; $E$1), 
  REGEXMATCH(RawData_SemEval!$A$2:$A$398, ""(?i)gpt_title_description""), 
  REGEXMATCH(RawData_"&amp;"SemEval!$A$2:$A$398, ""(?i)"" &amp; $B$5),NOT(REGEXMATCH(RawData_SemEval!$A$2:$A$398,  ""(?i)complete""))
)"),0.474)</f>
        <v>0.474</v>
      </c>
      <c r="F23" s="69">
        <f>IFERROR(__xludf.DUMMYFUNCTION("FILTER(RawData_SemEval!$F$2:$F$398, 
  REGEXMATCH(RawData_SemEval!$A$2:$A$398, ""(?i)"" &amp; $A$5), 
  REGEXMATCH(RawData_SemEval!$A$2:$A$398, ""(?i)"" &amp; $E$1), 
  REGEXMATCH(RawData_SemEval!$A$2:$A$398, ""(?i)gpt_title_description""), 
  REGEXMATCH(RawData_"&amp;"SemEval!$A$2:$A$398, ""(?i)"" &amp; $B$5),NOT(REGEXMATCH(RawData_SemEval!$A$2:$A$398,  ""(?i)complete""))
)"),0.294)</f>
        <v>0.294</v>
      </c>
      <c r="G23" s="70">
        <f>IFERROR(__xludf.DUMMYFUNCTION("FILTER(RawData_SemEval!$B$2:$B$398, 
  REGEXMATCH(RawData_SemEval!$A$2:$A$398, ""(?i)"" &amp; $A$5), 
  REGEXMATCH(RawData_SemEval!$A$2:$A$398, ""(?i)"" &amp; $G$1), 
  REGEXMATCH(RawData_SemEval!$A$2:$A$398, ""(?i)gpt_title_description""), 
  REGEXMATCH(RawData_"&amp;"SemEval!$A$2:$A$398, ""(?i)"" &amp; $B$5),NOT(REGEXMATCH(RawData_SemEval!$A$2:$A$398,  ""(?i)complete""))
)"),0.475)</f>
        <v>0.475</v>
      </c>
      <c r="H23" s="69">
        <f>IFERROR(__xludf.DUMMYFUNCTION("FILTER(RawData_SemEval!$F$2:$F$398, 
  REGEXMATCH(RawData_SemEval!$A$2:$A$398, ""(?i)"" &amp; $A$5), 
  REGEXMATCH(RawData_SemEval!$A$2:$A$398, ""(?i)"" &amp; $G$1), 
  REGEXMATCH(RawData_SemEval!$A$2:$A$398, ""(?i)gpt_title_description""), 
  REGEXMATCH(RawData_"&amp;"SemEval!$A$2:$A$398, ""(?i)"" &amp; $B$5),NOT(REGEXMATCH(RawData_SemEval!$A$2:$A$398,  ""(?i)complete""))
)"),0.325)</f>
        <v>0.325</v>
      </c>
    </row>
    <row r="24">
      <c r="A24" s="68"/>
      <c r="B24" s="44" t="s">
        <v>68</v>
      </c>
      <c r="C24" s="71">
        <f>IFERROR(__xludf.DUMMYFUNCTION("FILTER(RawData_SemEval!$B$2:$B$398, 
  REGEXMATCH(RawData_SemEval!$A$2:$A$398, ""(?i)"" &amp; $A$5), 
  REGEXMATCH(RawData_SemEval!$A$2:$A$398, ""(?i)"" &amp; $C$1), 
  REGEXMATCH(RawData_SemEval!$A$2:$A$398, ""(?i)gpt_title_description""), 
  REGEXMATCH(RawData_"&amp;"SemEval!$A$2:$A$398, ""(?i)"" &amp; $B$6),NOT(REGEXMATCH(RawData_SemEval!$A$2:$A$398,  ""(?i)complete""))
)"),0.427)</f>
        <v>0.427</v>
      </c>
      <c r="D24" s="71">
        <f>IFERROR(__xludf.DUMMYFUNCTION("FILTER(RawData_SemEval!$F$2:$F$398, 
  REGEXMATCH(RawData_SemEval!$A$2:$A$398, ""(?i)"" &amp; $A$5), 
  REGEXMATCH(RawData_SemEval!$A$2:$A$398, ""(?i)"" &amp; $C$1), 
  REGEXMATCH(RawData_SemEval!$A$2:$A$398, ""(?i)gpt_title_description""), 
  REGEXMATCH(RawData_"&amp;"SemEval!$A$2:$A$398, ""(?i)"" &amp; $B$6),NOT(REGEXMATCH(RawData_SemEval!$A$2:$A$398,  ""(?i)complete""))
)"),0.246)</f>
        <v>0.246</v>
      </c>
      <c r="E24" s="72">
        <f>IFERROR(__xludf.DUMMYFUNCTION("FILTER(RawData_SemEval!$B$2:$B$398, 
  REGEXMATCH(RawData_SemEval!$A$2:$A$398, ""(?i)"" &amp; $A$5), 
  REGEXMATCH(RawData_SemEval!$A$2:$A$398, ""(?i)"" &amp; $E$1), 
  REGEXMATCH(RawData_SemEval!$A$2:$A$398, ""(?i)gpt_title_description""), 
  REGEXMATCH(RawData_"&amp;"SemEval!$A$2:$A$398, ""(?i)"" &amp; $B$6),NOT(REGEXMATCH(RawData_SemEval!$A$2:$A$398,  ""(?i)complete""))
)"),0.491)</f>
        <v>0.491</v>
      </c>
      <c r="F24" s="71">
        <f>IFERROR(__xludf.DUMMYFUNCTION("FILTER(RawData_SemEval!$F$2:$F$398, 
  REGEXMATCH(RawData_SemEval!$A$2:$A$398, ""(?i)"" &amp; $A$5), 
  REGEXMATCH(RawData_SemEval!$A$2:$A$398, ""(?i)"" &amp; $E$1), 
  REGEXMATCH(RawData_SemEval!$A$2:$A$398, ""(?i)gpt_title_description""), 
  REGEXMATCH(RawData_"&amp;"SemEval!$A$2:$A$398, ""(?i)"" &amp; $B$6),NOT(REGEXMATCH(RawData_SemEval!$A$2:$A$398,  ""(?i)complete""))
)"),0.276)</f>
        <v>0.276</v>
      </c>
      <c r="G24" s="72">
        <f>IFERROR(__xludf.DUMMYFUNCTION("FILTER(RawData_SemEval!$B$2:$B$398, 
  REGEXMATCH(RawData_SemEval!$A$2:$A$398, ""(?i)"" &amp; $A$5), 
  REGEXMATCH(RawData_SemEval!$A$2:$A$398, ""(?i)"" &amp; $G$1), 
  REGEXMATCH(RawData_SemEval!$A$2:$A$398, ""(?i)gpt_title_description""), 
  REGEXMATCH(RawData_"&amp;"SemEval!$A$2:$A$398, ""(?i)"" &amp; $B$6),NOT(REGEXMATCH(RawData_SemEval!$A$2:$A$398,  ""(?i)complete""))
)"),0.517)</f>
        <v>0.517</v>
      </c>
      <c r="H24" s="71">
        <f>IFERROR(__xludf.DUMMYFUNCTION("FILTER(RawData_SemEval!$F$2:$F$398, 
  REGEXMATCH(RawData_SemEval!$A$2:$A$398, ""(?i)"" &amp; $A$5), 
  REGEXMATCH(RawData_SemEval!$A$2:$A$398, ""(?i)"" &amp; $G$1), 
  REGEXMATCH(RawData_SemEval!$A$2:$A$398, ""(?i)gpt_title_description""), 
  REGEXMATCH(RawData_"&amp;"SemEval!$A$2:$A$398, ""(?i)"" &amp; $B$6),NOT(REGEXMATCH(RawData_SemEval!$A$2:$A$398,  ""(?i)complete""))
)"),0.363)</f>
        <v>0.363</v>
      </c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</row>
    <row r="25">
      <c r="A25" s="68" t="s">
        <v>95</v>
      </c>
      <c r="B25" s="4" t="s">
        <v>27</v>
      </c>
      <c r="C25" s="73"/>
      <c r="D25" s="73"/>
      <c r="E25" s="70">
        <f>IFERROR(__xludf.DUMMYFUNCTION("FILTER(RawData_SemEval!$B$2:$B$398, 
  REGEXMATCH(RawData_SemEval!$A$2:$A$398, ""(?i)"" &amp; $A$5), 
  REGEXMATCH(RawData_SemEval!$A$2:$A$398, ""(?i)"" &amp; $E$1), 
  REGEXMATCH(RawData_SemEval!$A$2:$A$398, ""(?i)gpt_title_description_complete""), 
  NOT(REGEXM"&amp;"ATCH(RawData_SemEval!$A$2:$A$398,  ""(?i)ensemble""))
)"),0.45)</f>
        <v>0.45</v>
      </c>
      <c r="F25" s="69">
        <f>IFERROR(__xludf.DUMMYFUNCTION("FILTER(RawData_SemEval!$F$2:$F$398, 
  REGEXMATCH(RawData_SemEval!$A$2:$A$398, ""(?i)"" &amp; $A$5), 
  REGEXMATCH(RawData_SemEval!$A$2:$A$398, ""(?i)"" &amp; $E$1), 
  REGEXMATCH(RawData_SemEval!$A$2:$A$398, ""(?i)gpt_title_description_complete""), 
  NOT(REGEXM"&amp;"ATCH(RawData_SemEval!$A$2:$A$398,  ""(?i)ensemble""))
)"),0.2692)</f>
        <v>0.2692</v>
      </c>
      <c r="G25" s="70">
        <f>IFERROR(__xludf.DUMMYFUNCTION("FILTER(RawData_SemEval!$B$2:$B$398, 
  REGEXMATCH(RawData_SemEval!$A$2:$A$398, ""(?i)"" &amp; $A$5), 
  REGEXMATCH(RawData_SemEval!$A$2:$A$398, ""(?i)"" &amp; $G$1), 
  REGEXMATCH(RawData_SemEval!$A$2:$A$398, ""(?i)gpt_title_description_complete""), 
  NOT(REGEXM"&amp;"ATCH(RawData_SemEval!$A$2:$A$398,  ""(?i)ensemble""))
)"),0.453)</f>
        <v>0.453</v>
      </c>
      <c r="H25" s="69">
        <f>IFERROR(__xludf.DUMMYFUNCTION("FILTER(RawData_SemEval!$F$2:$F$398, 
  REGEXMATCH(RawData_SemEval!$A$2:$A$398, ""(?i)"" &amp; $A$5), 
  REGEXMATCH(RawData_SemEval!$A$2:$A$398, ""(?i)"" &amp; $G$1), 
  REGEXMATCH(RawData_SemEval!$A$2:$A$398, ""(?i)gpt_title_description_complete""), 
  NOT(REGEXM"&amp;"ATCH(RawData_SemEval!$A$2:$A$398,  ""(?i)ensemble""))
)"),0.3236)</f>
        <v>0.3236</v>
      </c>
    </row>
    <row r="26">
      <c r="A26" s="68"/>
      <c r="B26" s="4" t="s">
        <v>67</v>
      </c>
      <c r="C26" s="73"/>
      <c r="D26" s="73"/>
      <c r="E26" s="70">
        <f>IFERROR(__xludf.DUMMYFUNCTION("FILTER(RawData_SemEval!$B$2:$B$398, 
  REGEXMATCH(RawData_SemEval!$A$2:$A$398, ""(?i)"" &amp; $A$5), 
  REGEXMATCH(RawData_SemEval!$A$2:$A$398, ""(?i)"" &amp; $E$1), 
  REGEXMATCH(RawData_SemEval!$A$2:$A$398, ""(?i)gpt_title_description_complete""), 
  REGEXMATCH"&amp;"(RawData_SemEval!$A$2:$A$398, ""(?i)"" &amp; $B$5)
)"),0.452)</f>
        <v>0.452</v>
      </c>
      <c r="F26" s="69">
        <f>IFERROR(__xludf.DUMMYFUNCTION("FILTER(RawData_SemEval!$F$2:$F$398, 
  REGEXMATCH(RawData_SemEval!$A$2:$A$398, ""(?i)"" &amp; $A$5), 
  REGEXMATCH(RawData_SemEval!$A$2:$A$398, ""(?i)"" &amp; $E$1), 
  REGEXMATCH(RawData_SemEval!$A$2:$A$398, ""(?i)gpt_title_description_complete""), 
  REGEXMATCH"&amp;"(RawData_SemEval!$A$2:$A$398, ""(?i)"" &amp; $B$5)
)"),0.281)</f>
        <v>0.281</v>
      </c>
      <c r="G26" s="70">
        <f>IFERROR(__xludf.DUMMYFUNCTION("FILTER(RawData_SemEval!$B$2:$B$398, 
  REGEXMATCH(RawData_SemEval!$A$2:$A$398, ""(?i)"" &amp; $A$5), 
  REGEXMATCH(RawData_SemEval!$A$2:$A$398, ""(?i)"" &amp; $G$1), 
  REGEXMATCH(RawData_SemEval!$A$2:$A$398, ""(?i)gpt_title_description_complete""), 
  REGEXMATCH"&amp;"(RawData_SemEval!$A$2:$A$398, ""(?i)"" &amp; $B$5)
)"),0.454)</f>
        <v>0.454</v>
      </c>
      <c r="H26" s="69">
        <f>IFERROR(__xludf.DUMMYFUNCTION("FILTER(RawData_SemEval!$F$2:$F$398, 
  REGEXMATCH(RawData_SemEval!$A$2:$A$398, ""(?i)"" &amp; $A$5), 
  REGEXMATCH(RawData_SemEval!$A$2:$A$398, ""(?i)"" &amp; $G$1), 
  REGEXMATCH(RawData_SemEval!$A$2:$A$398, ""(?i)gpt_title_description_complete""), 
  REGEXMATCH"&amp;"(RawData_SemEval!$A$2:$A$398, ""(?i)"" &amp; $B$5)
)"),0.33)</f>
        <v>0.33</v>
      </c>
    </row>
    <row r="27">
      <c r="A27" s="75"/>
      <c r="B27" s="45" t="s">
        <v>68</v>
      </c>
      <c r="C27" s="74"/>
      <c r="D27" s="74"/>
      <c r="E27" s="72">
        <f>IFERROR(__xludf.DUMMYFUNCTION("FILTER(RawData_SemEval!$B$2:$B$398, 
  REGEXMATCH(RawData_SemEval!$A$2:$A$398, ""(?i)"" &amp; $A$5), 
  REGEXMATCH(RawData_SemEval!$A$2:$A$398, ""(?i)"" &amp; $E$1), 
  REGEXMATCH(RawData_SemEval!$A$2:$A$398, ""(?i)gpt_title_description_complete""), 
  REGEXMATCH"&amp;"(RawData_SemEval!$A$2:$A$398, ""(?i)"" &amp; $B$6)
)"),0.465)</f>
        <v>0.465</v>
      </c>
      <c r="F27" s="71">
        <f>IFERROR(__xludf.DUMMYFUNCTION("FILTER(RawData_SemEval!$F$2:$F$398, 
  REGEXMATCH(RawData_SemEval!$A$2:$A$398, ""(?i)"" &amp; $A$5), 
  REGEXMATCH(RawData_SemEval!$A$2:$A$398, ""(?i)"" &amp; $E$1), 
  REGEXMATCH(RawData_SemEval!$A$2:$A$398, ""(?i)gpt_title_description_complete""), 
  REGEXMATCH"&amp;"(RawData_SemEval!$A$2:$A$398, ""(?i)"" &amp; $B$6)
)"),0.285)</f>
        <v>0.285</v>
      </c>
      <c r="G27" s="72">
        <f>IFERROR(__xludf.DUMMYFUNCTION("FILTER(RawData_SemEval!$B$2:$B$398, 
  REGEXMATCH(RawData_SemEval!$A$2:$A$398, ""(?i)"" &amp; $A$5), 
  REGEXMATCH(RawData_SemEval!$A$2:$A$398, ""(?i)"" &amp; $G$1), 
  REGEXMATCH(RawData_SemEval!$A$2:$A$398, ""(?i)gpt_title_description_complete""), 
  REGEXMATCH"&amp;"(RawData_SemEval!$A$2:$A$398, ""(?i)"" &amp; $B$6)
)"),0.491)</f>
        <v>0.491</v>
      </c>
      <c r="H27" s="71">
        <f>IFERROR(__xludf.DUMMYFUNCTION("FILTER(RawData_SemEval!$F$2:$F$398, 
  REGEXMATCH(RawData_SemEval!$A$2:$A$398, ""(?i)"" &amp; $A$5), 
  REGEXMATCH(RawData_SemEval!$A$2:$A$398, ""(?i)"" &amp; $G$1), 
  REGEXMATCH(RawData_SemEval!$A$2:$A$398, ""(?i)gpt_title_description_complete""), 
  REGEXMATCH"&amp;"(RawData_SemEval!$A$2:$A$398, ""(?i)"" &amp; $B$6)
)"),0.348)</f>
        <v>0.348</v>
      </c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</row>
    <row r="28">
      <c r="A28" s="4" t="s">
        <v>96</v>
      </c>
      <c r="B28" s="40" t="s">
        <v>9</v>
      </c>
      <c r="C28" s="69">
        <f>IFERROR(__xludf.DUMMYFUNCTION("FILTER(RawData_SemEval!$B$2:$B$398, 
  REGEXMATCH(RawData_SemEval!$A$2:$A$398, ""(?i)"" &amp; $A$29), 
  REGEXMATCH(RawData_SemEval!$A$2:$A$398, ""(?i)"" &amp; $C$1), 
  REGEXMATCH(RawData_SemEval!$A$2:$A$398, ""(?i)"" &amp; $B$4), 
  NOT(REGEXMATCH(RawData_SemEval!$"&amp;"A$2:$A$398,  ""(?i)ensemble""))
)"),0.285599999999999)</f>
        <v>0.2856</v>
      </c>
      <c r="D28" s="69">
        <f>IFERROR(__xludf.DUMMYFUNCTION("FILTER(RawData_SemEval!$F$2:$F$398, 
  REGEXMATCH(RawData_SemEval!$A$2:$A$398, ""(?i)"" &amp; $A$29), 
  REGEXMATCH(RawData_SemEval!$A$2:$A$398, ""(?i)"" &amp; $C$1), 
  REGEXMATCH(RawData_SemEval!$A$2:$A$398, ""(?i)"" &amp; $B$4), 
  NOT(REGEXMATCH(RawData_SemEval!$"&amp;"A$2:$A$398,  ""(?i)ensemble""))
)"),0.284199999999999)</f>
        <v>0.2842</v>
      </c>
      <c r="E28" s="70">
        <f>IFERROR(__xludf.DUMMYFUNCTION("FILTER(RawData_SemEval!$B$2:$B$398, 
  REGEXMATCH(RawData_SemEval!$A$2:$A$398, ""(?i)"" &amp; $A$29), 
  REGEXMATCH(RawData_SemEval!$A$2:$A$398, ""(?i)"" &amp; $E$1), 
  REGEXMATCH(RawData_SemEval!$A$2:$A$398, ""(?i)"" &amp; $B$4), 
  NOT(REGEXMATCH(RawData_SemEval!$"&amp;"A$2:$A$398,  ""(?i)ensemble""))
)"),0.289799999999999)</f>
        <v>0.2898</v>
      </c>
      <c r="F28" s="69">
        <f>IFERROR(__xludf.DUMMYFUNCTION("FILTER(RawData_SemEval!$F$2:$F$398, 
  REGEXMATCH(RawData_SemEval!$A$2:$A$398, ""(?i)"" &amp; $A$29), 
  REGEXMATCH(RawData_SemEval!$A$2:$A$398, ""(?i)"" &amp; $E$1), 
  REGEXMATCH(RawData_SemEval!$A$2:$A$398, ""(?i)"" &amp; $B$4), 
  NOT(REGEXMATCH(RawData_SemEval!$"&amp;"A$2:$A$398,  ""(?i)ensemble""))
)"),0.287799999999999)</f>
        <v>0.2878</v>
      </c>
      <c r="G28" s="70">
        <f>IFERROR(__xludf.DUMMYFUNCTION("FILTER(RawData_SemEval!$B$2:$B$398, 
  REGEXMATCH(RawData_SemEval!$A$2:$A$398, ""(?i)"" &amp; $A$29), 
  REGEXMATCH(RawData_SemEval!$A$2:$A$398, ""(?i)"" &amp; $G$1), 
  REGEXMATCH(RawData_SemEval!$A$2:$A$398, ""(?i)"" &amp; $B$4), 
  NOT(REGEXMATCH(RawData_SemEval!$"&amp;"A$2:$A$398,  ""(?i)ensemble""))
)"),0.4004)</f>
        <v>0.4004</v>
      </c>
      <c r="H28" s="69">
        <f>IFERROR(__xludf.DUMMYFUNCTION("FILTER(RawData_SemEval!$F$2:$F$398, 
  REGEXMATCH(RawData_SemEval!$A$2:$A$398, ""(?i)"" &amp; $A$29), 
  REGEXMATCH(RawData_SemEval!$A$2:$A$398, ""(?i)"" &amp; $G$1), 
  REGEXMATCH(RawData_SemEval!$A$2:$A$398, ""(?i)"" &amp; $B$4), 
  NOT(REGEXMATCH(RawData_SemEval!$"&amp;"A$2:$A$398,  ""(?i)ensemble""))
)"),0.264)</f>
        <v>0.264</v>
      </c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</row>
    <row r="29">
      <c r="A29" s="4" t="s">
        <v>5</v>
      </c>
      <c r="B29" s="40" t="s">
        <v>67</v>
      </c>
      <c r="C29" s="69">
        <f>IFERROR(__xludf.DUMMYFUNCTION("FILTER(RawData_SemEval!$B$2:$B$398, 
  REGEXMATCH(RawData_SemEval!$A$2:$A$398, ""(?i)"" &amp; $A$29), 
  REGEXMATCH(RawData_SemEval!$A$2:$A$398, ""(?i)"" &amp; $C$1), 
  REGEXMATCH(RawData_SemEval!$A$2:$A$398, ""(?i)"" &amp; $B$4), 
  REGEXMATCH(RawData_SemEval!$A$2:"&amp;"$A$398, ""(?i)"" &amp; $B$5)
)"),0.287)</f>
        <v>0.287</v>
      </c>
      <c r="D29" s="69">
        <f>IFERROR(__xludf.DUMMYFUNCTION("FILTER(RawData_SemEval!$F$2:$F$398, 
  REGEXMATCH(RawData_SemEval!$A$2:$A$398, ""(?i)"" &amp; $A$29), 
  REGEXMATCH(RawData_SemEval!$A$2:$A$398, ""(?i)"" &amp; $C$1), 
  REGEXMATCH(RawData_SemEval!$A$2:$A$398, ""(?i)"" &amp; $B$4), 
  REGEXMATCH(RawData_SemEval!$A$2:"&amp;"$A$398, ""(?i)"" &amp; $B$5)
)"),0.287)</f>
        <v>0.287</v>
      </c>
      <c r="E29" s="70">
        <f>IFERROR(__xludf.DUMMYFUNCTION("FILTER(RawData_SemEval!$B$2:$B$398, 
  REGEXMATCH(RawData_SemEval!$A$2:$A$398, ""(?i)"" &amp; $A$29), 
  REGEXMATCH(RawData_SemEval!$A$2:$A$398, ""(?i)"" &amp; $E$1), 
  REGEXMATCH(RawData_SemEval!$A$2:$A$398, ""(?i)"" &amp; $B$4), 
  REGEXMATCH(RawData_SemEval!$A$2:"&amp;"$A$398, ""(?i)"" &amp; $B$5)
)"),0.295)</f>
        <v>0.295</v>
      </c>
      <c r="F29" s="69">
        <f>IFERROR(__xludf.DUMMYFUNCTION("FILTER(RawData_SemEval!$F$2:$F$398, 
  REGEXMATCH(RawData_SemEval!$A$2:$A$398, ""(?i)"" &amp; $A$29), 
  REGEXMATCH(RawData_SemEval!$A$2:$A$398, ""(?i)"" &amp; $E$1), 
  REGEXMATCH(RawData_SemEval!$A$2:$A$398, ""(?i)"" &amp; $B$4), 
  REGEXMATCH(RawData_SemEval!$A$2:"&amp;"$A$398, ""(?i)"" &amp; $B$5)
)"),0.294)</f>
        <v>0.294</v>
      </c>
      <c r="G29" s="70">
        <f>IFERROR(__xludf.DUMMYFUNCTION("FILTER(RawData_SemEval!$B$2:$B$398, 
  REGEXMATCH(RawData_SemEval!$A$2:$A$398, ""(?i)"" &amp; $A$29), 
  REGEXMATCH(RawData_SemEval!$A$2:$A$398, ""(?i)"" &amp; $G$1), 
  REGEXMATCH(RawData_SemEval!$A$2:$A$398, ""(?i)"" &amp; $B$4), 
  REGEXMATCH(RawData_SemEval!$A$2:"&amp;"$A$398, ""(?i)"" &amp; $B$5)
)"),0.401)</f>
        <v>0.401</v>
      </c>
      <c r="H29" s="69">
        <f>IFERROR(__xludf.DUMMYFUNCTION("FILTER(RawData_SemEval!$F$2:$F$398, 
  REGEXMATCH(RawData_SemEval!$A$2:$A$398, ""(?i)"" &amp; $A$29), 
  REGEXMATCH(RawData_SemEval!$A$2:$A$398, ""(?i)"" &amp; $G$1), 
  REGEXMATCH(RawData_SemEval!$A$2:$A$398, ""(?i)"" &amp; $B$4), 
  REGEXMATCH(RawData_SemEval!$A$2:"&amp;"$A$398, ""(?i)"" &amp; $B$5)
)"),0.266)</f>
        <v>0.266</v>
      </c>
    </row>
    <row r="30">
      <c r="A30" s="68"/>
      <c r="B30" s="45" t="s">
        <v>68</v>
      </c>
      <c r="C30" s="71">
        <f>IFERROR(__xludf.DUMMYFUNCTION("FILTER(RawData_SemEval!$B$2:$B$398, 
  REGEXMATCH(RawData_SemEval!$A$2:$A$398, ""(?i)"" &amp; $A$29), 
  REGEXMATCH(RawData_SemEval!$A$2:$A$398, ""(?i)"" &amp; $C$1), 
  REGEXMATCH(RawData_SemEval!$A$2:$A$398, ""(?i)"" &amp; $B$4), 
  REGEXMATCH(RawData_SemEval!$A$2:"&amp;"$A$398, ""(?i)"" &amp; $B$6)
)"),0.293)</f>
        <v>0.293</v>
      </c>
      <c r="D30" s="71">
        <f>IFERROR(__xludf.DUMMYFUNCTION("FILTER(RawData_SemEval!$F$2:$F$398, 
  REGEXMATCH(RawData_SemEval!$A$2:$A$398, ""(?i)"" &amp; $A$29), 
  REGEXMATCH(RawData_SemEval!$A$2:$A$398, ""(?i)"" &amp; $C$1), 
  REGEXMATCH(RawData_SemEval!$A$2:$A$398, ""(?i)"" &amp; $B$4), 
  REGEXMATCH(RawData_SemEval!$A$2:"&amp;"$A$398, ""(?i)"" &amp; $B$6)
)"),0.286)</f>
        <v>0.286</v>
      </c>
      <c r="E30" s="72">
        <f>IFERROR(__xludf.DUMMYFUNCTION("FILTER(RawData_SemEval!$B$2:$B$398, 
  REGEXMATCH(RawData_SemEval!$A$2:$A$398, ""(?i)"" &amp; $A$29), 
  REGEXMATCH(RawData_SemEval!$A$2:$A$398, ""(?i)"" &amp; $E$1), 
  REGEXMATCH(RawData_SemEval!$A$2:$A$398, ""(?i)"" &amp; $B$4), 
  REGEXMATCH(RawData_SemEval!$A$2:"&amp;"$A$398, ""(?i)"" &amp; $B$6)
)"),0.307)</f>
        <v>0.307</v>
      </c>
      <c r="F30" s="71">
        <f>IFERROR(__xludf.DUMMYFUNCTION("FILTER(RawData_SemEval!$F$2:$F$398, 
  REGEXMATCH(RawData_SemEval!$A$2:$A$398, ""(?i)"" &amp; $A$29), 
  REGEXMATCH(RawData_SemEval!$A$2:$A$398, ""(?i)"" &amp; $E$1), 
  REGEXMATCH(RawData_SemEval!$A$2:$A$398, ""(?i)"" &amp; $B$4), 
  REGEXMATCH(RawData_SemEval!$A$2:"&amp;"$A$398, ""(?i)"" &amp; $B$6)
)"),0.297)</f>
        <v>0.297</v>
      </c>
      <c r="G30" s="72">
        <f>IFERROR(__xludf.DUMMYFUNCTION("FILTER(RawData_SemEval!$B$2:$B$398, 
  REGEXMATCH(RawData_SemEval!$A$2:$A$398, ""(?i)"" &amp; $A$29), 
  REGEXMATCH(RawData_SemEval!$A$2:$A$398, ""(?i)"" &amp; $G$1), 
  REGEXMATCH(RawData_SemEval!$A$2:$A$398, ""(?i)"" &amp; $B$4), 
  REGEXMATCH(RawData_SemEval!$A$2:"&amp;"$A$398, ""(?i)"" &amp; $B$6)
)"),0.396)</f>
        <v>0.396</v>
      </c>
      <c r="H30" s="71">
        <f>IFERROR(__xludf.DUMMYFUNCTION("FILTER(RawData_SemEval!$F$2:$F$398, 
  REGEXMATCH(RawData_SemEval!$A$2:$A$398, ""(?i)"" &amp; $A$29), 
  REGEXMATCH(RawData_SemEval!$A$2:$A$398, ""(?i)"" &amp; $G$1), 
  REGEXMATCH(RawData_SemEval!$A$2:$A$398, ""(?i)"" &amp; $B$4), 
  REGEXMATCH(RawData_SemEval!$A$2:"&amp;"$A$398, ""(?i)"" &amp; $B$6)
)"),0.258)</f>
        <v>0.258</v>
      </c>
    </row>
    <row r="31">
      <c r="A31" s="68" t="s">
        <v>97</v>
      </c>
      <c r="B31" s="4" t="s">
        <v>11</v>
      </c>
      <c r="C31" s="69">
        <f>IFERROR(__xludf.DUMMYFUNCTION("FILTER(RawData_SemEval!$B$2:$B$398, 
  REGEXMATCH(RawData_SemEval!$A$2:$A$398, ""(?i)"" &amp; $A$29), 
  REGEXMATCH(RawData_SemEval!$A$2:$A$398, ""(?i)"" &amp; $C$1), 
  REGEXMATCH(RawData_SemEval!$A$2:$A$398, ""(?i)"" &amp; $B$7), 
  NOT(REGEXMATCH(RawData_SemEval!$"&amp;"A$2:$A$398,  ""(?i)ensemble""))
)"),0.291599999999999)</f>
        <v>0.2916</v>
      </c>
      <c r="D31" s="69">
        <f>IFERROR(__xludf.DUMMYFUNCTION("FILTER(RawData_SemEval!$F$2:$F$398, 
  REGEXMATCH(RawData_SemEval!$A$2:$A$398, ""(?i)"" &amp; $A$29), 
  REGEXMATCH(RawData_SemEval!$A$2:$A$398, ""(?i)"" &amp; $C$1), 
  REGEXMATCH(RawData_SemEval!$A$2:$A$398, ""(?i)"" &amp; $B$7), 
  NOT(REGEXMATCH(RawData_SemEval!$"&amp;"A$2:$A$398,  ""(?i)ensemble""))
)"),0.2844)</f>
        <v>0.2844</v>
      </c>
      <c r="E31" s="70">
        <f>IFERROR(__xludf.DUMMYFUNCTION("FILTER(RawData_SemEval!$B$2:$B$398, 
  REGEXMATCH(RawData_SemEval!$A$2:$A$398, ""(?i)"" &amp; $A$29), 
  REGEXMATCH(RawData_SemEval!$A$2:$A$398, ""(?i)"" &amp; $E$1), 
  REGEXMATCH(RawData_SemEval!$A$2:$A$398, ""(?i)"" &amp; $B$7), 
  NOT(REGEXMATCH(RawData_SemEval!$"&amp;"A$2:$A$398,  ""(?i)ensemble""))
)"),0.4278)</f>
        <v>0.4278</v>
      </c>
      <c r="F31" s="69">
        <f>IFERROR(__xludf.DUMMYFUNCTION("FILTER(RawData_SemEval!$F$2:$F$398, 
  REGEXMATCH(RawData_SemEval!$A$2:$A$398, ""(?i)"" &amp; $A$29), 
  REGEXMATCH(RawData_SemEval!$A$2:$A$398, ""(?i)"" &amp; $E$1), 
  REGEXMATCH(RawData_SemEval!$A$2:$A$398, ""(?i)"" &amp; $B$7), 
  NOT(REGEXMATCH(RawData_SemEval!$"&amp;"A$2:$A$398,  ""(?i)ensemble""))
)"),0.324199999999999)</f>
        <v>0.3242</v>
      </c>
      <c r="G31" s="70">
        <f>IFERROR(__xludf.DUMMYFUNCTION("FILTER(RawData_SemEval!$B$2:$B$398, 
  REGEXMATCH(RawData_SemEval!$A$2:$A$398, ""(?i)"" &amp; $A$29), 
  REGEXMATCH(RawData_SemEval!$A$2:$A$398, ""(?i)"" &amp; $G$1), 
  REGEXMATCH(RawData_SemEval!$A$2:$A$398, ""(?i)"" &amp; $B$7), 
  NOT(REGEXMATCH(RawData_SemEval!$"&amp;"A$2:$A$398,  ""(?i)ensemble""))
)"),0.4214)</f>
        <v>0.4214</v>
      </c>
      <c r="H31" s="69">
        <f>IFERROR(__xludf.DUMMYFUNCTION("FILTER(RawData_SemEval!$F$2:$F$398, 
  REGEXMATCH(RawData_SemEval!$A$2:$A$398, ""(?i)"" &amp; $A$29), 
  REGEXMATCH(RawData_SemEval!$A$2:$A$398, ""(?i)"" &amp; $G$1), 
  REGEXMATCH(RawData_SemEval!$A$2:$A$398, ""(?i)"" &amp; $B$7), 
  NOT(REGEXMATCH(RawData_SemEval!$"&amp;"A$2:$A$398,  ""(?i)ensemble""))
)"),0.2862)</f>
        <v>0.2862</v>
      </c>
    </row>
    <row r="32">
      <c r="A32" s="68"/>
      <c r="B32" s="4" t="s">
        <v>67</v>
      </c>
      <c r="C32" s="69">
        <f>IFERROR(__xludf.DUMMYFUNCTION("FILTER(RawData_SemEval!$B$2:$B$398, 
  REGEXMATCH(RawData_SemEval!$A$2:$A$398, ""(?i)"" &amp; $A$29), 
  REGEXMATCH(RawData_SemEval!$A$2:$A$398, ""(?i)"" &amp; $C$1), 
  REGEXMATCH(RawData_SemEval!$A$2:$A$398, ""(?i)"" &amp; $B$7), 
  REGEXMATCH(RawData_SemEval!$A$2:"&amp;"$A$398, ""(?i)"" &amp; $B$5)
)"),0.277)</f>
        <v>0.277</v>
      </c>
      <c r="D32" s="69">
        <f>IFERROR(__xludf.DUMMYFUNCTION("FILTER(RawData_SemEval!$F$2:$F$398, 
  REGEXMATCH(RawData_SemEval!$A$2:$A$398, ""(?i)"" &amp; $A$29), 
  REGEXMATCH(RawData_SemEval!$A$2:$A$398, ""(?i)"" &amp; $C$1), 
  REGEXMATCH(RawData_SemEval!$A$2:$A$398, ""(?i)"" &amp; $B$7), 
  REGEXMATCH(RawData_SemEval!$A$2:"&amp;"$A$398, ""(?i)"" &amp; $B$5)
)"),0.277)</f>
        <v>0.277</v>
      </c>
      <c r="E32" s="70">
        <f>IFERROR(__xludf.DUMMYFUNCTION("FILTER(RawData_SemEval!$B$2:$B$398, 
  REGEXMATCH(RawData_SemEval!$A$2:$A$398, ""(?i)"" &amp; $A$29), 
  REGEXMATCH(RawData_SemEval!$A$2:$A$398, ""(?i)"" &amp; $E$1), 
  REGEXMATCH(RawData_SemEval!$A$2:$A$398, ""(?i)"" &amp; $B$7), 
  REGEXMATCH(RawData_SemEval!$A$2:"&amp;"$A$398, ""(?i)"" &amp; $B$5)
)"),0.422)</f>
        <v>0.422</v>
      </c>
      <c r="F32" s="69">
        <f>IFERROR(__xludf.DUMMYFUNCTION("FILTER(RawData_SemEval!$F$2:$F$398, 
  REGEXMATCH(RawData_SemEval!$A$2:$A$398, ""(?i)"" &amp; $A$29), 
  REGEXMATCH(RawData_SemEval!$A$2:$A$398, ""(?i)"" &amp; $E$1), 
  REGEXMATCH(RawData_SemEval!$A$2:$A$398, ""(?i)"" &amp; $B$7), 
  REGEXMATCH(RawData_SemEval!$A$2:"&amp;"$A$398, ""(?i)"" &amp; $B$5)
)"),0.323)</f>
        <v>0.323</v>
      </c>
      <c r="G32" s="70">
        <f>IFERROR(__xludf.DUMMYFUNCTION("FILTER(RawData_SemEval!$B$2:$B$398, 
  REGEXMATCH(RawData_SemEval!$A$2:$A$398, ""(?i)"" &amp; $A$29), 
  REGEXMATCH(RawData_SemEval!$A$2:$A$398, ""(?i)"" &amp; $G$1), 
  REGEXMATCH(RawData_SemEval!$A$2:$A$398, ""(?i)"" &amp; $B$7), 
  REGEXMATCH(RawData_SemEval!$A$2:"&amp;"$A$398, ""(?i)"" &amp; $B$5)
)"),0.436)</f>
        <v>0.436</v>
      </c>
      <c r="H32" s="69">
        <f>IFERROR(__xludf.DUMMYFUNCTION("FILTER(RawData_SemEval!$F$2:$F$398, 
  REGEXMATCH(RawData_SemEval!$A$2:$A$398, ""(?i)"" &amp; $A$29), 
  REGEXMATCH(RawData_SemEval!$A$2:$A$398, ""(?i)"" &amp; $G$1), 
  REGEXMATCH(RawData_SemEval!$A$2:$A$398, ""(?i)"" &amp; $B$7), 
  REGEXMATCH(RawData_SemEval!$A$2:"&amp;"$A$398, ""(?i)"" &amp; $B$5)
)"),0.3)</f>
        <v>0.3</v>
      </c>
    </row>
    <row r="33">
      <c r="A33" s="68"/>
      <c r="B33" s="44" t="s">
        <v>68</v>
      </c>
      <c r="C33" s="71">
        <f>IFERROR(__xludf.DUMMYFUNCTION("FILTER(RawData_SemEval!$B$2:$B$398, 
  REGEXMATCH(RawData_SemEval!$A$2:$A$398, ""(?i)"" &amp; $A$29), 
  REGEXMATCH(RawData_SemEval!$A$2:$A$398, ""(?i)"" &amp; $C$1), 
  REGEXMATCH(RawData_SemEval!$A$2:$A$398, ""(?i)"" &amp; $B$7), 
  REGEXMATCH(RawData_SemEval!$A$2:"&amp;"$A$398, ""(?i)"" &amp; $B$6)
)"),0.334)</f>
        <v>0.334</v>
      </c>
      <c r="D33" s="71">
        <f>IFERROR(__xludf.DUMMYFUNCTION("FILTER(RawData_SemEval!$F$2:$F$398, 
  REGEXMATCH(RawData_SemEval!$A$2:$A$398, ""(?i)"" &amp; $A$29), 
  REGEXMATCH(RawData_SemEval!$A$2:$A$398, ""(?i)"" &amp; $C$1), 
  REGEXMATCH(RawData_SemEval!$A$2:$A$398, ""(?i)"" &amp; $B$7), 
  REGEXMATCH(RawData_SemEval!$A$2:"&amp;"$A$398, ""(?i)"" &amp; $B$6)
)"),0.307)</f>
        <v>0.307</v>
      </c>
      <c r="E33" s="72">
        <f>IFERROR(__xludf.DUMMYFUNCTION("FILTER(RawData_SemEval!$B$2:$B$398, 
  REGEXMATCH(RawData_SemEval!$A$2:$A$398, ""(?i)"" &amp; $A$29), 
  REGEXMATCH(RawData_SemEval!$A$2:$A$398, ""(?i)"" &amp; $E$1), 
  REGEXMATCH(RawData_SemEval!$A$2:$A$398, ""(?i)"" &amp; $B$7), 
  REGEXMATCH(RawData_SemEval!$A$2:"&amp;"$A$398, ""(?i)"" &amp; $B$6)
)"),0.473)</f>
        <v>0.473</v>
      </c>
      <c r="F33" s="71">
        <f>IFERROR(__xludf.DUMMYFUNCTION("FILTER(RawData_SemEval!$F$2:$F$398, 
  REGEXMATCH(RawData_SemEval!$A$2:$A$398, ""(?i)"" &amp; $A$29), 
  REGEXMATCH(RawData_SemEval!$A$2:$A$398, ""(?i)"" &amp; $E$1), 
  REGEXMATCH(RawData_SemEval!$A$2:$A$398, ""(?i)"" &amp; $B$7), 
  REGEXMATCH(RawData_SemEval!$A$2:"&amp;"$A$398, ""(?i)"" &amp; $B$6)
)"),0.339)</f>
        <v>0.339</v>
      </c>
      <c r="G33" s="72">
        <f>IFERROR(__xludf.DUMMYFUNCTION("FILTER(RawData_SemEval!$B$2:$B$398, 
  REGEXMATCH(RawData_SemEval!$A$2:$A$398, ""(?i)"" &amp; $A$29), 
  REGEXMATCH(RawData_SemEval!$A$2:$A$398, ""(?i)"" &amp; $G$1), 
  REGEXMATCH(RawData_SemEval!$A$2:$A$398, ""(?i)"" &amp; $B$7), 
  REGEXMATCH(RawData_SemEval!$A$2:"&amp;"$A$398, ""(?i)"" &amp; $B$6)
)"),0.423)</f>
        <v>0.423</v>
      </c>
      <c r="H33" s="71">
        <f>IFERROR(__xludf.DUMMYFUNCTION("FILTER(RawData_SemEval!$F$2:$F$398, 
  REGEXMATCH(RawData_SemEval!$A$2:$A$398, ""(?i)"" &amp; $A$29), 
  REGEXMATCH(RawData_SemEval!$A$2:$A$398, ""(?i)"" &amp; $G$1), 
  REGEXMATCH(RawData_SemEval!$A$2:$A$398, ""(?i)"" &amp; $B$7), 
  REGEXMATCH(RawData_SemEval!$A$2:"&amp;"$A$398, ""(?i)"" &amp; $B$6)
)"),0.282)</f>
        <v>0.282</v>
      </c>
    </row>
    <row r="34">
      <c r="A34" s="68" t="s">
        <v>98</v>
      </c>
      <c r="B34" s="4" t="s">
        <v>15</v>
      </c>
      <c r="C34" s="69">
        <f>IFERROR(__xludf.DUMMYFUNCTION("FILTER(RawData_SemEval!$B$2:$B$398, 
  REGEXMATCH(RawData_SemEval!$A$2:$A$398, ""(?i)"" &amp; $A$29), 
  REGEXMATCH(RawData_SemEval!$A$2:$A$398, ""(?i)"" &amp; $C$1), 
  REGEXMATCH(RawData_SemEval!$A$2:$A$398, ""(?i)"" &amp; A34), 
  NOT(REGEXMATCH(RawData_SemEval!$A"&amp;"$2:$A$398,  ""(?i)ensemble""))
)"),0.2704)</f>
        <v>0.2704</v>
      </c>
      <c r="D34" s="69">
        <f>IFERROR(__xludf.DUMMYFUNCTION("FILTER(RawData_SemEval!$F$2:$F$398, 
  REGEXMATCH(RawData_SemEval!$A$2:$A$398, ""(?i)"" &amp; $A$29), 
  REGEXMATCH(RawData_SemEval!$A$2:$A$398, ""(?i)"" &amp; $C$1), 
  REGEXMATCH(RawData_SemEval!$A$2:$A$398, ""(?i)"" &amp; A34), 
  NOT(REGEXMATCH(RawData_SemEval!$A"&amp;"$2:$A$398,  ""(?i)ensemble""))
)"),0.2434)</f>
        <v>0.2434</v>
      </c>
      <c r="E34" s="70">
        <f>IFERROR(__xludf.DUMMYFUNCTION("FILTER(RawData_SemEval!$B$2:$B$398, 
  REGEXMATCH(RawData_SemEval!$A$2:$A$398, ""(?i)"" &amp; $A$29), 
  REGEXMATCH(RawData_SemEval!$A$2:$A$398, ""(?i)"" &amp; $E$1), 
  REGEXMATCH(RawData_SemEval!$A$2:$A$398, ""(?i)"" &amp; A34), 
  NOT(REGEXMATCH(RawData_SemEval!$A"&amp;"$2:$A$398,  ""(?i)ensemble""))
)"),0.378599999999999)</f>
        <v>0.3786</v>
      </c>
      <c r="F34" s="69">
        <f>IFERROR(__xludf.DUMMYFUNCTION("FILTER(RawData_SemEval!$F$2:$F$398, 
  REGEXMATCH(RawData_SemEval!$A$2:$A$398, ""(?i)"" &amp; $A$29), 
  REGEXMATCH(RawData_SemEval!$A$2:$A$398, ""(?i)"" &amp; $E$1), 
  REGEXMATCH(RawData_SemEval!$A$2:$A$398, ""(?i)"" &amp; A34), 
  NOT(REGEXMATCH(RawData_SemEval!$A"&amp;"$2:$A$398,  ""(?i)ensemble""))
)"),0.217399999999999)</f>
        <v>0.2174</v>
      </c>
      <c r="G34" s="70">
        <f>IFERROR(__xludf.DUMMYFUNCTION("FILTER(RawData_SemEval!$B$2:$B$398, 
  REGEXMATCH(RawData_SemEval!$A$2:$A$398, ""(?i)"" &amp; $A$29), 
  REGEXMATCH(RawData_SemEval!$A$2:$A$398, ""(?i)"" &amp; $G$1), 
  REGEXMATCH(RawData_SemEval!$A$2:$A$398, ""(?i)"" &amp; A34), 
  NOT(REGEXMATCH(RawData_SemEval!$A"&amp;"$2:$A$398,  ""(?i)ensemble""))
)"),0.3392)</f>
        <v>0.3392</v>
      </c>
      <c r="H34" s="69">
        <f>IFERROR(__xludf.DUMMYFUNCTION("FILTER(RawData_SemEval!$F$2:$F$398, 
  REGEXMATCH(RawData_SemEval!$A$2:$A$398, ""(?i)"" &amp; $A$29), 
  REGEXMATCH(RawData_SemEval!$A$2:$A$398, ""(?i)"" &amp; $G$1), 
  REGEXMATCH(RawData_SemEval!$A$2:$A$398, ""(?i)"" &amp; A34), 
  NOT(REGEXMATCH(RawData_SemEval!$A"&amp;"$2:$A$398,  ""(?i)ensemble""))
)"),0.2208)</f>
        <v>0.2208</v>
      </c>
    </row>
    <row r="35">
      <c r="A35" s="68"/>
      <c r="B35" s="4" t="s">
        <v>67</v>
      </c>
      <c r="C35" s="69">
        <f>IFERROR(__xludf.DUMMYFUNCTION("FILTER(RawData_SemEval!$B$2:$B$398, 
  REGEXMATCH(RawData_SemEval!$A$2:$A$398, ""(?i)"" &amp; $A$29), 
  REGEXMATCH(RawData_SemEval!$A$2:$A$398, ""(?i)"" &amp; $C$1), 
  REGEXMATCH(RawData_SemEval!$A$2:$A$398, ""(?i)"" &amp; A34), 
  REGEXMATCH(RawData_SemEval!$A$2:$"&amp;"A$398, ""(?i)"" &amp; $B$5)
)"),0.275)</f>
        <v>0.275</v>
      </c>
      <c r="D35" s="69">
        <f>IFERROR(__xludf.DUMMYFUNCTION("FILTER(RawData_SemEval!$F$2:$F$398, 
  REGEXMATCH(RawData_SemEval!$A$2:$A$398, ""(?i)"" &amp; $A$29), 
  REGEXMATCH(RawData_SemEval!$A$2:$A$398, ""(?i)"" &amp; $C$1), 
  REGEXMATCH(RawData_SemEval!$A$2:$A$398, ""(?i)"" &amp; A34), 
  REGEXMATCH(RawData_SemEval!$A$2:$"&amp;"A$398, ""(?i)"" &amp; $B$5)
)"),0.262)</f>
        <v>0.262</v>
      </c>
      <c r="E35" s="70">
        <f>IFERROR(__xludf.DUMMYFUNCTION("FILTER(RawData_SemEval!$B$2:$B$398, 
  REGEXMATCH(RawData_SemEval!$A$2:$A$398, ""(?i)"" &amp; $A$29), 
  REGEXMATCH(RawData_SemEval!$A$2:$A$398, ""(?i)"" &amp; $E$1), 
  REGEXMATCH(RawData_SemEval!$A$2:$A$398, ""(?i)"" &amp; A34), 
  REGEXMATCH(RawData_SemEval!$A$2:$"&amp;"A$398, ""(?i)"" &amp; $B$5)
)"),0.372)</f>
        <v>0.372</v>
      </c>
      <c r="F35" s="69">
        <f>IFERROR(__xludf.DUMMYFUNCTION("FILTER(RawData_SemEval!$F$2:$F$398, 
  REGEXMATCH(RawData_SemEval!$A$2:$A$398, ""(?i)"" &amp; $A$29), 
  REGEXMATCH(RawData_SemEval!$A$2:$A$398, ""(?i)"" &amp; $E$1), 
  REGEXMATCH(RawData_SemEval!$A$2:$A$398, ""(?i)"" &amp; A34), 
  REGEXMATCH(RawData_SemEval!$A$2:$"&amp;"A$398, ""(?i)"" &amp; $B$5)
)"),0.218)</f>
        <v>0.218</v>
      </c>
      <c r="G35" s="70">
        <f>IFERROR(__xludf.DUMMYFUNCTION("FILTER(RawData_SemEval!$B$2:$B$398, 
  REGEXMATCH(RawData_SemEval!$A$2:$A$398, ""(?i)"" &amp; $A$29), 
  REGEXMATCH(RawData_SemEval!$A$2:$A$398, ""(?i)"" &amp; $G$1), 
  REGEXMATCH(RawData_SemEval!$A$2:$A$398, ""(?i)"" &amp; A34), 
  REGEXMATCH(RawData_SemEval!$A$2:$"&amp;"A$398, ""(?i)"" &amp; $B$5)
)"),0.346)</f>
        <v>0.346</v>
      </c>
      <c r="H35" s="69">
        <f>IFERROR(__xludf.DUMMYFUNCTION("FILTER(RawData_SemEval!$F$2:$F$398, 
  REGEXMATCH(RawData_SemEval!$A$2:$A$398, ""(?i)"" &amp; $A$29), 
  REGEXMATCH(RawData_SemEval!$A$2:$A$398, ""(?i)"" &amp; $G$1), 
  REGEXMATCH(RawData_SemEval!$A$2:$A$398, ""(?i)"" &amp; A34), 
  REGEXMATCH(RawData_SemEval!$A$2:$"&amp;"A$398, ""(?i)"" &amp; $B$5)
)"),0.226)</f>
        <v>0.226</v>
      </c>
    </row>
    <row r="36">
      <c r="A36" s="68"/>
      <c r="B36" s="44" t="s">
        <v>68</v>
      </c>
      <c r="C36" s="71">
        <f>IFERROR(__xludf.DUMMYFUNCTION("FILTER(RawData_SemEval!$B$2:$B$398, 
  REGEXMATCH(RawData_SemEval!$A$2:$A$398, ""(?i)"" &amp; $A$29), 
  REGEXMATCH(RawData_SemEval!$A$2:$A$398, ""(?i)"" &amp; $C$1), 
  REGEXMATCH(RawData_SemEval!$A$2:$A$398, ""(?i)"" &amp; A34), 
  REGEXMATCH(RawData_SemEval!$A$2:$"&amp;"A$398, ""(?i)"" &amp; $B$6)
)"),0.336)</f>
        <v>0.336</v>
      </c>
      <c r="D36" s="71">
        <f>IFERROR(__xludf.DUMMYFUNCTION("FILTER(RawData_SemEval!$F$2:$F$398, 
  REGEXMATCH(RawData_SemEval!$A$2:$A$398, ""(?i)"" &amp; $A$29), 
  REGEXMATCH(RawData_SemEval!$A$2:$A$398, ""(?i)"" &amp; $C$1), 
  REGEXMATCH(RawData_SemEval!$A$2:$A$398, ""(?i)"" &amp; A34), 
  REGEXMATCH(RawData_SemEval!$A$2:$"&amp;"A$398, ""(?i)"" &amp; $B$6)
)"),0.261)</f>
        <v>0.261</v>
      </c>
      <c r="E36" s="72">
        <f>IFERROR(__xludf.DUMMYFUNCTION("FILTER(RawData_SemEval!$B$2:$B$398, 
  REGEXMATCH(RawData_SemEval!$A$2:$A$398, ""(?i)"" &amp; $A$29), 
  REGEXMATCH(RawData_SemEval!$A$2:$A$398, ""(?i)"" &amp; $E$1), 
  REGEXMATCH(RawData_SemEval!$A$2:$A$398, ""(?i)"" &amp; A34), 
  REGEXMATCH(RawData_SemEval!$A$2:$"&amp;"A$398, ""(?i)"" &amp; $B$6)
)"),0.389)</f>
        <v>0.389</v>
      </c>
      <c r="F36" s="71">
        <f>IFERROR(__xludf.DUMMYFUNCTION("FILTER(RawData_SemEval!$F$2:$F$398, 
  REGEXMATCH(RawData_SemEval!$A$2:$A$398, ""(?i)"" &amp; $A$29), 
  REGEXMATCH(RawData_SemEval!$A$2:$A$398, ""(?i)"" &amp; $E$1), 
  REGEXMATCH(RawData_SemEval!$A$2:$A$398, ""(?i)"" &amp; A34), 
  REGEXMATCH(RawData_SemEval!$A$2:$"&amp;"A$398, ""(?i)"" &amp; $B$6)
)"),0.238)</f>
        <v>0.238</v>
      </c>
      <c r="G36" s="72">
        <f>IFERROR(__xludf.DUMMYFUNCTION("FILTER(RawData_SemEval!$B$2:$B$398, 
  REGEXMATCH(RawData_SemEval!$A$2:$A$398, ""(?i)"" &amp; $A$29), 
  REGEXMATCH(RawData_SemEval!$A$2:$A$398, ""(?i)"" &amp; $G$1), 
  REGEXMATCH(RawData_SemEval!$A$2:$A$398, ""(?i)"" &amp; A34), 
  REGEXMATCH(RawData_SemEval!$A$2:$"&amp;"A$398, ""(?i)"" &amp; $B$6)
)"),0.344)</f>
        <v>0.344</v>
      </c>
      <c r="H36" s="71">
        <f>IFERROR(__xludf.DUMMYFUNCTION("FILTER(RawData_SemEval!$F$2:$F$398, 
  REGEXMATCH(RawData_SemEval!$A$2:$A$398, ""(?i)"" &amp; $A$29), 
  REGEXMATCH(RawData_SemEval!$A$2:$A$398, ""(?i)"" &amp; $G$1), 
  REGEXMATCH(RawData_SemEval!$A$2:$A$398, ""(?i)"" &amp; A34), 
  REGEXMATCH(RawData_SemEval!$A$2:$"&amp;"A$398, ""(?i)"" &amp; $B$6)
)"),0.214)</f>
        <v>0.214</v>
      </c>
    </row>
    <row r="37">
      <c r="A37" s="68" t="s">
        <v>99</v>
      </c>
      <c r="B37" s="4" t="s">
        <v>20</v>
      </c>
      <c r="C37" s="69">
        <f>IFERROR(__xludf.DUMMYFUNCTION("FILTER(RawData_SemEval!$B$2:$B$398, 
  REGEXMATCH(RawData_SemEval!$A$2:$A$398, ""(?i)"" &amp; $A$29), 
  REGEXMATCH(RawData_SemEval!$A$2:$A$398, ""(?i)"" &amp; $C$1), 
  REGEXMATCH(RawData_SemEval!$A$2:$A$398, ""(?i)"" &amp; $A$37), 
  NOT(REGEXMATCH(RawData_SemEval!"&amp;"$A$2:$A$398,  ""(?i)ensemble"")),NOT(REGEXMATCH(RawData_SemEval!$A$2:$A$398,  ""(?i)complete""))
)"),0.2542)</f>
        <v>0.2542</v>
      </c>
      <c r="D37" s="69">
        <f>IFERROR(__xludf.DUMMYFUNCTION("FILTER(RawData_SemEval!$F$2:$F$398, 
  REGEXMATCH(RawData_SemEval!$A$2:$A$398, ""(?i)"" &amp; $A$29), 
  REGEXMATCH(RawData_SemEval!$A$2:$A$398, ""(?i)"" &amp; $C$1), 
  REGEXMATCH(RawData_SemEval!$A$2:$A$398, ""(?i)"" &amp; $A$37), 
  NOT(REGEXMATCH(RawData_SemEval!"&amp;"$A$2:$A$398,  ""(?i)ensemble""))
)"),0.242)</f>
        <v>0.242</v>
      </c>
      <c r="E37" s="70">
        <f>IFERROR(__xludf.DUMMYFUNCTION("FILTER(RawData_SemEval!$B$2:$B$398, 
  REGEXMATCH(RawData_SemEval!$A$2:$A$398, ""(?i)"" &amp; $A$29), 
  REGEXMATCH(RawData_SemEval!$A$2:$A$398, ""(?i)"" &amp; $E$1), 
  REGEXMATCH(RawData_SemEval!$A$2:$A$398, ""(?i)"" &amp; $A$37), 
  NOT(REGEXMATCH(RawData_SemEval!"&amp;"$A$2:$A$398,  ""(?i)ensemble"")),NOT(REGEXMATCH(RawData_SemEval!$A$2:$A$398,  ""(?i)complete""))
)"),0.3714)</f>
        <v>0.3714</v>
      </c>
      <c r="F37" s="69">
        <f>IFERROR(__xludf.DUMMYFUNCTION("FILTER(RawData_SemEval!$F$2:$F$398, 
  REGEXMATCH(RawData_SemEval!$A$2:$A$398, ""(?i)"" &amp; $A$29), 
  REGEXMATCH(RawData_SemEval!$A$2:$A$398, ""(?i)"" &amp; $E$1), 
  REGEXMATCH(RawData_SemEval!$A$2:$A$398, ""(?i)"" &amp; $A$37), 
  NOT(REGEXMATCH(RawData_SemEval!"&amp;"$A$2:$A$398,  ""(?i)ensemble"")),NOT(REGEXMATCH(RawData_SemEval!$A$2:$A$398,  ""(?i)complete""))
)"),0.204599999999999)</f>
        <v>0.2046</v>
      </c>
      <c r="G37" s="70">
        <f>IFERROR(__xludf.DUMMYFUNCTION("FILTER(RawData_SemEval!$B$2:$B$398, 
  REGEXMATCH(RawData_SemEval!$A$2:$A$398, ""(?i)"" &amp; $A$29), 
  REGEXMATCH(RawData_SemEval!$A$2:$A$398, ""(?i)"" &amp; $G$1), 
  REGEXMATCH(RawData_SemEval!$A$2:$A$398, ""(?i)"" &amp; $A$37), 
  NOT(REGEXMATCH(RawData_SemEval!"&amp;"$A$2:$A$398,  ""(?i)ensemble"")),NOT(REGEXMATCH(RawData_SemEval!$A$2:$A$398,  ""(?i)complete""))
)"),0.3592)</f>
        <v>0.3592</v>
      </c>
      <c r="H37" s="69">
        <f>IFERROR(__xludf.DUMMYFUNCTION("FILTER(RawData_SemEval!$F$2:$F$398, 
  REGEXMATCH(RawData_SemEval!$A$2:$A$398, ""(?i)"" &amp; $A$29), 
  REGEXMATCH(RawData_SemEval!$A$2:$A$398, ""(?i)"" &amp; $G$1), 
  REGEXMATCH(RawData_SemEval!$A$2:$A$398, ""(?i)"" &amp; $A$37), 
  NOT(REGEXMATCH(RawData_SemEval!"&amp;"$A$2:$A$398,  ""(?i)ensemble"")),NOT(REGEXMATCH(RawData_SemEval!$A$2:$A$398,  ""(?i)complete""))
)"),0.2508)</f>
        <v>0.2508</v>
      </c>
    </row>
    <row r="38">
      <c r="A38" s="68"/>
      <c r="B38" s="4" t="s">
        <v>67</v>
      </c>
      <c r="C38" s="69">
        <f>IFERROR(__xludf.DUMMYFUNCTION("FILTER(RawData_SemEval!$B$2:$B$398, 
  REGEXMATCH(RawData_SemEval!$A$2:$A$398, ""(?i)"" &amp; $A$29), 
  REGEXMATCH(RawData_SemEval!$A$2:$A$398, ""(?i)"" &amp; $C$1), 
  REGEXMATCH(RawData_SemEval!$A$2:$A$398, ""(?i)"" &amp; $A$37), 
  REGEXMATCH(RawData_SemEval!$A$2"&amp;":$A$398, ""(?i)"" &amp; $B$5),NOT(REGEXMATCH(RawData_SemEval!$A$2:$A$398,  ""(?i)complete""))
)"),0.257)</f>
        <v>0.257</v>
      </c>
      <c r="D38" s="69">
        <f>IFERROR(__xludf.DUMMYFUNCTION("FILTER(RawData_SemEval!$F$2:$F$398, 
  REGEXMATCH(RawData_SemEval!$A$2:$A$398, ""(?i)"" &amp; $A$29), 
  REGEXMATCH(RawData_SemEval!$A$2:$A$398, ""(?i)"" &amp; $C$1), 
  REGEXMATCH(RawData_SemEval!$A$2:$A$398, ""(?i)"" &amp; $A$37), 
  REGEXMATCH(RawData_SemEval!$A$2"&amp;":$A$398, ""(?i)"" &amp; $B$5),NOT(REGEXMATCH(RawData_SemEval!$A$2:$A$398,  ""(?i)complete""))
)"),0.257)</f>
        <v>0.257</v>
      </c>
      <c r="E38" s="70">
        <f>IFERROR(__xludf.DUMMYFUNCTION("FILTER(RawData_SemEval!$B$2:$B$398, 
  REGEXMATCH(RawData_SemEval!$A$2:$A$398, ""(?i)"" &amp; $A$29), 
  REGEXMATCH(RawData_SemEval!$A$2:$A$398, ""(?i)"" &amp; $E$1), 
  REGEXMATCH(RawData_SemEval!$A$2:$A$398, ""(?i)"" &amp; $A$37), 
  REGEXMATCH(RawData_SemEval!$A$2"&amp;":$A$398, ""(?i)"" &amp; $B$5),NOT(REGEXMATCH(RawData_SemEval!$A$2:$A$398,  ""(?i)complete""))
)"),0.383)</f>
        <v>0.383</v>
      </c>
      <c r="F38" s="69">
        <f>IFERROR(__xludf.DUMMYFUNCTION("FILTER(RawData_SemEval!$F$2:$F$398, 
  REGEXMATCH(RawData_SemEval!$A$2:$A$398, ""(?i)"" &amp; $A$29), 
  REGEXMATCH(RawData_SemEval!$A$2:$A$398, ""(?i)"" &amp; $E$1), 
  REGEXMATCH(RawData_SemEval!$A$2:$A$398, ""(?i)"" &amp; $A$37), 
  REGEXMATCH(RawData_SemEval!$A$2"&amp;":$A$398, ""(?i)"" &amp; $B$5),NOT(REGEXMATCH(RawData_SemEval!$A$2:$A$398,  ""(?i)complete""))
)"),0.205)</f>
        <v>0.205</v>
      </c>
      <c r="G38" s="70">
        <f>IFERROR(__xludf.DUMMYFUNCTION("FILTER(RawData_SemEval!$B$2:$B$398, 
  REGEXMATCH(RawData_SemEval!$A$2:$A$398, ""(?i)"" &amp; $A$29), 
  REGEXMATCH(RawData_SemEval!$A$2:$A$398, ""(?i)"" &amp; $G$1), 
  REGEXMATCH(RawData_SemEval!$A$2:$A$398, ""(?i)"" &amp; $A$37), 
  REGEXMATCH(RawData_SemEval!$A$2"&amp;":$A$398, ""(?i)"" &amp; $B$5),NOT(REGEXMATCH(RawData_SemEval!$A$2:$A$398,  ""(?i)complete""))
)"),0.356)</f>
        <v>0.356</v>
      </c>
      <c r="H38" s="69">
        <f>IFERROR(__xludf.DUMMYFUNCTION("FILTER(RawData_SemEval!$F$2:$F$398, 
  REGEXMATCH(RawData_SemEval!$A$2:$A$398, ""(?i)"" &amp; $A$29), 
  REGEXMATCH(RawData_SemEval!$A$2:$A$398, ""(?i)"" &amp; $G$1), 
  REGEXMATCH(RawData_SemEval!$A$2:$A$398, ""(?i)"" &amp; $A$37), 
  REGEXMATCH(RawData_SemEval!$A$2"&amp;":$A$398, ""(?i)"" &amp; $B$5),NOT(REGEXMATCH(RawData_SemEval!$A$2:$A$398,  ""(?i)complete""))
)"),0.251)</f>
        <v>0.251</v>
      </c>
    </row>
    <row r="39">
      <c r="A39" s="68"/>
      <c r="B39" s="44" t="s">
        <v>68</v>
      </c>
      <c r="C39" s="71">
        <f>IFERROR(__xludf.DUMMYFUNCTION("FILTER(RawData_SemEval!$B$2:$B$398, 
  REGEXMATCH(RawData_SemEval!$A$2:$A$398, ""(?i)"" &amp; $A$29), 
  REGEXMATCH(RawData_SemEval!$A$2:$A$398, ""(?i)"" &amp; $C$1), 
  REGEXMATCH(RawData_SemEval!$A$2:$A$398, ""(?i)"" &amp; $A$37), 
  REGEXMATCH(RawData_SemEval!$A$2"&amp;":$A$398, ""(?i)"" &amp; $B$6),NOT(REGEXMATCH(RawData_SemEval!$A$2:$A$398,  ""(?i)complete""))
)"),0.29)</f>
        <v>0.29</v>
      </c>
      <c r="D39" s="71">
        <f>IFERROR(__xludf.DUMMYFUNCTION("FILTER(RawData_SemEval!$F$2:$F$398, 
  REGEXMATCH(RawData_SemEval!$A$2:$A$398, ""(?i)"" &amp; $A$29), 
  REGEXMATCH(RawData_SemEval!$A$2:$A$398, ""(?i)"" &amp; $C$1), 
  REGEXMATCH(RawData_SemEval!$A$2:$A$398, ""(?i)"" &amp; $A$37), 
  REGEXMATCH(RawData_SemEval!$A$2"&amp;":$A$398, ""(?i)"" &amp; $B$6),NOT(REGEXMATCH(RawData_SemEval!$A$2:$A$398,  ""(?i)complete""))
)"),0.234)</f>
        <v>0.234</v>
      </c>
      <c r="E39" s="72">
        <f>IFERROR(__xludf.DUMMYFUNCTION("FILTER(RawData_SemEval!$B$2:$B$398, 
  REGEXMATCH(RawData_SemEval!$A$2:$A$398, ""(?i)"" &amp; $A$29), 
  REGEXMATCH(RawData_SemEval!$A$2:$A$398, ""(?i)"" &amp; $E$1), 
  REGEXMATCH(RawData_SemEval!$A$2:$A$398, ""(?i)"" &amp; $A$37), 
  REGEXMATCH(RawData_SemEval!$A$2"&amp;":$A$398, ""(?i)"" &amp; $B$6),NOT(REGEXMATCH(RawData_SemEval!$A$2:$A$398,  ""(?i)complete""))
)"),0.381)</f>
        <v>0.381</v>
      </c>
      <c r="F39" s="71">
        <f>IFERROR(__xludf.DUMMYFUNCTION("FILTER(RawData_SemEval!$F$2:$F$398, 
  REGEXMATCH(RawData_SemEval!$A$2:$A$398, ""(?i)"" &amp; $A$29), 
  REGEXMATCH(RawData_SemEval!$A$2:$A$398, ""(?i)"" &amp; $E$1), 
  REGEXMATCH(RawData_SemEval!$A$2:$A$398, ""(?i)"" &amp; $A$37), 
  REGEXMATCH(RawData_SemEval!$A$2"&amp;":$A$398, ""(?i)"" &amp; $B$6),NOT(REGEXMATCH(RawData_SemEval!$A$2:$A$398,  ""(?i)complete""))
)"),0.225)</f>
        <v>0.225</v>
      </c>
      <c r="G39" s="72">
        <f>IFERROR(__xludf.DUMMYFUNCTION("FILTER(RawData_SemEval!$B$2:$B$398, 
  REGEXMATCH(RawData_SemEval!$A$2:$A$398, ""(?i)"" &amp; $A$29), 
  REGEXMATCH(RawData_SemEval!$A$2:$A$398, ""(?i)"" &amp; $G$1), 
  REGEXMATCH(RawData_SemEval!$A$2:$A$398, ""(?i)"" &amp; $A$37), 
  REGEXMATCH(RawData_SemEval!$A$2"&amp;":$A$398, ""(?i)"" &amp; $B$6),NOT(REGEXMATCH(RawData_SemEval!$A$2:$A$398,  ""(?i)complete""))
)"),0.374)</f>
        <v>0.374</v>
      </c>
      <c r="H39" s="71">
        <f>IFERROR(__xludf.DUMMYFUNCTION("FILTER(RawData_SemEval!$F$2:$F$398, 
  REGEXMATCH(RawData_SemEval!$A$2:$A$398, ""(?i)"" &amp; $A$29), 
  REGEXMATCH(RawData_SemEval!$A$2:$A$398, ""(?i)"" &amp; $G$1), 
  REGEXMATCH(RawData_SemEval!$A$2:$A$398, ""(?i)"" &amp; $A$37), 
  REGEXMATCH(RawData_SemEval!$A$2"&amp;":$A$398, ""(?i)"" &amp; $B$6),NOT(REGEXMATCH(RawData_SemEval!$A$2:$A$398,  ""(?i)complete""))
)"),0.25)</f>
        <v>0.25</v>
      </c>
    </row>
    <row r="40">
      <c r="A40" s="68" t="s">
        <v>100</v>
      </c>
      <c r="B40" s="4" t="s">
        <v>25</v>
      </c>
      <c r="C40" s="73"/>
      <c r="D40" s="73"/>
      <c r="E40" s="70">
        <f>IFERROR(__xludf.DUMMYFUNCTION("FILTER(RawData_SemEval!$B$2:$B$398, 
  REGEXMATCH(RawData_SemEval!$A$2:$A$398, ""(?i)"" &amp; $A$29), 
  REGEXMATCH(RawData_SemEval!$A$2:$A$398, ""(?i)"" &amp; $E$1), 
  REGEXMATCH(RawData_SemEval!$A$2:$A$398, ""(?i)"" &amp; $A$40), 
  NOT(REGEXMATCH(RawData_SemEval!"&amp;"$A$2:$A$398,  ""(?i)ensemble""))
)"),0.3854)</f>
        <v>0.3854</v>
      </c>
      <c r="F40" s="69">
        <f>IFERROR(__xludf.DUMMYFUNCTION("FILTER(RawData_SemEval!$F$2:$F$398, 
  REGEXMATCH(RawData_SemEval!$A$2:$A$398, ""(?i)"" &amp; $A$29), 
  REGEXMATCH(RawData_SemEval!$A$2:$A$398, ""(?i)"" &amp; $E$1), 
  REGEXMATCH(RawData_SemEval!$A$2:$A$398, ""(?i)"" &amp; $A$40), 
  NOT(REGEXMATCH(RawData_SemEval!"&amp;"$A$2:$A$398,  ""(?i)ensemble""))
)"),0.1814)</f>
        <v>0.1814</v>
      </c>
      <c r="G40" s="70">
        <f>IFERROR(__xludf.DUMMYFUNCTION("FILTER(RawData_SemEval!$B$2:$B$398, 
  REGEXMATCH(RawData_SemEval!$A$2:$A$398, ""(?i)"" &amp; $A$29), 
  REGEXMATCH(RawData_SemEval!$A$2:$A$398, ""(?i)"" &amp; $G$1), 
  REGEXMATCH(RawData_SemEval!$A$2:$A$398, ""(?i)"" &amp; $A$40), 
  NOT(REGEXMATCH(RawData_SemEval!"&amp;"$A$2:$A$398,  ""(?i)ensemble""))
)"),0.281)</f>
        <v>0.281</v>
      </c>
      <c r="H40" s="69">
        <f>IFERROR(__xludf.DUMMYFUNCTION("FILTER(RawData_SemEval!$F$2:$F$398, 
  REGEXMATCH(RawData_SemEval!$A$2:$A$398, ""(?i)"" &amp; $A$29), 
  REGEXMATCH(RawData_SemEval!$A$2:$A$398, ""(?i)"" &amp; $G$1), 
  REGEXMATCH(RawData_SemEval!$A$2:$A$398, ""(?i)"" &amp; $A$40), 
  NOT(REGEXMATCH(RawData_SemEval!"&amp;"$A$2:$A$398,  ""(?i)ensemble""))
)"),0.281)</f>
        <v>0.281</v>
      </c>
    </row>
    <row r="41">
      <c r="A41" s="68"/>
      <c r="B41" s="4" t="s">
        <v>67</v>
      </c>
      <c r="C41" s="73"/>
      <c r="D41" s="73"/>
      <c r="E41" s="70">
        <f>IFERROR(__xludf.DUMMYFUNCTION("FILTER(RawData_SemEval!$B$2:$B$398, 
  REGEXMATCH(RawData_SemEval!$A$2:$A$398, ""(?i)"" &amp; $A$29), 
  REGEXMATCH(RawData_SemEval!$A$2:$A$398, ""(?i)"" &amp; $E$1), 
  REGEXMATCH(RawData_SemEval!$A$2:$A$398, ""(?i)"" &amp; $A$40), 
  REGEXMATCH(RawData_SemEval!$A$2"&amp;":$A$398, ""(?i)"" &amp; $B$5)
)"),0.399)</f>
        <v>0.399</v>
      </c>
      <c r="F41" s="69">
        <f>IFERROR(__xludf.DUMMYFUNCTION("FILTER(RawData_SemEval!$F$2:$F$398, 
  REGEXMATCH(RawData_SemEval!$A$2:$A$398, ""(?i)"" &amp; $A$29), 
  REGEXMATCH(RawData_SemEval!$A$2:$A$398, ""(?i)"" &amp; $E$1), 
  REGEXMATCH(RawData_SemEval!$A$2:$A$398, ""(?i)"" &amp; $A$40), 
  REGEXMATCH(RawData_SemEval!$A$2"&amp;":$A$398, ""(?i)"" &amp; $B$5)
)"),0.186)</f>
        <v>0.186</v>
      </c>
      <c r="G41" s="70">
        <f>IFERROR(__xludf.DUMMYFUNCTION("FILTER(RawData_SemEval!$B$2:$B$398, 
  REGEXMATCH(RawData_SemEval!$A$2:$A$398, ""(?i)"" &amp; $A$29), 
  REGEXMATCH(RawData_SemEval!$A$2:$A$398, ""(?i)"" &amp; $G$1), 
  REGEXMATCH(RawData_SemEval!$A$2:$A$398, ""(?i)"" &amp; $A$40), 
  REGEXMATCH(RawData_SemEval!$A$2"&amp;":$A$398, ""(?i)"" &amp; $B$5)
)"),0.277)</f>
        <v>0.277</v>
      </c>
      <c r="H41" s="69">
        <f>IFERROR(__xludf.DUMMYFUNCTION("FILTER(RawData_SemEval!$F$2:$F$398, 
  REGEXMATCH(RawData_SemEval!$A$2:$A$398, ""(?i)"" &amp; $A$29), 
  REGEXMATCH(RawData_SemEval!$A$2:$A$398, ""(?i)"" &amp; $G$1), 
  REGEXMATCH(RawData_SemEval!$A$2:$A$398, ""(?i)"" &amp; $A$40), 
  REGEXMATCH(RawData_SemEval!$A$2"&amp;":$A$398, ""(?i)"" &amp; $B$5)
)"),0.277)</f>
        <v>0.277</v>
      </c>
    </row>
    <row r="42">
      <c r="A42" s="68"/>
      <c r="B42" s="44" t="s">
        <v>68</v>
      </c>
      <c r="C42" s="74"/>
      <c r="D42" s="74"/>
      <c r="E42" s="72">
        <f>IFERROR(__xludf.DUMMYFUNCTION("FILTER(RawData_SemEval!$B$2:$B$398, 
  REGEXMATCH(RawData_SemEval!$A$2:$A$398, ""(?i)"" &amp; $A$29), 
  REGEXMATCH(RawData_SemEval!$A$2:$A$398, ""(?i)"" &amp; $E$1), 
  REGEXMATCH(RawData_SemEval!$A$2:$A$398, ""(?i)"" &amp; $A$40), 
  REGEXMATCH(RawData_SemEval!$A$2"&amp;":$A$398, ""(?i)"" &amp; $B$6)
)"),0.406)</f>
        <v>0.406</v>
      </c>
      <c r="F42" s="71">
        <f>IFERROR(__xludf.DUMMYFUNCTION("FILTER(RawData_SemEval!$F$2:$F$398, 
  REGEXMATCH(RawData_SemEval!$A$2:$A$398, ""(?i)"" &amp; $A$29), 
  REGEXMATCH(RawData_SemEval!$A$2:$A$398, ""(?i)"" &amp; $E$1), 
  REGEXMATCH(RawData_SemEval!$A$2:$A$398, ""(?i)"" &amp; $A$40), 
  REGEXMATCH(RawData_SemEval!$A$2"&amp;":$A$398, ""(?i)"" &amp; $B$6)
)"),0.207)</f>
        <v>0.207</v>
      </c>
      <c r="G42" s="72">
        <f>IFERROR(__xludf.DUMMYFUNCTION("FILTER(RawData_SemEval!$B$2:$B$398, 
  REGEXMATCH(RawData_SemEval!$A$2:$A$398, ""(?i)"" &amp; $A$29), 
  REGEXMATCH(RawData_SemEval!$A$2:$A$398, ""(?i)"" &amp; $G$1), 
  REGEXMATCH(RawData_SemEval!$A$2:$A$398, ""(?i)"" &amp; $A$40), 
  REGEXMATCH(RawData_SemEval!$A$2"&amp;":$A$398, ""(?i)"" &amp; $B$6)
)"),0.282)</f>
        <v>0.282</v>
      </c>
      <c r="H42" s="71">
        <f>IFERROR(__xludf.DUMMYFUNCTION("FILTER(RawData_SemEval!$F$2:$F$398, 
  REGEXMATCH(RawData_SemEval!$A$2:$A$398, ""(?i)"" &amp; $A$29), 
  REGEXMATCH(RawData_SemEval!$A$2:$A$398, ""(?i)"" &amp; $G$1), 
  REGEXMATCH(RawData_SemEval!$A$2:$A$398, ""(?i)"" &amp; $A$40), 
  REGEXMATCH(RawData_SemEval!$A$2"&amp;":$A$398, ""(?i)"" &amp; $B$6)
)"),0.281)</f>
        <v>0.281</v>
      </c>
    </row>
    <row r="43">
      <c r="A43" s="68" t="s">
        <v>101</v>
      </c>
      <c r="B43" s="4" t="s">
        <v>18</v>
      </c>
      <c r="C43" s="69">
        <f>IFERROR(__xludf.DUMMYFUNCTION("FILTER(RawData_SemEval!$B$2:$B$398, 
  REGEXMATCH(RawData_SemEval!$A$2:$A$398, ""(?i)"" &amp; $A$29), 
  REGEXMATCH(RawData_SemEval!$A$2:$A$398, ""(?i)"" &amp; $C$1), 
  REGEXMATCH(RawData_SemEval!$A$2:$A$398, ""(?i)gpt_only_title""), 
  NOT(REGEXMATCH(RawData_Se"&amp;"mEval!$A$2:$A$398,  ""(?i)ensemble""))
)"),0.2782)</f>
        <v>0.2782</v>
      </c>
      <c r="D43" s="69">
        <f>IFERROR(__xludf.DUMMYFUNCTION("FILTER(RawData_SemEval!$F$2:$F$398, 
  REGEXMATCH(RawData_SemEval!$A$2:$A$398, ""(?i)"" &amp; $A$29), 
  REGEXMATCH(RawData_SemEval!$A$2:$A$398, ""(?i)"" &amp; $C$1), 
  REGEXMATCH(RawData_SemEval!$A$2:$A$398, ""(?i)gpt_only_title""), 
  NOT(REGEXMATCH(RawData_Se"&amp;"mEval!$A$2:$A$398,  ""(?i)ensemble""))
)"),0.2544)</f>
        <v>0.2544</v>
      </c>
      <c r="E43" s="70">
        <f>IFERROR(__xludf.DUMMYFUNCTION("FILTER(RawData_SemEval!$B$2:$B$398, 
  REGEXMATCH(RawData_SemEval!$A$2:$A$398, ""(?i)"" &amp; $A$29), 
  REGEXMATCH(RawData_SemEval!$A$2:$A$398, ""(?i)"" &amp; $E$1), 
  REGEXMATCH(RawData_SemEval!$A$2:$A$398, ""(?i)gpt_only_title""), 
  NOT(REGEXMATCH(RawData_Se"&amp;"mEval!$A$2:$A$398,  ""(?i)ensemble""))
)"),0.342199999999999)</f>
        <v>0.3422</v>
      </c>
      <c r="F43" s="69">
        <f>IFERROR(__xludf.DUMMYFUNCTION("FILTER(RawData_SemEval!$F$2:$F$398, 
  REGEXMATCH(RawData_SemEval!$A$2:$A$398, ""(?i)"" &amp; $A$29), 
  REGEXMATCH(RawData_SemEval!$A$2:$A$398, ""(?i)"" &amp; $E$1), 
  REGEXMATCH(RawData_SemEval!$A$2:$A$398, ""(?i)gpt_only_title""), 
  NOT(REGEXMATCH(RawData_Se"&amp;"mEval!$A$2:$A$398,  ""(?i)ensemble""))
)"),0.180399999999999)</f>
        <v>0.1804</v>
      </c>
      <c r="G43" s="70">
        <f>IFERROR(__xludf.DUMMYFUNCTION("FILTER(RawData_SemEval!$B$2:$B$398, 
  REGEXMATCH(RawData_SemEval!$A$2:$A$398, ""(?i)"" &amp; $A$29), 
  REGEXMATCH(RawData_SemEval!$A$2:$A$398, ""(?i)"" &amp; $G$1), 
  REGEXMATCH(RawData_SemEval!$A$2:$A$398, ""(?i)gpt_only_title""), 
  NOT(REGEXMATCH(RawData_Se"&amp;"mEval!$A$2:$A$398,  ""(?i)ensemble""))
)"),0.3556)</f>
        <v>0.3556</v>
      </c>
      <c r="H43" s="69">
        <f>IFERROR(__xludf.DUMMYFUNCTION("FILTER(RawData_SemEval!$F$2:$F$398, 
  REGEXMATCH(RawData_SemEval!$A$2:$A$398, ""(?i)"" &amp; $A$29), 
  REGEXMATCH(RawData_SemEval!$A$2:$A$398, ""(?i)"" &amp; $G$1), 
  REGEXMATCH(RawData_SemEval!$A$2:$A$398, ""(?i)gpt_only_title""), 
  NOT(REGEXMATCH(RawData_Se"&amp;"mEval!$A$2:$A$398,  ""(?i)ensemble""))
)"),0.235)</f>
        <v>0.235</v>
      </c>
    </row>
    <row r="44">
      <c r="A44" s="68"/>
      <c r="B44" s="4" t="s">
        <v>67</v>
      </c>
      <c r="C44" s="69">
        <f>IFERROR(__xludf.DUMMYFUNCTION("FILTER(RawData_SemEval!$B$2:$B$398, 
  REGEXMATCH(RawData_SemEval!$A$2:$A$398, ""(?i)"" &amp; $A$29), 
  REGEXMATCH(RawData_SemEval!$A$2:$A$398, ""(?i)"" &amp; $C$1), 
  REGEXMATCH(RawData_SemEval!$A$2:$A$398, ""(?i)gpt_only_title""), 
  REGEXMATCH(RawData_SemEva"&amp;"l!$A$2:$A$398, ""(?i)"" &amp; $B$5)
)"),0.277)</f>
        <v>0.277</v>
      </c>
      <c r="D44" s="69">
        <f>IFERROR(__xludf.DUMMYFUNCTION("FILTER(RawData_SemEval!$F$2:$F$398, 
  REGEXMATCH(RawData_SemEval!$A$2:$A$398, ""(?i)"" &amp; $A$29), 
  REGEXMATCH(RawData_SemEval!$A$2:$A$398, ""(?i)"" &amp; $C$1), 
  REGEXMATCH(RawData_SemEval!$A$2:$A$398, ""(?i)gpt_only_title""), 
  REGEXMATCH(RawData_SemEva"&amp;"l!$A$2:$A$398, ""(?i)"" &amp; $B$5)
)"),0.269)</f>
        <v>0.269</v>
      </c>
      <c r="E44" s="70">
        <f>IFERROR(__xludf.DUMMYFUNCTION("FILTER(RawData_SemEval!$B$2:$B$398, 
  REGEXMATCH(RawData_SemEval!$A$2:$A$398, ""(?i)"" &amp; $A$29), 
  REGEXMATCH(RawData_SemEval!$A$2:$A$398, ""(?i)"" &amp; $E$1), 
  REGEXMATCH(RawData_SemEval!$A$2:$A$398, ""(?i)gpt_only_title""), 
  REGEXMATCH(RawData_SemEva"&amp;"l!$A$2:$A$398, ""(?i)"" &amp; $B$5)
)"),0.325)</f>
        <v>0.325</v>
      </c>
      <c r="F44" s="69">
        <f>IFERROR(__xludf.DUMMYFUNCTION("FILTER(RawData_SemEval!$F$2:$F$398, 
  REGEXMATCH(RawData_SemEval!$A$2:$A$398, ""(?i)"" &amp; $A$29), 
  REGEXMATCH(RawData_SemEval!$A$2:$A$398, ""(?i)"" &amp; $E$1), 
  REGEXMATCH(RawData_SemEval!$A$2:$A$398, ""(?i)gpt_only_title""), 
  REGEXMATCH(RawData_SemEva"&amp;"l!$A$2:$A$398, ""(?i)"" &amp; $B$5)
)"),0.16)</f>
        <v>0.16</v>
      </c>
      <c r="G44" s="70">
        <f>IFERROR(__xludf.DUMMYFUNCTION("FILTER(RawData_SemEval!$B$2:$B$398, 
  REGEXMATCH(RawData_SemEval!$A$2:$A$398, ""(?i)"" &amp; $A$29), 
  REGEXMATCH(RawData_SemEval!$A$2:$A$398, ""(?i)"" &amp; $G$1), 
  REGEXMATCH(RawData_SemEval!$A$2:$A$398, ""(?i)gpt_only_title""), 
  REGEXMATCH(RawData_SemEva"&amp;"l!$A$2:$A$398, ""(?i)"" &amp; $B$5)
)"),0.363)</f>
        <v>0.363</v>
      </c>
      <c r="H44" s="69">
        <f>IFERROR(__xludf.DUMMYFUNCTION("FILTER(RawData_SemEval!$F$2:$F$398, 
  REGEXMATCH(RawData_SemEval!$A$2:$A$398, ""(?i)"" &amp; $A$29), 
  REGEXMATCH(RawData_SemEval!$A$2:$A$398, ""(?i)"" &amp; $G$1), 
  REGEXMATCH(RawData_SemEval!$A$2:$A$398, ""(?i)gpt_only_title""), 
  REGEXMATCH(RawData_SemEva"&amp;"l!$A$2:$A$398, ""(?i)"" &amp; $B$5)
)"),0.237)</f>
        <v>0.237</v>
      </c>
    </row>
    <row r="45">
      <c r="A45" s="68"/>
      <c r="B45" s="44" t="s">
        <v>68</v>
      </c>
      <c r="C45" s="71">
        <f>IFERROR(__xludf.DUMMYFUNCTION("FILTER(RawData_SemEval!$B$2:$B$398, 
  REGEXMATCH(RawData_SemEval!$A$2:$A$398, ""(?i)"" &amp; $A$29), 
  REGEXMATCH(RawData_SemEval!$A$2:$A$398, ""(?i)"" &amp; $C$1), 
  REGEXMATCH(RawData_SemEval!$A$2:$A$398, ""(?i)gpt_only_title""), 
  REGEXMATCH(RawData_SemEva"&amp;"l!$A$2:$A$398, ""(?i)"" &amp; $B$6)
)"),0.309)</f>
        <v>0.309</v>
      </c>
      <c r="D45" s="71">
        <f>IFERROR(__xludf.DUMMYFUNCTION("FILTER(RawData_SemEval!$F$2:$F$398, 
  REGEXMATCH(RawData_SemEval!$A$2:$A$398, ""(?i)"" &amp; $A$29), 
  REGEXMATCH(RawData_SemEval!$A$2:$A$398, ""(?i)"" &amp; $C$1), 
  REGEXMATCH(RawData_SemEval!$A$2:$A$398, ""(?i)gpt_only_title""), 
  REGEXMATCH(RawData_SemEva"&amp;"l!$A$2:$A$398, ""(?i)"" &amp; $B$6)
)"),0.234)</f>
        <v>0.234</v>
      </c>
      <c r="E45" s="72">
        <f>IFERROR(__xludf.DUMMYFUNCTION("FILTER(RawData_SemEval!$B$2:$B$398, 
  REGEXMATCH(RawData_SemEval!$A$2:$A$398, ""(?i)"" &amp; $A$29), 
  REGEXMATCH(RawData_SemEval!$A$2:$A$398, ""(?i)"" &amp; $E$1), 
  REGEXMATCH(RawData_SemEval!$A$2:$A$398, ""(?i)gpt_only_title""), 
  REGEXMATCH(RawData_SemEva"&amp;"l!$A$2:$A$398, ""(?i)"" &amp; $B$6)
)"),0.359)</f>
        <v>0.359</v>
      </c>
      <c r="F45" s="71">
        <f>IFERROR(__xludf.DUMMYFUNCTION("FILTER(RawData_SemEval!$F$2:$F$398, 
  REGEXMATCH(RawData_SemEval!$A$2:$A$398, ""(?i)"" &amp; $A$29), 
  REGEXMATCH(RawData_SemEval!$A$2:$A$398, ""(?i)"" &amp; $E$1), 
  REGEXMATCH(RawData_SemEval!$A$2:$A$398, ""(?i)gpt_only_title""), 
  REGEXMATCH(RawData_SemEva"&amp;"l!$A$2:$A$398, ""(?i)"" &amp; $B$6)
)"),0.196)</f>
        <v>0.196</v>
      </c>
      <c r="G45" s="72">
        <f>IFERROR(__xludf.DUMMYFUNCTION("FILTER(RawData_SemEval!$B$2:$B$398, 
  REGEXMATCH(RawData_SemEval!$A$2:$A$398, ""(?i)"" &amp; $A$29), 
  REGEXMATCH(RawData_SemEval!$A$2:$A$398, ""(?i)"" &amp; $G$1), 
  REGEXMATCH(RawData_SemEval!$A$2:$A$398, ""(?i)gpt_only_title""), 
  REGEXMATCH(RawData_SemEva"&amp;"l!$A$2:$A$398, ""(?i)"" &amp; $B$6)
)"),0.354)</f>
        <v>0.354</v>
      </c>
      <c r="H45" s="71">
        <f>IFERROR(__xludf.DUMMYFUNCTION("FILTER(RawData_SemEval!$F$2:$F$398, 
  REGEXMATCH(RawData_SemEval!$A$2:$A$398, ""(?i)"" &amp; $A$29), 
  REGEXMATCH(RawData_SemEval!$A$2:$A$398, ""(?i)"" &amp; $G$1), 
  REGEXMATCH(RawData_SemEval!$A$2:$A$398, ""(?i)gpt_only_title""), 
  REGEXMATCH(RawData_SemEva"&amp;"l!$A$2:$A$398, ""(?i)"" &amp; $B$6)
)"),0.227)</f>
        <v>0.227</v>
      </c>
    </row>
    <row r="46">
      <c r="A46" s="68" t="s">
        <v>102</v>
      </c>
      <c r="B46" s="4" t="s">
        <v>22</v>
      </c>
      <c r="C46" s="69">
        <f>IFERROR(__xludf.DUMMYFUNCTION("FILTER(RawData_SemEval!$B$2:$B$398, 
  REGEXMATCH(RawData_SemEval!$A$2:$A$398, ""(?i)"" &amp; $A$29), 
  REGEXMATCH(RawData_SemEval!$A$2:$A$398, ""(?i)"" &amp; $C$1), 
  REGEXMATCH(RawData_SemEval!$A$2:$A$398, ""(?i)gpt_title_description""), 
  NOT(REGEXMATCH(Raw"&amp;"Data_SemEval!$A$2:$A$398,  ""(?i)ensemble"")),NOT(REGEXMATCH(RawData_SemEval!$A$2:$A$398,  ""(?i)complete""))
)"),0.2652)</f>
        <v>0.2652</v>
      </c>
      <c r="D46" s="69">
        <f>IFERROR(__xludf.DUMMYFUNCTION("FILTER(RawData_SemEval!$F$2:$F$398, 
  REGEXMATCH(RawData_SemEval!$A$2:$A$398, ""(?i)"" &amp; $A$29), 
  REGEXMATCH(RawData_SemEval!$A$2:$A$398, ""(?i)"" &amp; $C$1), 
  REGEXMATCH(RawData_SemEval!$A$2:$A$398, ""(?i)gpt_title_description""), 
  NOT(REGEXMATCH(Raw"&amp;"Data_SemEval!$A$2:$A$398,  ""(?i)ensemble""))
)"),0.2544)</f>
        <v>0.2544</v>
      </c>
      <c r="E46" s="70">
        <f>IFERROR(__xludf.DUMMYFUNCTION("FILTER(RawData_SemEval!$B$2:$B$398, 
  REGEXMATCH(RawData_SemEval!$A$2:$A$398, ""(?i)"" &amp; $A$29), 
  REGEXMATCH(RawData_SemEval!$A$2:$A$398, ""(?i)"" &amp; $E$1), 
  REGEXMATCH(RawData_SemEval!$A$2:$A$398, ""(?i)gpt_title_description""), 
  NOT(REGEXMATCH(Raw"&amp;"Data_SemEval!$A$2:$A$398,  ""(?i)ensemble"")),NOT(REGEXMATCH(RawData_SemEval!$A$2:$A$398,  ""(?i)complete""))
)"),0.3716)</f>
        <v>0.3716</v>
      </c>
      <c r="F46" s="69">
        <f>IFERROR(__xludf.DUMMYFUNCTION("FILTER(RawData_SemEval!$F$2:$F$398, 
  REGEXMATCH(RawData_SemEval!$A$2:$A$398, ""(?i)"" &amp; $A$29), 
  REGEXMATCH(RawData_SemEval!$A$2:$A$398, ""(?i)"" &amp; $E$1), 
  REGEXMATCH(RawData_SemEval!$A$2:$A$398, ""(?i)gpt_title_description""), 
  NOT(REGEXMATCH(Raw"&amp;"Data_SemEval!$A$2:$A$398,  ""(?i)ensemble"")),NOT(REGEXMATCH(RawData_SemEval!$A$2:$A$398,  ""(?i)complete""))
)"),0.2182)</f>
        <v>0.2182</v>
      </c>
      <c r="G46" s="70">
        <f>IFERROR(__xludf.DUMMYFUNCTION("FILTER(RawData_SemEval!$B$2:$B$398, 
  REGEXMATCH(RawData_SemEval!$A$2:$A$398, ""(?i)"" &amp; $A$29), 
  REGEXMATCH(RawData_SemEval!$A$2:$A$398, ""(?i)"" &amp; $G$1), 
  REGEXMATCH(RawData_SemEval!$A$2:$A$398, ""(?i)gpt_title_description""), 
  NOT(REGEXMATCH(Raw"&amp;"Data_SemEval!$A$2:$A$398,  ""(?i)ensemble"")),NOT(REGEXMATCH(RawData_SemEval!$A$2:$A$398,  ""(?i)complete""))
)"),0.383)</f>
        <v>0.383</v>
      </c>
      <c r="H46" s="69">
        <f>IFERROR(__xludf.DUMMYFUNCTION("FILTER(RawData_SemEval!$F$2:$F$398, 
  REGEXMATCH(RawData_SemEval!$A$2:$A$398, ""(?i)"" &amp; $A$29), 
  REGEXMATCH(RawData_SemEval!$A$2:$A$398, ""(?i)"" &amp; $G$1), 
  REGEXMATCH(RawData_SemEval!$A$2:$A$398, ""(?i)gpt_title_description""), 
  NOT(REGEXMATCH(Raw"&amp;"Data_SemEval!$A$2:$A$398,  ""(?i)ensemble"")),NOT(REGEXMATCH(RawData_SemEval!$A$2:$A$398,  ""(?i)complete""))
)"),0.267599999999999)</f>
        <v>0.2676</v>
      </c>
    </row>
    <row r="47">
      <c r="A47" s="68"/>
      <c r="B47" s="4" t="s">
        <v>67</v>
      </c>
      <c r="C47" s="69">
        <f>IFERROR(__xludf.DUMMYFUNCTION("FILTER(RawData_SemEval!$B$2:$B$398, 
  REGEXMATCH(RawData_SemEval!$A$2:$A$398, ""(?i)"" &amp; $A$29), 
  REGEXMATCH(RawData_SemEval!$A$2:$A$398, ""(?i)"" &amp; $C$1), 
  REGEXMATCH(RawData_SemEval!$A$2:$A$398, ""(?i)gpt_title_description""), 
  REGEXMATCH(RawData"&amp;"_SemEval!$A$2:$A$398, ""(?i)"" &amp; $B$5),NOT(REGEXMATCH(RawData_SemEval!$A$2:$A$398,  ""(?i)complete""))
)"),0.276)</f>
        <v>0.276</v>
      </c>
      <c r="D47" s="69">
        <f>IFERROR(__xludf.DUMMYFUNCTION("FILTER(RawData_SemEval!$F$2:$F$398, 
  REGEXMATCH(RawData_SemEval!$A$2:$A$398, ""(?i)"" &amp; $A$29), 
  REGEXMATCH(RawData_SemEval!$A$2:$A$398, ""(?i)"" &amp; $C$1), 
  REGEXMATCH(RawData_SemEval!$A$2:$A$398, ""(?i)gpt_title_description""), 
  REGEXMATCH(RawData"&amp;"_SemEval!$A$2:$A$398, ""(?i)"" &amp; $B$5),NOT(REGEXMATCH(RawData_SemEval!$A$2:$A$398,  ""(?i)complete""))
)"),0.269)</f>
        <v>0.269</v>
      </c>
      <c r="E47" s="70">
        <f>IFERROR(__xludf.DUMMYFUNCTION("FILTER(RawData_SemEval!$B$2:$B$398, 
  REGEXMATCH(RawData_SemEval!$A$2:$A$398, ""(?i)"" &amp; $A$29), 
  REGEXMATCH(RawData_SemEval!$A$2:$A$398, ""(?i)"" &amp; $E$1), 
  REGEXMATCH(RawData_SemEval!$A$2:$A$398, ""(?i)gpt_title_description""), 
  REGEXMATCH(RawData"&amp;"_SemEval!$A$2:$A$398, ""(?i)"" &amp; $B$5),NOT(REGEXMATCH(RawData_SemEval!$A$2:$A$398,  ""(?i)complete""))
)"),0.394)</f>
        <v>0.394</v>
      </c>
      <c r="F47" s="69">
        <f>IFERROR(__xludf.DUMMYFUNCTION("FILTER(RawData_SemEval!$F$2:$F$398, 
  REGEXMATCH(RawData_SemEval!$A$2:$A$398, ""(?i)"" &amp; $A$29), 
  REGEXMATCH(RawData_SemEval!$A$2:$A$398, ""(?i)"" &amp; $E$1), 
  REGEXMATCH(RawData_SemEval!$A$2:$A$398, ""(?i)gpt_title_description""), 
  REGEXMATCH(RawData"&amp;"_SemEval!$A$2:$A$398, ""(?i)"" &amp; $B$5),NOT(REGEXMATCH(RawData_SemEval!$A$2:$A$398,  ""(?i)complete""))
)"),0.227)</f>
        <v>0.227</v>
      </c>
      <c r="G47" s="70">
        <f>IFERROR(__xludf.DUMMYFUNCTION("FILTER(RawData_SemEval!$B$2:$B$398, 
  REGEXMATCH(RawData_SemEval!$A$2:$A$398, ""(?i)"" &amp; $A$29), 
  REGEXMATCH(RawData_SemEval!$A$2:$A$398, ""(?i)"" &amp; $G$1), 
  REGEXMATCH(RawData_SemEval!$A$2:$A$398, ""(?i)gpt_title_description""), 
  REGEXMATCH(RawData"&amp;"_SemEval!$A$2:$A$398, ""(?i)"" &amp; $B$5),NOT(REGEXMATCH(RawData_SemEval!$A$2:$A$398,  ""(?i)complete""))
)"),0.376)</f>
        <v>0.376</v>
      </c>
      <c r="H47" s="69">
        <f>IFERROR(__xludf.DUMMYFUNCTION("FILTER(RawData_SemEval!$F$2:$F$398, 
  REGEXMATCH(RawData_SemEval!$A$2:$A$398, ""(?i)"" &amp; $A$29), 
  REGEXMATCH(RawData_SemEval!$A$2:$A$398, ""(?i)"" &amp; $G$1), 
  REGEXMATCH(RawData_SemEval!$A$2:$A$398, ""(?i)gpt_title_description""), 
  REGEXMATCH(RawData"&amp;"_SemEval!$A$2:$A$398, ""(?i)"" &amp; $B$5),NOT(REGEXMATCH(RawData_SemEval!$A$2:$A$398,  ""(?i)complete""))
)"),0.264)</f>
        <v>0.264</v>
      </c>
    </row>
    <row r="48">
      <c r="A48" s="68"/>
      <c r="B48" s="44" t="s">
        <v>68</v>
      </c>
      <c r="C48" s="71">
        <f>IFERROR(__xludf.DUMMYFUNCTION("FILTER(RawData_SemEval!$B$2:$B$398, 
  REGEXMATCH(RawData_SemEval!$A$2:$A$398, ""(?i)"" &amp; $A$29), 
  REGEXMATCH(RawData_SemEval!$A$2:$A$398, ""(?i)"" &amp; $C$1), 
  REGEXMATCH(RawData_SemEval!$A$2:$A$398, ""(?i)gpt_title_description""), 
  REGEXMATCH(RawData"&amp;"_SemEval!$A$2:$A$398, ""(?i)"" &amp; $B$6),NOT(REGEXMATCH(RawData_SemEval!$A$2:$A$398,  ""(?i)complete""))
)"),0.318)</f>
        <v>0.318</v>
      </c>
      <c r="D48" s="71">
        <f>IFERROR(__xludf.DUMMYFUNCTION("FILTER(RawData_SemEval!$F$2:$F$398, 
  REGEXMATCH(RawData_SemEval!$A$2:$A$398, ""(?i)"" &amp; $A$29), 
  REGEXMATCH(RawData_SemEval!$A$2:$A$398, ""(?i)"" &amp; $C$1), 
  REGEXMATCH(RawData_SemEval!$A$2:$A$398, ""(?i)gpt_title_description""), 
  REGEXMATCH(RawData"&amp;"_SemEval!$A$2:$A$398, ""(?i)"" &amp; $B$6),NOT(REGEXMATCH(RawData_SemEval!$A$2:$A$398,  ""(?i)complete""))
)"),0.272)</f>
        <v>0.272</v>
      </c>
      <c r="E48" s="72">
        <f>IFERROR(__xludf.DUMMYFUNCTION("FILTER(RawData_SemEval!$B$2:$B$398, 
  REGEXMATCH(RawData_SemEval!$A$2:$A$398, ""(?i)"" &amp; $A$29), 
  REGEXMATCH(RawData_SemEval!$A$2:$A$398, ""(?i)"" &amp; $E$1), 
  REGEXMATCH(RawData_SemEval!$A$2:$A$398, ""(?i)gpt_title_description""), 
  REGEXMATCH(RawData"&amp;"_SemEval!$A$2:$A$398, ""(?i)"" &amp; $B$6),NOT(REGEXMATCH(RawData_SemEval!$A$2:$A$398,  ""(?i)complete""))
)"),0.387)</f>
        <v>0.387</v>
      </c>
      <c r="F48" s="71">
        <f>IFERROR(__xludf.DUMMYFUNCTION("FILTER(RawData_SemEval!$F$2:$F$398, 
  REGEXMATCH(RawData_SemEval!$A$2:$A$398, ""(?i)"" &amp; $A$29), 
  REGEXMATCH(RawData_SemEval!$A$2:$A$398, ""(?i)"" &amp; $E$1), 
  REGEXMATCH(RawData_SemEval!$A$2:$A$398, ""(?i)gpt_title_description""), 
  REGEXMATCH(RawData"&amp;"_SemEval!$A$2:$A$398, ""(?i)"" &amp; $B$6),NOT(REGEXMATCH(RawData_SemEval!$A$2:$A$398,  ""(?i)complete""))
)"),0.225)</f>
        <v>0.225</v>
      </c>
      <c r="G48" s="72">
        <f>IFERROR(__xludf.DUMMYFUNCTION("FILTER(RawData_SemEval!$B$2:$B$398, 
  REGEXMATCH(RawData_SemEval!$A$2:$A$398, ""(?i)"" &amp; $A$29), 
  REGEXMATCH(RawData_SemEval!$A$2:$A$398, ""(?i)"" &amp; $G$1), 
  REGEXMATCH(RawData_SemEval!$A$2:$A$398, ""(?i)gpt_title_description""), 
  REGEXMATCH(RawData"&amp;"_SemEval!$A$2:$A$398, ""(?i)"" &amp; $B$6),NOT(REGEXMATCH(RawData_SemEval!$A$2:$A$398,  ""(?i)complete""))
)"),0.383)</f>
        <v>0.383</v>
      </c>
      <c r="H48" s="71">
        <f>IFERROR(__xludf.DUMMYFUNCTION("FILTER(RawData_SemEval!$F$2:$F$398, 
  REGEXMATCH(RawData_SemEval!$A$2:$A$398, ""(?i)"" &amp; $A$29), 
  REGEXMATCH(RawData_SemEval!$A$2:$A$398, ""(?i)"" &amp; $G$1), 
  REGEXMATCH(RawData_SemEval!$A$2:$A$398, ""(?i)gpt_title_description""), 
  REGEXMATCH(RawData"&amp;"_SemEval!$A$2:$A$398, ""(?i)"" &amp; $B$6),NOT(REGEXMATCH(RawData_SemEval!$A$2:$A$398,  ""(?i)complete""))
)"),0.263)</f>
        <v>0.263</v>
      </c>
    </row>
    <row r="49">
      <c r="A49" s="68" t="s">
        <v>103</v>
      </c>
      <c r="B49" s="4" t="s">
        <v>27</v>
      </c>
      <c r="C49" s="73"/>
      <c r="D49" s="73"/>
      <c r="E49" s="70">
        <f>IFERROR(__xludf.DUMMYFUNCTION("FILTER(RawData_SemEval!$B$2:$B$398, 
  REGEXMATCH(RawData_SemEval!$A$2:$A$398, ""(?i)"" &amp; $A$29), 
  REGEXMATCH(RawData_SemEval!$A$2:$A$398, ""(?i)"" &amp; $E$1), 
  REGEXMATCH(RawData_SemEval!$A$2:$A$398, ""(?i)gpt_title_description_complete""), 
  NOT(REGEX"&amp;"MATCH(RawData_SemEval!$A$2:$A$398,  ""(?i)ensemble""))
)"),0.3804)</f>
        <v>0.3804</v>
      </c>
      <c r="F49" s="69">
        <f>IFERROR(__xludf.DUMMYFUNCTION("FILTER(RawData_SemEval!$F$2:$F$398, 
  REGEXMATCH(RawData_SemEval!$A$2:$A$398, ""(?i)"" &amp; $A$29), 
  REGEXMATCH(RawData_SemEval!$A$2:$A$398, ""(?i)"" &amp; $E$1), 
  REGEXMATCH(RawData_SemEval!$A$2:$A$398, ""(?i)gpt_title_description_complete""), 
  NOT(REGEX"&amp;"MATCH(RawData_SemEval!$A$2:$A$398,  ""(?i)ensemble""))
)"),0.1926)</f>
        <v>0.1926</v>
      </c>
      <c r="G49" s="70">
        <f>IFERROR(__xludf.DUMMYFUNCTION("FILTER(RawData_SemEval!$B$2:$B$398, 
  REGEXMATCH(RawData_SemEval!$A$2:$A$398, ""(?i)"" &amp; $A$29), 
  REGEXMATCH(RawData_SemEval!$A$2:$A$398, ""(?i)"" &amp; $G$1), 
  REGEXMATCH(RawData_SemEval!$A$2:$A$398, ""(?i)gpt_title_description_complete""), 
  NOT(REGEX"&amp;"MATCH(RawData_SemEval!$A$2:$A$398,  ""(?i)ensemble""))
)"),0.2978)</f>
        <v>0.2978</v>
      </c>
      <c r="H49" s="69">
        <f>IFERROR(__xludf.DUMMYFUNCTION("FILTER(RawData_SemEval!$F$2:$F$398, 
  REGEXMATCH(RawData_SemEval!$A$2:$A$398, ""(?i)"" &amp; $A$29), 
  REGEXMATCH(RawData_SemEval!$A$2:$A$398, ""(?i)"" &amp; $G$1), 
  REGEXMATCH(RawData_SemEval!$A$2:$A$398, ""(?i)gpt_title_description_complete""), 
  NOT(REGEX"&amp;"MATCH(RawData_SemEval!$A$2:$A$398,  ""(?i)ensemble""))
)"),0.211399999999999)</f>
        <v>0.2114</v>
      </c>
    </row>
    <row r="50">
      <c r="A50" s="68"/>
      <c r="B50" s="4" t="s">
        <v>67</v>
      </c>
      <c r="C50" s="73"/>
      <c r="D50" s="73"/>
      <c r="E50" s="70">
        <f>IFERROR(__xludf.DUMMYFUNCTION("FILTER(RawData_SemEval!$B$2:$B$398, 
  REGEXMATCH(RawData_SemEval!$A$2:$A$398, ""(?i)"" &amp; $A$29), 
  REGEXMATCH(RawData_SemEval!$A$2:$A$398, ""(?i)"" &amp; $E$1), 
  REGEXMATCH(RawData_SemEval!$A$2:$A$398, ""(?i)gpt_title_description_complete""), 
  REGEXMATC"&amp;"H(RawData_SemEval!$A$2:$A$398, ""(?i)"" &amp; $B$5)
)"),0.384)</f>
        <v>0.384</v>
      </c>
      <c r="F50" s="69">
        <f>IFERROR(__xludf.DUMMYFUNCTION("FILTER(RawData_SemEval!$F$2:$F$398, 
  REGEXMATCH(RawData_SemEval!$A$2:$A$398, ""(?i)"" &amp; $A$29), 
  REGEXMATCH(RawData_SemEval!$A$2:$A$398, ""(?i)"" &amp; $E$1), 
  REGEXMATCH(RawData_SemEval!$A$2:$A$398, ""(?i)gpt_title_description_complete""), 
  REGEXMATC"&amp;"H(RawData_SemEval!$A$2:$A$398, ""(?i)"" &amp; $B$5)
)"),0.182)</f>
        <v>0.182</v>
      </c>
      <c r="G50" s="70">
        <f>IFERROR(__xludf.DUMMYFUNCTION("FILTER(RawData_SemEval!$B$2:$B$398, 
  REGEXMATCH(RawData_SemEval!$A$2:$A$398, ""(?i)"" &amp; $A$29), 
  REGEXMATCH(RawData_SemEval!$A$2:$A$398, ""(?i)"" &amp; $G$1), 
  REGEXMATCH(RawData_SemEval!$A$2:$A$398, ""(?i)gpt_title_description_complete""), 
  REGEXMATC"&amp;"H(RawData_SemEval!$A$2:$A$398, ""(?i)"" &amp; $B$5)
)"),0.307)</f>
        <v>0.307</v>
      </c>
      <c r="H50" s="69">
        <f>IFERROR(__xludf.DUMMYFUNCTION("FILTER(RawData_SemEval!$F$2:$F$398, 
  REGEXMATCH(RawData_SemEval!$A$2:$A$398, ""(?i)"" &amp; $A$29), 
  REGEXMATCH(RawData_SemEval!$A$2:$A$398, ""(?i)"" &amp; $G$1), 
  REGEXMATCH(RawData_SemEval!$A$2:$A$398, ""(?i)gpt_title_description_complete""), 
  REGEXMATC"&amp;"H(RawData_SemEval!$A$2:$A$398, ""(?i)"" &amp; $B$5)
)"),0.22)</f>
        <v>0.22</v>
      </c>
    </row>
    <row r="51">
      <c r="A51" s="75"/>
      <c r="B51" s="45" t="s">
        <v>68</v>
      </c>
      <c r="C51" s="74"/>
      <c r="D51" s="74"/>
      <c r="E51" s="72">
        <f>IFERROR(__xludf.DUMMYFUNCTION("FILTER(RawData_SemEval!$B$2:$B$398, 
  REGEXMATCH(RawData_SemEval!$A$2:$A$398, ""(?i)"" &amp; $A$29), 
  REGEXMATCH(RawData_SemEval!$A$2:$A$398, ""(?i)"" &amp; $E$1), 
  REGEXMATCH(RawData_SemEval!$A$2:$A$398, ""(?i)gpt_title_description_complete""), 
  REGEXMATC"&amp;"H(RawData_SemEval!$A$2:$A$398, ""(?i)"" &amp; $B$6)
)"),0.383)</f>
        <v>0.383</v>
      </c>
      <c r="F51" s="71">
        <f>IFERROR(__xludf.DUMMYFUNCTION("FILTER(RawData_SemEval!$F$2:$F$398, 
  REGEXMATCH(RawData_SemEval!$A$2:$A$398, ""(?i)"" &amp; $A$29), 
  REGEXMATCH(RawData_SemEval!$A$2:$A$398, ""(?i)"" &amp; $E$1), 
  REGEXMATCH(RawData_SemEval!$A$2:$A$398, ""(?i)gpt_title_description_complete""), 
  REGEXMATC"&amp;"H(RawData_SemEval!$A$2:$A$398, ""(?i)"" &amp; $B$6)
)"),0.214)</f>
        <v>0.214</v>
      </c>
      <c r="G51" s="72">
        <f>IFERROR(__xludf.DUMMYFUNCTION("FILTER(RawData_SemEval!$B$2:$B$398, 
  REGEXMATCH(RawData_SemEval!$A$2:$A$398, ""(?i)"" &amp; $A$29), 
  REGEXMATCH(RawData_SemEval!$A$2:$A$398, ""(?i)"" &amp; $G$1), 
  REGEXMATCH(RawData_SemEval!$A$2:$A$398, ""(?i)gpt_title_description_complete""), 
  REGEXMATC"&amp;"H(RawData_SemEval!$A$2:$A$398, ""(?i)"" &amp; $B$6)
)"),0.323)</f>
        <v>0.323</v>
      </c>
      <c r="H51" s="71">
        <f>IFERROR(__xludf.DUMMYFUNCTION("FILTER(RawData_SemEval!$F$2:$F$398, 
  REGEXMATCH(RawData_SemEval!$A$2:$A$398, ""(?i)"" &amp; $A$29), 
  REGEXMATCH(RawData_SemEval!$A$2:$A$398, ""(?i)"" &amp; $G$1), 
  REGEXMATCH(RawData_SemEval!$A$2:$A$398, ""(?i)gpt_title_description_complete""), 
  REGEXMATC"&amp;"H(RawData_SemEval!$A$2:$A$398, ""(?i)"" &amp; $B$6)
)"),0.224)</f>
        <v>0.224</v>
      </c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>
      <c r="A52" s="4" t="s">
        <v>104</v>
      </c>
      <c r="B52" s="40" t="s">
        <v>9</v>
      </c>
      <c r="C52" s="69">
        <f>IFERROR(__xludf.DUMMYFUNCTION("FILTER(RawData_SemEval!$B$2:$B$398, 
  REGEXMATCH(RawData_SemEval!$A$2:$A$398, ""(?i)"" &amp; $A$53), 
  REGEXMATCH(RawData_SemEval!$A$2:$A$398, ""(?i)"" &amp; $C$1), 
  REGEXMATCH(RawData_SemEval!$A$2:$A$398, ""(?i)"" &amp; $B$4), 
  NOT(REGEXMATCH(RawData_SemEval!$"&amp;"A$2:$A$398,  ""(?i)ensemble""))
)"),0.2604)</f>
        <v>0.2604</v>
      </c>
      <c r="D52" s="69">
        <f>IFERROR(__xludf.DUMMYFUNCTION("FILTER(RawData_SemEval!$F$2:$F$398, 
  REGEXMATCH(RawData_SemEval!$A$2:$A$398, ""(?i)"" &amp; $A$53), 
  REGEXMATCH(RawData_SemEval!$A$2:$A$398, ""(?i)"" &amp; $C$1), 
  REGEXMATCH(RawData_SemEval!$A$2:$A$398, ""(?i)"" &amp; $B$4), 
  NOT(REGEXMATCH(RawData_SemEval!$"&amp;"A$2:$A$398,  ""(?i)ensemble""))
)"),0.1682)</f>
        <v>0.1682</v>
      </c>
      <c r="E52" s="70">
        <f>IFERROR(__xludf.DUMMYFUNCTION("FILTER(RawData_SemEval!$B$2:$B$398, 
  REGEXMATCH(RawData_SemEval!$A$2:$A$398, ""(?i)"" &amp; $A$53), 
  REGEXMATCH(RawData_SemEval!$A$2:$A$398, ""(?i)"" &amp; $E$1), 
  REGEXMATCH(RawData_SemEval!$A$2:$A$398, ""(?i)"" &amp; $B$4), 
  NOT(REGEXMATCH(RawData_SemEval!$"&amp;"A$2:$A$398,  ""(?i)ensemble""))
)"),0.363199999999999)</f>
        <v>0.3632</v>
      </c>
      <c r="F52" s="69">
        <f>IFERROR(__xludf.DUMMYFUNCTION("FILTER(RawData_SemEval!$F$2:$F$398, 
  REGEXMATCH(RawData_SemEval!$A$2:$A$398, ""(?i)"" &amp; $A$53), 
  REGEXMATCH(RawData_SemEval!$A$2:$A$398, ""(?i)"" &amp; $E$1), 
  REGEXMATCH(RawData_SemEval!$A$2:$A$398, ""(?i)"" &amp; $B$4), 
  NOT(REGEXMATCH(RawData_SemEval!$"&amp;"A$2:$A$398,  ""(?i)ensemble""))
)"),0.1464)</f>
        <v>0.1464</v>
      </c>
      <c r="G52" s="70">
        <f>IFERROR(__xludf.DUMMYFUNCTION("FILTER(RawData_SemEval!$B$2:$B$398, 
  REGEXMATCH(RawData_SemEval!$A$2:$A$398, ""(?i)"" &amp; $A$53), 
  REGEXMATCH(RawData_SemEval!$A$2:$A$398, ""(?i)"" &amp; $G$1), 
  REGEXMATCH(RawData_SemEval!$A$2:$A$398, ""(?i)"" &amp; $B$4), 
  NOT(REGEXMATCH(RawData_SemEval!$"&amp;"A$2:$A$398,  ""(?i)ensemble""))
)"),0.3482)</f>
        <v>0.3482</v>
      </c>
      <c r="H52" s="69">
        <f>IFERROR(__xludf.DUMMYFUNCTION("FILTER(RawData_SemEval!$F$2:$F$398, 
  REGEXMATCH(RawData_SemEval!$A$2:$A$398, ""(?i)"" &amp; $A$53), 
  REGEXMATCH(RawData_SemEval!$A$2:$A$398, ""(?i)"" &amp; $G$1), 
  REGEXMATCH(RawData_SemEval!$A$2:$A$398, ""(?i)"" &amp; $B$4), 
  NOT(REGEXMATCH(RawData_SemEval!$"&amp;"A$2:$A$398,  ""(?i)ensemble""))
)"),0.2128)</f>
        <v>0.2128</v>
      </c>
    </row>
    <row r="53">
      <c r="A53" s="68" t="s">
        <v>6</v>
      </c>
      <c r="B53" s="40" t="s">
        <v>67</v>
      </c>
      <c r="C53" s="69">
        <f>IFERROR(__xludf.DUMMYFUNCTION("FILTER(RawData_SemEval!$B$2:$B$398, 
  REGEXMATCH(RawData_SemEval!$A$2:$A$398, ""(?i)"" &amp; $A$53), 
  REGEXMATCH(RawData_SemEval!$A$2:$A$398, ""(?i)"" &amp; $C$1), 
  REGEXMATCH(RawData_SemEval!$A$2:$A$398, ""(?i)"" &amp; $B$4), 
  REGEXMATCH(RawData_SemEval!$A$2:"&amp;"$A$398, ""(?i)"" &amp; $B$5)
)"),0.234)</f>
        <v>0.234</v>
      </c>
      <c r="D53" s="69">
        <f>IFERROR(__xludf.DUMMYFUNCTION("FILTER(RawData_SemEval!$F$2:$F$398, 
  REGEXMATCH(RawData_SemEval!$A$2:$A$398, ""(?i)"" &amp; $A$53), 
  REGEXMATCH(RawData_SemEval!$A$2:$A$398, ""(?i)"" &amp; $C$1), 
  REGEXMATCH(RawData_SemEval!$A$2:$A$398, ""(?i)"" &amp; $B$4), 
  REGEXMATCH(RawData_SemEval!$A$2:"&amp;"$A$398, ""(?i)"" &amp; $B$5)
)"),0.186)</f>
        <v>0.186</v>
      </c>
      <c r="E53" s="70">
        <f>IFERROR(__xludf.DUMMYFUNCTION("FILTER(RawData_SemEval!$B$2:$B$398, 
  REGEXMATCH(RawData_SemEval!$A$2:$A$398, ""(?i)"" &amp; $A$53), 
  REGEXMATCH(RawData_SemEval!$A$2:$A$398, ""(?i)"" &amp; $E$1), 
  REGEXMATCH(RawData_SemEval!$A$2:$A$398, ""(?i)"" &amp; $B$4), 
  REGEXMATCH(RawData_SemEval!$A$2:"&amp;"$A$398, ""(?i)"" &amp; $B$5)
)"),0.357)</f>
        <v>0.357</v>
      </c>
      <c r="F53" s="69">
        <f>IFERROR(__xludf.DUMMYFUNCTION("FILTER(RawData_SemEval!$F$2:$F$398, 
  REGEXMATCH(RawData_SemEval!$A$2:$A$398, ""(?i)"" &amp; $A$53), 
  REGEXMATCH(RawData_SemEval!$A$2:$A$398, ""(?i)"" &amp; $E$1), 
  REGEXMATCH(RawData_SemEval!$A$2:$A$398, ""(?i)"" &amp; $B$4), 
  REGEXMATCH(RawData_SemEval!$A$2:"&amp;"$A$398, ""(?i)"" &amp; $B$5)
)"),0.147)</f>
        <v>0.147</v>
      </c>
      <c r="G53" s="70">
        <f>IFERROR(__xludf.DUMMYFUNCTION("FILTER(RawData_SemEval!$B$2:$B$398, 
  REGEXMATCH(RawData_SemEval!$A$2:$A$398, ""(?i)"" &amp; $A$53), 
  REGEXMATCH(RawData_SemEval!$A$2:$A$398, ""(?i)"" &amp; $G$1), 
  REGEXMATCH(RawData_SemEval!$A$2:$A$398, ""(?i)"" &amp; $B$4), 
  REGEXMATCH(RawData_SemEval!$A$2:"&amp;"$A$398, ""(?i)"" &amp; $B$5)
)"),0.372)</f>
        <v>0.372</v>
      </c>
      <c r="H53" s="69">
        <f>IFERROR(__xludf.DUMMYFUNCTION("FILTER(RawData_SemEval!$F$2:$F$398, 
  REGEXMATCH(RawData_SemEval!$A$2:$A$398, ""(?i)"" &amp; $A$53), 
  REGEXMATCH(RawData_SemEval!$A$2:$A$398, ""(?i)"" &amp; $G$1), 
  REGEXMATCH(RawData_SemEval!$A$2:$A$398, ""(?i)"" &amp; $B$4), 
  REGEXMATCH(RawData_SemEval!$A$2:"&amp;"$A$398, ""(?i)"" &amp; $B$5)
)"),0.229)</f>
        <v>0.229</v>
      </c>
    </row>
    <row r="54">
      <c r="A54" s="68"/>
      <c r="B54" s="44" t="s">
        <v>68</v>
      </c>
      <c r="C54" s="71">
        <f>IFERROR(__xludf.DUMMYFUNCTION("FILTER(RawData_SemEval!$B$2:$B$398, 
  REGEXMATCH(RawData_SemEval!$A$2:$A$398, ""(?i)"" &amp; $A$53), 
  REGEXMATCH(RawData_SemEval!$A$2:$A$398, ""(?i)"" &amp; $C$1), 
  REGEXMATCH(RawData_SemEval!$A$2:$A$398, ""(?i)"" &amp; $B$4), 
  REGEXMATCH(RawData_SemEval!$A$2:"&amp;"$A$398, ""(?i)"" &amp; $B$6)
)"),0.343)</f>
        <v>0.343</v>
      </c>
      <c r="D54" s="71">
        <f>IFERROR(__xludf.DUMMYFUNCTION("FILTER(RawData_SemEval!$F$2:$F$398, 
  REGEXMATCH(RawData_SemEval!$A$2:$A$398, ""(?i)"" &amp; $A$53), 
  REGEXMATCH(RawData_SemEval!$A$2:$A$398, ""(?i)"" &amp; $C$1), 
  REGEXMATCH(RawData_SemEval!$A$2:$A$398, ""(?i)"" &amp; $B$4), 
  REGEXMATCH(RawData_SemEval!$A$2:"&amp;"$A$398, ""(?i)"" &amp; $B$6)
)"),0.188)</f>
        <v>0.188</v>
      </c>
      <c r="E54" s="72">
        <f>IFERROR(__xludf.DUMMYFUNCTION("FILTER(RawData_SemEval!$B$2:$B$398, 
  REGEXMATCH(RawData_SemEval!$A$2:$A$398, ""(?i)"" &amp; $A$53), 
  REGEXMATCH(RawData_SemEval!$A$2:$A$398, ""(?i)"" &amp; $E$1), 
  REGEXMATCH(RawData_SemEval!$A$2:$A$398, ""(?i)"" &amp; $B$4), 
  REGEXMATCH(RawData_SemEval!$A$2:"&amp;"$A$398, ""(?i)"" &amp; $B$6)
)"),0.383)</f>
        <v>0.383</v>
      </c>
      <c r="F54" s="71">
        <f>IFERROR(__xludf.DUMMYFUNCTION("FILTER(RawData_SemEval!$F$2:$F$398, 
  REGEXMATCH(RawData_SemEval!$A$2:$A$398, ""(?i)"" &amp; $A$53), 
  REGEXMATCH(RawData_SemEval!$A$2:$A$398, ""(?i)"" &amp; $E$1), 
  REGEXMATCH(RawData_SemEval!$A$2:$A$398, ""(?i)"" &amp; $B$4), 
  REGEXMATCH(RawData_SemEval!$A$2:"&amp;"$A$398, ""(?i)"" &amp; $B$6)
)"),0.177)</f>
        <v>0.177</v>
      </c>
      <c r="G54" s="72">
        <f>IFERROR(__xludf.DUMMYFUNCTION("FILTER(RawData_SemEval!$B$2:$B$398, 
  REGEXMATCH(RawData_SemEval!$A$2:$A$398, ""(?i)"" &amp; $A$53), 
  REGEXMATCH(RawData_SemEval!$A$2:$A$398, ""(?i)"" &amp; $G$1), 
  REGEXMATCH(RawData_SemEval!$A$2:$A$398, ""(?i)"" &amp; $B$4), 
  REGEXMATCH(RawData_SemEval!$A$2:"&amp;"$A$398, ""(?i)"" &amp; $B$6)
)"),0.351)</f>
        <v>0.351</v>
      </c>
      <c r="H54" s="71">
        <f>IFERROR(__xludf.DUMMYFUNCTION("FILTER(RawData_SemEval!$F$2:$F$398, 
  REGEXMATCH(RawData_SemEval!$A$2:$A$398, ""(?i)"" &amp; $A$53), 
  REGEXMATCH(RawData_SemEval!$A$2:$A$398, ""(?i)"" &amp; $G$1), 
  REGEXMATCH(RawData_SemEval!$A$2:$A$398, ""(?i)"" &amp; $B$4), 
  REGEXMATCH(RawData_SemEval!$A$2:"&amp;"$A$398, ""(?i)"" &amp; $B$6)
)"),0.217)</f>
        <v>0.217</v>
      </c>
    </row>
    <row r="55">
      <c r="A55" s="68" t="s">
        <v>105</v>
      </c>
      <c r="B55" s="4" t="s">
        <v>11</v>
      </c>
      <c r="C55" s="69">
        <f>IFERROR(__xludf.DUMMYFUNCTION("FILTER(RawData_SemEval!$B$2:$B$398, 
  REGEXMATCH(RawData_SemEval!$A$2:$A$398, ""(?i)"" &amp; $A$53), 
  REGEXMATCH(RawData_SemEval!$A$2:$A$398, ""(?i)"" &amp; $C$1), 
  REGEXMATCH(RawData_SemEval!$A$2:$A$398, ""(?i)"" &amp; $B$7), 
  NOT(REGEXMATCH(RawData_SemEval!$"&amp;"A$2:$A$398,  ""(?i)ensemble""))
)"),0.2748)</f>
        <v>0.2748</v>
      </c>
      <c r="D55" s="69">
        <f>IFERROR(__xludf.DUMMYFUNCTION("FILTER(RawData_SemEval!$F$2:$F$398, 
  REGEXMATCH(RawData_SemEval!$A$2:$A$398, ""(?i)"" &amp; $A$53), 
  REGEXMATCH(RawData_SemEval!$A$2:$A$398, ""(?i)"" &amp; $C$1), 
  REGEXMATCH(RawData_SemEval!$A$2:$A$398, ""(?i)"" &amp; $B$7), 
  NOT(REGEXMATCH(RawData_SemEval!$"&amp;"A$2:$A$398,  ""(?i)ensemble""))
)"),0.187199999999999)</f>
        <v>0.1872</v>
      </c>
      <c r="E55" s="70">
        <f>IFERROR(__xludf.DUMMYFUNCTION("FILTER(RawData_SemEval!$B$2:$B$398, 
  REGEXMATCH(RawData_SemEval!$A$2:$A$398, ""(?i)"" &amp; $A$53), 
  REGEXMATCH(RawData_SemEval!$A$2:$A$398, ""(?i)"" &amp; $E$1), 
  REGEXMATCH(RawData_SemEval!$A$2:$A$398, ""(?i)"" &amp; $B$7), 
  NOT(REGEXMATCH(RawData_SemEval!$"&amp;"A$2:$A$398,  ""(?i)ensemble""))
)"),0.3398)</f>
        <v>0.3398</v>
      </c>
      <c r="F55" s="69">
        <f>IFERROR(__xludf.DUMMYFUNCTION("FILTER(RawData_SemEval!$F$2:$F$398, 
  REGEXMATCH(RawData_SemEval!$A$2:$A$398, ""(?i)"" &amp; $A$53), 
  REGEXMATCH(RawData_SemEval!$A$2:$A$398, ""(?i)"" &amp; $E$1), 
  REGEXMATCH(RawData_SemEval!$A$2:$A$398, ""(?i)"" &amp; $B$7), 
  NOT(REGEXMATCH(RawData_SemEval!$"&amp;"A$2:$A$398,  ""(?i)ensemble""))
)"),0.1402)</f>
        <v>0.1402</v>
      </c>
      <c r="G55" s="70">
        <f>IFERROR(__xludf.DUMMYFUNCTION("FILTER(RawData_SemEval!$B$2:$B$398, 
  REGEXMATCH(RawData_SemEval!$A$2:$A$398, ""(?i)"" &amp; $A$53), 
  REGEXMATCH(RawData_SemEval!$A$2:$A$398, ""(?i)"" &amp; $G$1), 
  REGEXMATCH(RawData_SemEval!$A$2:$A$398, ""(?i)"" &amp; $B$7), 
  NOT(REGEXMATCH(RawData_SemEval!$"&amp;"A$2:$A$398,  ""(?i)ensemble""))
)"),0.3434)</f>
        <v>0.3434</v>
      </c>
      <c r="H55" s="69">
        <f>IFERROR(__xludf.DUMMYFUNCTION("FILTER(RawData_SemEval!$F$2:$F$398, 
  REGEXMATCH(RawData_SemEval!$A$2:$A$398, ""(?i)"" &amp; $A$53), 
  REGEXMATCH(RawData_SemEval!$A$2:$A$398, ""(?i)"" &amp; $G$1), 
  REGEXMATCH(RawData_SemEval!$A$2:$A$398, ""(?i)"" &amp; $B$7), 
  NOT(REGEXMATCH(RawData_SemEval!$"&amp;"A$2:$A$398,  ""(?i)ensemble""))
)"),0.2124)</f>
        <v>0.2124</v>
      </c>
    </row>
    <row r="56">
      <c r="A56" s="68"/>
      <c r="B56" s="4" t="s">
        <v>67</v>
      </c>
      <c r="C56" s="69">
        <f>IFERROR(__xludf.DUMMYFUNCTION("FILTER(RawData_SemEval!$B$2:$B$398, 
  REGEXMATCH(RawData_SemEval!$A$2:$A$398, ""(?i)"" &amp; $A$53), 
  REGEXMATCH(RawData_SemEval!$A$2:$A$398, ""(?i)"" &amp; $C$1), 
  REGEXMATCH(RawData_SemEval!$A$2:$A$398, ""(?i)"" &amp; $B$7), 
  REGEXMATCH(RawData_SemEval!$A$2:"&amp;"$A$398, ""(?i)"" &amp; $B$5)
)"),0.344)</f>
        <v>0.344</v>
      </c>
      <c r="D56" s="69">
        <f>IFERROR(__xludf.DUMMYFUNCTION("FILTER(RawData_SemEval!$F$2:$F$398, 
  REGEXMATCH(RawData_SemEval!$A$2:$A$398, ""(?i)"" &amp; $A$53), 
  REGEXMATCH(RawData_SemEval!$A$2:$A$398, ""(?i)"" &amp; $C$1), 
  REGEXMATCH(RawData_SemEval!$A$2:$A$398, ""(?i)"" &amp; $B$7), 
  REGEXMATCH(RawData_SemEval!$A$2:"&amp;"$A$398, ""(?i)"" &amp; $B$5)
)"),0.301)</f>
        <v>0.301</v>
      </c>
      <c r="E56" s="70">
        <f>IFERROR(__xludf.DUMMYFUNCTION("FILTER(RawData_SemEval!$B$2:$B$398, 
  REGEXMATCH(RawData_SemEval!$A$2:$A$398, ""(?i)"" &amp; $A$53), 
  REGEXMATCH(RawData_SemEval!$A$2:$A$398, ""(?i)"" &amp; $E$1), 
  REGEXMATCH(RawData_SemEval!$A$2:$A$398, ""(?i)"" &amp; $B$7), 
  REGEXMATCH(RawData_SemEval!$A$2:"&amp;"$A$398, ""(?i)"" &amp; $B$5)
)"),0.359)</f>
        <v>0.359</v>
      </c>
      <c r="F56" s="69">
        <f>IFERROR(__xludf.DUMMYFUNCTION("FILTER(RawData_SemEval!$F$2:$F$398, 
  REGEXMATCH(RawData_SemEval!$A$2:$A$398, ""(?i)"" &amp; $A$53), 
  REGEXMATCH(RawData_SemEval!$A$2:$A$398, ""(?i)"" &amp; $E$1), 
  REGEXMATCH(RawData_SemEval!$A$2:$A$398, ""(?i)"" &amp; $B$7), 
  REGEXMATCH(RawData_SemEval!$A$2:"&amp;"$A$398, ""(?i)"" &amp; $B$5)
)"),0.155)</f>
        <v>0.155</v>
      </c>
      <c r="G56" s="70">
        <f>IFERROR(__xludf.DUMMYFUNCTION("FILTER(RawData_SemEval!$B$2:$B$398, 
  REGEXMATCH(RawData_SemEval!$A$2:$A$398, ""(?i)"" &amp; $A$53), 
  REGEXMATCH(RawData_SemEval!$A$2:$A$398, ""(?i)"" &amp; $G$1), 
  REGEXMATCH(RawData_SemEval!$A$2:$A$398, ""(?i)"" &amp; $B$7), 
  REGEXMATCH(RawData_SemEval!$A$2:"&amp;"$A$398, ""(?i)"" &amp; $B$5)
)"),0.36)</f>
        <v>0.36</v>
      </c>
      <c r="H56" s="69">
        <f>IFERROR(__xludf.DUMMYFUNCTION("FILTER(RawData_SemEval!$F$2:$F$398, 
  REGEXMATCH(RawData_SemEval!$A$2:$A$398, ""(?i)"" &amp; $A$53), 
  REGEXMATCH(RawData_SemEval!$A$2:$A$398, ""(?i)"" &amp; $G$1), 
  REGEXMATCH(RawData_SemEval!$A$2:$A$398, ""(?i)"" &amp; $B$7), 
  REGEXMATCH(RawData_SemEval!$A$2:"&amp;"$A$398, ""(?i)"" &amp; $B$5)
)"),0.213)</f>
        <v>0.213</v>
      </c>
    </row>
    <row r="57">
      <c r="A57" s="68"/>
      <c r="B57" s="44" t="s">
        <v>68</v>
      </c>
      <c r="C57" s="71">
        <f>IFERROR(__xludf.DUMMYFUNCTION("FILTER(RawData_SemEval!$B$2:$B$398, 
  REGEXMATCH(RawData_SemEval!$A$2:$A$398, ""(?i)"" &amp; $A$53), 
  REGEXMATCH(RawData_SemEval!$A$2:$A$398, ""(?i)"" &amp; $C$1), 
  REGEXMATCH(RawData_SemEval!$A$2:$A$398, ""(?i)"" &amp; $B$7), 
  REGEXMATCH(RawData_SemEval!$A$2:"&amp;"$A$398, ""(?i)"" &amp; $B$6)
)"),0.329)</f>
        <v>0.329</v>
      </c>
      <c r="D57" s="71">
        <f>IFERROR(__xludf.DUMMYFUNCTION("FILTER(RawData_SemEval!$F$2:$F$398, 
  REGEXMATCH(RawData_SemEval!$A$2:$A$398, ""(?i)"" &amp; $A$53), 
  REGEXMATCH(RawData_SemEval!$A$2:$A$398, ""(?i)"" &amp; $C$1), 
  REGEXMATCH(RawData_SemEval!$A$2:$A$398, ""(?i)"" &amp; $B$7), 
  REGEXMATCH(RawData_SemEval!$A$2:"&amp;"$A$398, ""(?i)"" &amp; $B$6)
)"),0.185)</f>
        <v>0.185</v>
      </c>
      <c r="E57" s="72">
        <f>IFERROR(__xludf.DUMMYFUNCTION("FILTER(RawData_SemEval!$B$2:$B$398, 
  REGEXMATCH(RawData_SemEval!$A$2:$A$398, ""(?i)"" &amp; $A$53), 
  REGEXMATCH(RawData_SemEval!$A$2:$A$398, ""(?i)"" &amp; $E$1), 
  REGEXMATCH(RawData_SemEval!$A$2:$A$398, ""(?i)"" &amp; $B$7), 
  REGEXMATCH(RawData_SemEval!$A$2:"&amp;"$A$398, ""(?i)"" &amp; $B$6)
)"),0.339)</f>
        <v>0.339</v>
      </c>
      <c r="F57" s="71">
        <f>IFERROR(__xludf.DUMMYFUNCTION("FILTER(RawData_SemEval!$F$2:$F$398, 
  REGEXMATCH(RawData_SemEval!$A$2:$A$398, ""(?i)"" &amp; $A$53), 
  REGEXMATCH(RawData_SemEval!$A$2:$A$398, ""(?i)"" &amp; $E$1), 
  REGEXMATCH(RawData_SemEval!$A$2:$A$398, ""(?i)"" &amp; $B$7), 
  REGEXMATCH(RawData_SemEval!$A$2:"&amp;"$A$398, ""(?i)"" &amp; $B$6)
)"),0.151)</f>
        <v>0.151</v>
      </c>
      <c r="G57" s="72">
        <f>IFERROR(__xludf.DUMMYFUNCTION("FILTER(RawData_SemEval!$B$2:$B$398, 
  REGEXMATCH(RawData_SemEval!$A$2:$A$398, ""(?i)"" &amp; $A$53), 
  REGEXMATCH(RawData_SemEval!$A$2:$A$398, ""(?i)"" &amp; $G$1), 
  REGEXMATCH(RawData_SemEval!$A$2:$A$398, ""(?i)"" &amp; $B$7), 
  REGEXMATCH(RawData_SemEval!$A$2:"&amp;"$A$398, ""(?i)"" &amp; $B$6)
)"),0.374)</f>
        <v>0.374</v>
      </c>
      <c r="H57" s="71">
        <f>IFERROR(__xludf.DUMMYFUNCTION("FILTER(RawData_SemEval!$F$2:$F$398, 
  REGEXMATCH(RawData_SemEval!$A$2:$A$398, ""(?i)"" &amp; $A$53), 
  REGEXMATCH(RawData_SemEval!$A$2:$A$398, ""(?i)"" &amp; $G$1), 
  REGEXMATCH(RawData_SemEval!$A$2:$A$398, ""(?i)"" &amp; $B$7), 
  REGEXMATCH(RawData_SemEval!$A$2:"&amp;"$A$398, ""(?i)"" &amp; $B$6)
)"),0.242)</f>
        <v>0.242</v>
      </c>
    </row>
    <row r="58">
      <c r="A58" s="68" t="s">
        <v>106</v>
      </c>
      <c r="B58" s="4" t="s">
        <v>15</v>
      </c>
      <c r="C58" s="69">
        <f>IFERROR(__xludf.DUMMYFUNCTION("FILTER(RawData_SemEval!$B$2:$B$398, 
  REGEXMATCH(RawData_SemEval!$A$2:$A$398, ""(?i)"" &amp; $A$58), 
  REGEXMATCH(RawData_SemEval!$A$2:$A$398, ""(?i)"" &amp; $C$1), 
  REGEXMATCH(RawData_SemEval!$A$2:$A$398, ""(?i)"" &amp; $A$53), 
  NOT(REGEXMATCH(RawData_SemEval!"&amp;"$A$2:$A$398,  ""(?i)ensemble""))
)"),0.1898)</f>
        <v>0.1898</v>
      </c>
      <c r="D58" s="69">
        <f>IFERROR(__xludf.DUMMYFUNCTION("FILTER(RawData_SemEval!$F$2:$F$398, 
  REGEXMATCH(RawData_SemEval!$A$2:$A$398, ""(?i)"" &amp; $A$58), 
  REGEXMATCH(RawData_SemEval!$A$2:$A$398, ""(?i)"" &amp; $C$1), 
  REGEXMATCH(RawData_SemEval!$A$2:$A$398, ""(?i)"" &amp; $A$53), 
  NOT(REGEXMATCH(RawData_SemEval!"&amp;"$A$2:$A$398,  ""(?i)ensemble""))
)"),0.1254)</f>
        <v>0.1254</v>
      </c>
      <c r="E58" s="70">
        <f>IFERROR(__xludf.DUMMYFUNCTION("FILTER(RawData_SemEval!$B$2:$B$398, 
  REGEXMATCH(RawData_SemEval!$A$2:$A$398, ""(?i)"" &amp; $A$58), 
  REGEXMATCH(RawData_SemEval!$A$2:$A$398, ""(?i)"" &amp; $E$1), 
  REGEXMATCH(RawData_SemEval!$A$2:$A$398, ""(?i)"" &amp; $A$53), 
  NOT(REGEXMATCH(RawData_SemEval!"&amp;"$A$2:$A$398,  ""(?i)ensemble""))
)"),0.3014)</f>
        <v>0.3014</v>
      </c>
      <c r="F58" s="69">
        <f>IFERROR(__xludf.DUMMYFUNCTION("FILTER(RawData_SemEval!$F$2:$F$398, 
  REGEXMATCH(RawData_SemEval!$A$2:$A$398, ""(?i)"" &amp; $A$58), 
  REGEXMATCH(RawData_SemEval!$A$2:$A$398, ""(?i)"" &amp; $E$1), 
  REGEXMATCH(RawData_SemEval!$A$2:$A$398, ""(?i)"" &amp; $A$53), 
  NOT(REGEXMATCH(RawData_SemEval!"&amp;"$A$2:$A$398,  ""(?i)ensemble""))
)"),0.1844)</f>
        <v>0.1844</v>
      </c>
      <c r="G58" s="70">
        <f>IFERROR(__xludf.DUMMYFUNCTION("FILTER(RawData_SemEval!$B$2:$B$398, 
  REGEXMATCH(RawData_SemEval!$A$2:$A$398, ""(?i)"" &amp; $A$58), 
  REGEXMATCH(RawData_SemEval!$A$2:$A$398, ""(?i)"" &amp; $G$1), 
  REGEXMATCH(RawData_SemEval!$A$2:$A$398, ""(?i)"" &amp; $A$53), 
  NOT(REGEXMATCH(RawData_SemEval!"&amp;"$A$2:$A$398,  ""(?i)ensemble""))
)"),0.3016)</f>
        <v>0.3016</v>
      </c>
      <c r="H58" s="69">
        <f>IFERROR(__xludf.DUMMYFUNCTION("FILTER(RawData_SemEval!$F$2:$F$398, 
  REGEXMATCH(RawData_SemEval!$A$2:$A$398, ""(?i)"" &amp; $A$58), 
  REGEXMATCH(RawData_SemEval!$A$2:$A$398, ""(?i)"" &amp; $G$1), 
  REGEXMATCH(RawData_SemEval!$A$2:$A$398, ""(?i)"" &amp; $A$53), 
  NOT(REGEXMATCH(RawData_SemEval!"&amp;"$A$2:$A$398,  ""(?i)ensemble""))
)"),0.1792)</f>
        <v>0.1792</v>
      </c>
    </row>
    <row r="59">
      <c r="A59" s="68"/>
      <c r="B59" s="4" t="s">
        <v>67</v>
      </c>
      <c r="C59" s="69">
        <f>IFERROR(__xludf.DUMMYFUNCTION("FILTER(RawData_SemEval!$B$2:$B$398, 
  REGEXMATCH(RawData_SemEval!$A$2:$A$398, ""(?i)"" &amp; $A$58), 
  REGEXMATCH(RawData_SemEval!$A$2:$A$398, ""(?i)"" &amp; $C$1), 
  REGEXMATCH(RawData_SemEval!$A$2:$A$398, ""(?i)"" &amp; $A$53), 
  REGEXMATCH(RawData_SemEval!$A$2"&amp;":$A$398, ""(?i)"" &amp; $B$5)
)"),0.157)</f>
        <v>0.157</v>
      </c>
      <c r="D59" s="69">
        <f>IFERROR(__xludf.DUMMYFUNCTION("FILTER(RawData_SemEval!$F$2:$F$398, 
  REGEXMATCH(RawData_SemEval!$A$2:$A$398, ""(?i)"" &amp; $A$58), 
  REGEXMATCH(RawData_SemEval!$A$2:$A$398, ""(?i)"" &amp; $C$1), 
  REGEXMATCH(RawData_SemEval!$A$2:$A$398, ""(?i)"" &amp; $A$53), 
  REGEXMATCH(RawData_SemEval!$A$2"&amp;":$A$398, ""(?i)"" &amp; $B$5)
)"),0.121)</f>
        <v>0.121</v>
      </c>
      <c r="E59" s="70">
        <f>IFERROR(__xludf.DUMMYFUNCTION("FILTER(RawData_SemEval!$B$2:$B$398, 
  REGEXMATCH(RawData_SemEval!$A$2:$A$398, ""(?i)"" &amp; $A$58), 
  REGEXMATCH(RawData_SemEval!$A$2:$A$398, ""(?i)"" &amp; $E$1), 
  REGEXMATCH(RawData_SemEval!$A$2:$A$398, ""(?i)"" &amp; $A$53), 
  REGEXMATCH(RawData_SemEval!$A$2"&amp;":$A$398, ""(?i)"" &amp; $B$5)
)"),0.323)</f>
        <v>0.323</v>
      </c>
      <c r="F59" s="69">
        <f>IFERROR(__xludf.DUMMYFUNCTION("FILTER(RawData_SemEval!$F$2:$F$398, 
  REGEXMATCH(RawData_SemEval!$A$2:$A$398, ""(?i)"" &amp; $A$58), 
  REGEXMATCH(RawData_SemEval!$A$2:$A$398, ""(?i)"" &amp; $E$1), 
  REGEXMATCH(RawData_SemEval!$A$2:$A$398, ""(?i)"" &amp; $A$53), 
  REGEXMATCH(RawData_SemEval!$A$2"&amp;":$A$398, ""(?i)"" &amp; $B$5)
)"),0.212)</f>
        <v>0.212</v>
      </c>
      <c r="G59" s="70">
        <f>IFERROR(__xludf.DUMMYFUNCTION("FILTER(RawData_SemEval!$B$2:$B$398, 
  REGEXMATCH(RawData_SemEval!$A$2:$A$398, ""(?i)"" &amp; $A$58), 
  REGEXMATCH(RawData_SemEval!$A$2:$A$398, ""(?i)"" &amp; $G$1), 
  REGEXMATCH(RawData_SemEval!$A$2:$A$398, ""(?i)"" &amp; $A$53), 
  REGEXMATCH(RawData_SemEval!$A$2"&amp;":$A$398, ""(?i)"" &amp; $B$5)
)"),0.295)</f>
        <v>0.295</v>
      </c>
      <c r="H59" s="69">
        <f>IFERROR(__xludf.DUMMYFUNCTION("FILTER(RawData_SemEval!$F$2:$F$398, 
  REGEXMATCH(RawData_SemEval!$A$2:$A$398, ""(?i)"" &amp; $A$58), 
  REGEXMATCH(RawData_SemEval!$A$2:$A$398, ""(?i)"" &amp; $G$1), 
  REGEXMATCH(RawData_SemEval!$A$2:$A$398, ""(?i)"" &amp; $A$53), 
  REGEXMATCH(RawData_SemEval!$A$2"&amp;":$A$398, ""(?i)"" &amp; $B$5)
)"),0.178)</f>
        <v>0.178</v>
      </c>
    </row>
    <row r="60">
      <c r="A60" s="68"/>
      <c r="B60" s="44" t="s">
        <v>68</v>
      </c>
      <c r="C60" s="71">
        <f>IFERROR(__xludf.DUMMYFUNCTION("FILTER(RawData_SemEval!$B$2:$B$398, 
  REGEXMATCH(RawData_SemEval!$A$2:$A$398, ""(?i)"" &amp; $A$58), 
  REGEXMATCH(RawData_SemEval!$A$2:$A$398, ""(?i)"" &amp; $C$1), 
  REGEXMATCH(RawData_SemEval!$A$2:$A$398, ""(?i)"" &amp; $A$53), 
  REGEXMATCH(RawData_SemEval!$A$2"&amp;":$A$398, ""(?i)"" &amp; $B$6)
)"),0.24)</f>
        <v>0.24</v>
      </c>
      <c r="D60" s="71">
        <f>IFERROR(__xludf.DUMMYFUNCTION("FILTER(RawData_SemEval!$F$2:$F$398, 
  REGEXMATCH(RawData_SemEval!$A$2:$A$398, ""(?i)"" &amp; $A$58), 
  REGEXMATCH(RawData_SemEval!$A$2:$A$398, ""(?i)"" &amp; $C$1), 
  REGEXMATCH(RawData_SemEval!$A$2:$A$398, ""(?i)"" &amp; $A$53), 
  REGEXMATCH(RawData_SemEval!$A$2"&amp;":$A$398, ""(?i)"" &amp; $B$6)
)"),0.134)</f>
        <v>0.134</v>
      </c>
      <c r="E60" s="72">
        <f>IFERROR(__xludf.DUMMYFUNCTION("FILTER(RawData_SemEval!$B$2:$B$398, 
  REGEXMATCH(RawData_SemEval!$A$2:$A$398, ""(?i)"" &amp; $A$58), 
  REGEXMATCH(RawData_SemEval!$A$2:$A$398, ""(?i)"" &amp; $E$1), 
  REGEXMATCH(RawData_SemEval!$A$2:$A$398, ""(?i)"" &amp; $A$53), 
  REGEXMATCH(RawData_SemEval!$A$2"&amp;":$A$398, ""(?i)"" &amp; $B$6)
)"),0.377)</f>
        <v>0.377</v>
      </c>
      <c r="F60" s="71">
        <f>IFERROR(__xludf.DUMMYFUNCTION("FILTER(RawData_SemEval!$F$2:$F$398, 
  REGEXMATCH(RawData_SemEval!$A$2:$A$398, ""(?i)"" &amp; $A$58), 
  REGEXMATCH(RawData_SemEval!$A$2:$A$398, ""(?i)"" &amp; $E$1), 
  REGEXMATCH(RawData_SemEval!$A$2:$A$398, ""(?i)"" &amp; $A$53), 
  REGEXMATCH(RawData_SemEval!$A$2"&amp;":$A$398, ""(?i)"" &amp; $B$6)
)"),0.214)</f>
        <v>0.214</v>
      </c>
      <c r="G60" s="72">
        <f>IFERROR(__xludf.DUMMYFUNCTION("FILTER(RawData_SemEval!$B$2:$B$398, 
  REGEXMATCH(RawData_SemEval!$A$2:$A$398, ""(?i)"" &amp; $A$58), 
  REGEXMATCH(RawData_SemEval!$A$2:$A$398, ""(?i)"" &amp; $G$1), 
  REGEXMATCH(RawData_SemEval!$A$2:$A$398, ""(?i)"" &amp; $A$53), 
  REGEXMATCH(RawData_SemEval!$A$2"&amp;":$A$398, ""(?i)"" &amp; $B$6)
)"),0.357)</f>
        <v>0.357</v>
      </c>
      <c r="H60" s="71">
        <f>IFERROR(__xludf.DUMMYFUNCTION("FILTER(RawData_SemEval!$F$2:$F$398, 
  REGEXMATCH(RawData_SemEval!$A$2:$A$398, ""(?i)"" &amp; $A$58), 
  REGEXMATCH(RawData_SemEval!$A$2:$A$398, ""(?i)"" &amp; $G$1), 
  REGEXMATCH(RawData_SemEval!$A$2:$A$398, ""(?i)"" &amp; $A$53), 
  REGEXMATCH(RawData_SemEval!$A$2"&amp;":$A$398, ""(?i)"" &amp; $B$6)
)"),0.233)</f>
        <v>0.233</v>
      </c>
    </row>
    <row r="61">
      <c r="A61" s="68" t="s">
        <v>107</v>
      </c>
      <c r="B61" s="4" t="s">
        <v>20</v>
      </c>
      <c r="C61" s="69">
        <f>IFERROR(__xludf.DUMMYFUNCTION("FILTER(RawData_SemEval!$B$2:$B$398, 
  REGEXMATCH(RawData_SemEval!$A$2:$A$398, ""(?i)"" &amp; $A$53), 
  REGEXMATCH(RawData_SemEval!$A$2:$A$398, ""(?i)"" &amp; $C$1), 
  REGEXMATCH(RawData_SemEval!$A$2:$A$398, ""(?i)"" &amp; $A$61), 
  NOT(REGEXMATCH(RawData_SemEval!"&amp;"$A$2:$A$398,  ""(?i)ensemble"")),NOT(REGEXMATCH(RawData_SemEval!$A$2:$A$398,  ""(?i)complete""))
)"),0.1898)</f>
        <v>0.1898</v>
      </c>
      <c r="D61" s="69">
        <f>IFERROR(__xludf.DUMMYFUNCTION("FILTER(RawData_SemEval!$F$2:$F$398, 
  REGEXMATCH(RawData_SemEval!$A$2:$A$398, ""(?i)"" &amp; $A$53), 
  REGEXMATCH(RawData_SemEval!$A$2:$A$398, ""(?i)"" &amp; $C$1), 
  REGEXMATCH(RawData_SemEval!$A$2:$A$398, ""(?i)"" &amp; $A$61), 
  NOT(REGEXMATCH(RawData_SemEval!"&amp;"$A$2:$A$398,  ""(?i)ensemble""))
)"),0.118799999999999)</f>
        <v>0.1188</v>
      </c>
      <c r="E61" s="70">
        <f>IFERROR(__xludf.DUMMYFUNCTION("FILTER(RawData_SemEval!$B$2:$B$398, 
  REGEXMATCH(RawData_SemEval!$A$2:$A$398, ""(?i)"" &amp; $A$53), 
  REGEXMATCH(RawData_SemEval!$A$2:$A$398, ""(?i)"" &amp; $E$1), 
  REGEXMATCH(RawData_SemEval!$A$2:$A$398, ""(?i)"" &amp; $A$61), 
  NOT(REGEXMATCH(RawData_SemEval!"&amp;"$A$2:$A$398,  ""(?i)ensemble"")),NOT(REGEXMATCH(RawData_SemEval!$A$2:$A$398,  ""(?i)complete""))
)"),0.2814)</f>
        <v>0.2814</v>
      </c>
      <c r="F61" s="69">
        <f>IFERROR(__xludf.DUMMYFUNCTION("FILTER(RawData_SemEval!$F$2:$F$398, 
  REGEXMATCH(RawData_SemEval!$A$2:$A$398, ""(?i)"" &amp; $A$53), 
  REGEXMATCH(RawData_SemEval!$A$2:$A$398, ""(?i)"" &amp; $E$1), 
  REGEXMATCH(RawData_SemEval!$A$2:$A$398, ""(?i)"" &amp; $A$61), 
  NOT(REGEXMATCH(RawData_SemEval!"&amp;"$A$2:$A$398,  ""(?i)ensemble"")),NOT(REGEXMATCH(RawData_SemEval!$A$2:$A$398,  ""(?i)complete""))
)"),0.1774)</f>
        <v>0.1774</v>
      </c>
      <c r="G61" s="70">
        <f>IFERROR(__xludf.DUMMYFUNCTION("FILTER(RawData_SemEval!$B$2:$B$398, 
  REGEXMATCH(RawData_SemEval!$A$2:$A$398, ""(?i)"" &amp; $A$53), 
  REGEXMATCH(RawData_SemEval!$A$2:$A$398, ""(?i)"" &amp; $G$1), 
  REGEXMATCH(RawData_SemEval!$A$2:$A$398, ""(?i)"" &amp; $A$61), 
  NOT(REGEXMATCH(RawData_SemEval!"&amp;"$A$2:$A$398,  ""(?i)ensemble"")),NOT(REGEXMATCH(RawData_SemEval!$A$2:$A$398,  ""(?i)complete""))
)"),0.3106)</f>
        <v>0.3106</v>
      </c>
      <c r="H61" s="69">
        <f>IFERROR(__xludf.DUMMYFUNCTION("FILTER(RawData_SemEval!$F$2:$F$398, 
  REGEXMATCH(RawData_SemEval!$A$2:$A$398, ""(?i)"" &amp; $A$53), 
  REGEXMATCH(RawData_SemEval!$A$2:$A$398, ""(?i)"" &amp; $G$1), 
  REGEXMATCH(RawData_SemEval!$A$2:$A$398, ""(?i)"" &amp; $A$61), 
  NOT(REGEXMATCH(RawData_SemEval!"&amp;"$A$2:$A$398,  ""(?i)ensemble"")),NOT(REGEXMATCH(RawData_SemEval!$A$2:$A$398,  ""(?i)complete""))
)"),0.1764)</f>
        <v>0.1764</v>
      </c>
    </row>
    <row r="62">
      <c r="A62" s="68"/>
      <c r="B62" s="4" t="s">
        <v>67</v>
      </c>
      <c r="C62" s="69">
        <f>IFERROR(__xludf.DUMMYFUNCTION("FILTER(RawData_SemEval!$B$2:$B$398, 
  REGEXMATCH(RawData_SemEval!$A$2:$A$398, ""(?i)"" &amp; $A$53), 
  REGEXMATCH(RawData_SemEval!$A$2:$A$398, ""(?i)"" &amp; $C$1), 
  REGEXMATCH(RawData_SemEval!$A$2:$A$398, ""(?i)"" &amp; $A$61), 
  REGEXMATCH(RawData_SemEval!$A$2"&amp;":$A$398, ""(?i)"" &amp; $B$5),NOT(REGEXMATCH(RawData_SemEval!$A$2:$A$398,  ""(?i)complete""))
)"),0.233)</f>
        <v>0.233</v>
      </c>
      <c r="D62" s="69">
        <f>IFERROR(__xludf.DUMMYFUNCTION("FILTER(RawData_SemEval!$F$2:$F$398, 
  REGEXMATCH(RawData_SemEval!$A$2:$A$398, ""(?i)"" &amp; $A$53), 
  REGEXMATCH(RawData_SemEval!$A$2:$A$398, ""(?i)"" &amp; $C$1), 
  REGEXMATCH(RawData_SemEval!$A$2:$A$398, ""(?i)"" &amp; $A$61), 
  REGEXMATCH(RawData_SemEval!$A$2"&amp;":$A$398, ""(?i)"" &amp; $B$5),NOT(REGEXMATCH(RawData_SemEval!$A$2:$A$398,  ""(?i)complete""))
)"),0.205)</f>
        <v>0.205</v>
      </c>
      <c r="E62" s="70">
        <f>IFERROR(__xludf.DUMMYFUNCTION("FILTER(RawData_SemEval!$B$2:$B$398, 
  REGEXMATCH(RawData_SemEval!$A$2:$A$398, ""(?i)"" &amp; $A$53), 
  REGEXMATCH(RawData_SemEval!$A$2:$A$398, ""(?i)"" &amp; $E$1), 
  REGEXMATCH(RawData_SemEval!$A$2:$A$398, ""(?i)"" &amp; $A$61), 
  REGEXMATCH(RawData_SemEval!$A$2"&amp;":$A$398, ""(?i)"" &amp; $B$5),NOT(REGEXMATCH(RawData_SemEval!$A$2:$A$398,  ""(?i)complete""))
)"),0.323)</f>
        <v>0.323</v>
      </c>
      <c r="F62" s="69">
        <f>IFERROR(__xludf.DUMMYFUNCTION("FILTER(RawData_SemEval!$F$2:$F$398, 
  REGEXMATCH(RawData_SemEval!$A$2:$A$398, ""(?i)"" &amp; $A$53), 
  REGEXMATCH(RawData_SemEval!$A$2:$A$398, ""(?i)"" &amp; $E$1), 
  REGEXMATCH(RawData_SemEval!$A$2:$A$398, ""(?i)"" &amp; $A$61), 
  REGEXMATCH(RawData_SemEval!$A$2"&amp;":$A$398, ""(?i)"" &amp; $B$5),NOT(REGEXMATCH(RawData_SemEval!$A$2:$A$398,  ""(?i)complete""))
)"),0.237)</f>
        <v>0.237</v>
      </c>
      <c r="G62" s="70">
        <f>IFERROR(__xludf.DUMMYFUNCTION("FILTER(RawData_SemEval!$B$2:$B$398, 
  REGEXMATCH(RawData_SemEval!$A$2:$A$398, ""(?i)"" &amp; $A$53), 
  REGEXMATCH(RawData_SemEval!$A$2:$A$398, ""(?i)"" &amp; $G$1), 
  REGEXMATCH(RawData_SemEval!$A$2:$A$398, ""(?i)"" &amp; $A$61), 
  REGEXMATCH(RawData_SemEval!$A$2"&amp;":$A$398, ""(?i)"" &amp; $B$5),NOT(REGEXMATCH(RawData_SemEval!$A$2:$A$398,  ""(?i)complete""))
)"),0.277)</f>
        <v>0.277</v>
      </c>
      <c r="H62" s="69">
        <f>IFERROR(__xludf.DUMMYFUNCTION("FILTER(RawData_SemEval!$F$2:$F$398, 
  REGEXMATCH(RawData_SemEval!$A$2:$A$398, ""(?i)"" &amp; $A$53), 
  REGEXMATCH(RawData_SemEval!$A$2:$A$398, ""(?i)"" &amp; $G$1), 
  REGEXMATCH(RawData_SemEval!$A$2:$A$398, ""(?i)"" &amp; $A$61), 
  REGEXMATCH(RawData_SemEval!$A$2"&amp;":$A$398, ""(?i)"" &amp; $B$5),NOT(REGEXMATCH(RawData_SemEval!$A$2:$A$398,  ""(?i)complete""))
)"),0.157)</f>
        <v>0.157</v>
      </c>
    </row>
    <row r="63">
      <c r="A63" s="68"/>
      <c r="B63" s="44" t="s">
        <v>68</v>
      </c>
      <c r="C63" s="71">
        <f>IFERROR(__xludf.DUMMYFUNCTION("FILTER(RawData_SemEval!$B$2:$B$398, 
  REGEXMATCH(RawData_SemEval!$A$2:$A$398, ""(?i)"" &amp; $A$53), 
  REGEXMATCH(RawData_SemEval!$A$2:$A$398, ""(?i)"" &amp; $C$1), 
  REGEXMATCH(RawData_SemEval!$A$2:$A$398, ""(?i)"" &amp; $A$61), 
  REGEXMATCH(RawData_SemEval!$A$2"&amp;":$A$398, ""(?i)"" &amp; $B$6),NOT(REGEXMATCH(RawData_SemEval!$A$2:$A$398,  ""(?i)complete""))
)"),0.241)</f>
        <v>0.241</v>
      </c>
      <c r="D63" s="71">
        <f>IFERROR(__xludf.DUMMYFUNCTION("FILTER(RawData_SemEval!$F$2:$F$398, 
  REGEXMATCH(RawData_SemEval!$A$2:$A$398, ""(?i)"" &amp; $A$53), 
  REGEXMATCH(RawData_SemEval!$A$2:$A$398, ""(?i)"" &amp; $C$1), 
  REGEXMATCH(RawData_SemEval!$A$2:$A$398, ""(?i)"" &amp; $A$61), 
  REGEXMATCH(RawData_SemEval!$A$2"&amp;":$A$398, ""(?i)"" &amp; $B$6),NOT(REGEXMATCH(RawData_SemEval!$A$2:$A$398,  ""(?i)complete""))
)"),0.118)</f>
        <v>0.118</v>
      </c>
      <c r="E63" s="72">
        <f>IFERROR(__xludf.DUMMYFUNCTION("FILTER(RawData_SemEval!$B$2:$B$398, 
  REGEXMATCH(RawData_SemEval!$A$2:$A$398, ""(?i)"" &amp; $A$53), 
  REGEXMATCH(RawData_SemEval!$A$2:$A$398, ""(?i)"" &amp; $E$1), 
  REGEXMATCH(RawData_SemEval!$A$2:$A$398, ""(?i)"" &amp; $A$61), 
  REGEXMATCH(RawData_SemEval!$A$2"&amp;":$A$398, ""(?i)"" &amp; $B$6),NOT(REGEXMATCH(RawData_SemEval!$A$2:$A$398,  ""(?i)complete""))
)"),0.361)</f>
        <v>0.361</v>
      </c>
      <c r="F63" s="71">
        <f>IFERROR(__xludf.DUMMYFUNCTION("FILTER(RawData_SemEval!$F$2:$F$398, 
  REGEXMATCH(RawData_SemEval!$A$2:$A$398, ""(?i)"" &amp; $A$53), 
  REGEXMATCH(RawData_SemEval!$A$2:$A$398, ""(?i)"" &amp; $E$1), 
  REGEXMATCH(RawData_SemEval!$A$2:$A$398, ""(?i)"" &amp; $A$61), 
  REGEXMATCH(RawData_SemEval!$A$2"&amp;":$A$398, ""(?i)"" &amp; $B$6),NOT(REGEXMATCH(RawData_SemEval!$A$2:$A$398,  ""(?i)complete""))
)"),0.189)</f>
        <v>0.189</v>
      </c>
      <c r="G63" s="72">
        <f>IFERROR(__xludf.DUMMYFUNCTION("FILTER(RawData_SemEval!$B$2:$B$398, 
  REGEXMATCH(RawData_SemEval!$A$2:$A$398, ""(?i)"" &amp; $A$53), 
  REGEXMATCH(RawData_SemEval!$A$2:$A$398, ""(?i)"" &amp; $G$1), 
  REGEXMATCH(RawData_SemEval!$A$2:$A$398, ""(?i)"" &amp; $A$61), 
  REGEXMATCH(RawData_SemEval!$A$2"&amp;":$A$398, ""(?i)"" &amp; $B$6),NOT(REGEXMATCH(RawData_SemEval!$A$2:$A$398,  ""(?i)complete""))
)"),0.399)</f>
        <v>0.399</v>
      </c>
      <c r="H63" s="71">
        <f>IFERROR(__xludf.DUMMYFUNCTION("FILTER(RawData_SemEval!$F$2:$F$398, 
  REGEXMATCH(RawData_SemEval!$A$2:$A$398, ""(?i)"" &amp; $A$53), 
  REGEXMATCH(RawData_SemEval!$A$2:$A$398, ""(?i)"" &amp; $G$1), 
  REGEXMATCH(RawData_SemEval!$A$2:$A$398, ""(?i)"" &amp; $A$61), 
  REGEXMATCH(RawData_SemEval!$A$2"&amp;":$A$398, ""(?i)"" &amp; $B$6),NOT(REGEXMATCH(RawData_SemEval!$A$2:$A$398,  ""(?i)complete""))
)"),0.227)</f>
        <v>0.227</v>
      </c>
    </row>
    <row r="64">
      <c r="A64" s="68" t="s">
        <v>108</v>
      </c>
      <c r="B64" s="4" t="s">
        <v>25</v>
      </c>
      <c r="C64" s="73"/>
      <c r="D64" s="73"/>
      <c r="E64" s="70">
        <f>IFERROR(__xludf.DUMMYFUNCTION("FILTER(RawData_SemEval!$B$2:$B$398, 
  REGEXMATCH(RawData_SemEval!$A$2:$A$398, ""(?i)"" &amp; $A$53), 
  REGEXMATCH(RawData_SemEval!$A$2:$A$398, ""(?i)"" &amp; $E$1), 
  REGEXMATCH(RawData_SemEval!$A$2:$A$398, ""(?i)"" &amp; $A$64), 
  NOT(REGEXMATCH(RawData_SemEval!"&amp;"$A$2:$A$398,  ""(?i)ensemble""))
)"),0.2652)</f>
        <v>0.2652</v>
      </c>
      <c r="F64" s="69">
        <f>IFERROR(__xludf.DUMMYFUNCTION("FILTER(RawData_SemEval!$F$2:$F$398, 
  REGEXMATCH(RawData_SemEval!$A$2:$A$398, ""(?i)"" &amp; $A$53), 
  REGEXMATCH(RawData_SemEval!$A$2:$A$398, ""(?i)"" &amp; $E$1), 
  REGEXMATCH(RawData_SemEval!$A$2:$A$398, ""(?i)"" &amp; $A$64), 
  NOT(REGEXMATCH(RawData_SemEval!"&amp;"$A$2:$A$398,  ""(?i)ensemble""))
)"),0.0809999999999999)</f>
        <v>0.081</v>
      </c>
      <c r="G64" s="70">
        <f>IFERROR(__xludf.DUMMYFUNCTION("FILTER(RawData_SemEval!$B$2:$B$398, 
  REGEXMATCH(RawData_SemEval!$A$2:$A$398, ""(?i)"" &amp; $A$53), 
  REGEXMATCH(RawData_SemEval!$A$2:$A$398, ""(?i)"" &amp; $G$1), 
  REGEXMATCH(RawData_SemEval!$A$2:$A$398, ""(?i)"" &amp; $A$64), 
  NOT(REGEXMATCH(RawData_SemEval!"&amp;"$A$2:$A$398,  ""(?i)ensemble""))
)"),0.2836)</f>
        <v>0.2836</v>
      </c>
      <c r="H64" s="69">
        <f>IFERROR(__xludf.DUMMYFUNCTION("FILTER(RawData_SemEval!$F$2:$F$398, 
  REGEXMATCH(RawData_SemEval!$A$2:$A$398, ""(?i)"" &amp; $A$53), 
  REGEXMATCH(RawData_SemEval!$A$2:$A$398, ""(?i)"" &amp; $G$1), 
  REGEXMATCH(RawData_SemEval!$A$2:$A$398, ""(?i)"" &amp; $A$64), 
  NOT(REGEXMATCH(RawData_SemEval!"&amp;"$A$2:$A$398,  ""(?i)ensemble""))
)"),0.189)</f>
        <v>0.189</v>
      </c>
    </row>
    <row r="65">
      <c r="A65" s="68"/>
      <c r="B65" s="4" t="s">
        <v>67</v>
      </c>
      <c r="C65" s="73"/>
      <c r="D65" s="73"/>
      <c r="E65" s="70">
        <f>IFERROR(__xludf.DUMMYFUNCTION("FILTER(RawData_SemEval!$B$2:$B$398, 
  REGEXMATCH(RawData_SemEval!$A$2:$A$398, ""(?i)"" &amp; $A$53), 
  REGEXMATCH(RawData_SemEval!$A$2:$A$398, ""(?i)"" &amp; $E$1), 
  REGEXMATCH(RawData_SemEval!$A$2:$A$398, ""(?i)"" &amp; $A$64), 
  REGEXMATCH(RawData_SemEval!$A$2"&amp;":$A$398, ""(?i)"" &amp; $B$5)
)"),0.316)</f>
        <v>0.316</v>
      </c>
      <c r="F65" s="69">
        <f>IFERROR(__xludf.DUMMYFUNCTION("FILTER(RawData_SemEval!$F$2:$F$398, 
  REGEXMATCH(RawData_SemEval!$A$2:$A$398, ""(?i)"" &amp; $A$53), 
  REGEXMATCH(RawData_SemEval!$A$2:$A$398, ""(?i)"" &amp; $E$1), 
  REGEXMATCH(RawData_SemEval!$A$2:$A$398, ""(?i)"" &amp; $A$64), 
  REGEXMATCH(RawData_SemEval!$A$2"&amp;":$A$398, ""(?i)"" &amp; $B$5)
)"),0.145)</f>
        <v>0.145</v>
      </c>
      <c r="G65" s="70">
        <f>IFERROR(__xludf.DUMMYFUNCTION("FILTER(RawData_SemEval!$B$2:$B$398, 
  REGEXMATCH(RawData_SemEval!$A$2:$A$398, ""(?i)"" &amp; $A$53), 
  REGEXMATCH(RawData_SemEval!$A$2:$A$398, ""(?i)"" &amp; $G$1), 
  REGEXMATCH(RawData_SemEval!$A$2:$A$398, ""(?i)"" &amp; $A$64), 
  REGEXMATCH(RawData_SemEval!$A$2"&amp;":$A$398, ""(?i)"" &amp; $B$5)
)"),0.276)</f>
        <v>0.276</v>
      </c>
      <c r="H65" s="69">
        <f>IFERROR(__xludf.DUMMYFUNCTION("FILTER(RawData_SemEval!$F$2:$F$398, 
  REGEXMATCH(RawData_SemEval!$A$2:$A$398, ""(?i)"" &amp; $A$53), 
  REGEXMATCH(RawData_SemEval!$A$2:$A$398, ""(?i)"" &amp; $G$1), 
  REGEXMATCH(RawData_SemEval!$A$2:$A$398, ""(?i)"" &amp; $A$64), 
  REGEXMATCH(RawData_SemEval!$A$2"&amp;":$A$398, ""(?i)"" &amp; $B$5)
)"),0.199)</f>
        <v>0.199</v>
      </c>
    </row>
    <row r="66">
      <c r="A66" s="68"/>
      <c r="B66" s="44" t="s">
        <v>68</v>
      </c>
      <c r="C66" s="74"/>
      <c r="D66" s="74"/>
      <c r="E66" s="72">
        <f>IFERROR(__xludf.DUMMYFUNCTION("FILTER(RawData_SemEval!$B$2:$B$398, 
  REGEXMATCH(RawData_SemEval!$A$2:$A$398, ""(?i)"" &amp; $A$53), 
  REGEXMATCH(RawData_SemEval!$A$2:$A$398, ""(?i)"" &amp; $E$1), 
  REGEXMATCH(RawData_SemEval!$A$2:$A$398, ""(?i)"" &amp; $A$64), 
  REGEXMATCH(RawData_SemEval!$A$2"&amp;":$A$398, ""(?i)"" &amp; $B$6)
)"),0.314)</f>
        <v>0.314</v>
      </c>
      <c r="F66" s="71">
        <f>IFERROR(__xludf.DUMMYFUNCTION("FILTER(RawData_SemEval!$F$2:$F$398, 
  REGEXMATCH(RawData_SemEval!$A$2:$A$398, ""(?i)"" &amp; $A$53), 
  REGEXMATCH(RawData_SemEval!$A$2:$A$398, ""(?i)"" &amp; $E$1), 
  REGEXMATCH(RawData_SemEval!$A$2:$A$398, ""(?i)"" &amp; $A$64), 
  REGEXMATCH(RawData_SemEval!$A$2"&amp;":$A$398, ""(?i)"" &amp; $B$6)
)"),0.114)</f>
        <v>0.114</v>
      </c>
      <c r="G66" s="72">
        <f>IFERROR(__xludf.DUMMYFUNCTION("FILTER(RawData_SemEval!$B$2:$B$398, 
  REGEXMATCH(RawData_SemEval!$A$2:$A$398, ""(?i)"" &amp; $A$53), 
  REGEXMATCH(RawData_SemEval!$A$2:$A$398, ""(?i)"" &amp; $G$1), 
  REGEXMATCH(RawData_SemEval!$A$2:$A$398, ""(?i)"" &amp; $A$64), 
  REGEXMATCH(RawData_SemEval!$A$2"&amp;":$A$398, ""(?i)"" &amp; $B$6)
)"),0.36)</f>
        <v>0.36</v>
      </c>
      <c r="H66" s="71">
        <f>IFERROR(__xludf.DUMMYFUNCTION("FILTER(RawData_SemEval!$F$2:$F$398, 
  REGEXMATCH(RawData_SemEval!$A$2:$A$398, ""(?i)"" &amp; $A$53), 
  REGEXMATCH(RawData_SemEval!$A$2:$A$398, ""(?i)"" &amp; $G$1), 
  REGEXMATCH(RawData_SemEval!$A$2:$A$398, ""(?i)"" &amp; $A$64), 
  REGEXMATCH(RawData_SemEval!$A$2"&amp;":$A$398, ""(?i)"" &amp; $B$6)
)"),0.234)</f>
        <v>0.234</v>
      </c>
    </row>
    <row r="67">
      <c r="A67" s="68" t="s">
        <v>109</v>
      </c>
      <c r="B67" s="4" t="s">
        <v>18</v>
      </c>
      <c r="C67" s="69">
        <f>IFERROR(__xludf.DUMMYFUNCTION("FILTER(RawData_SemEval!$B$2:$B$398, 
  REGEXMATCH(RawData_SemEval!$A$2:$A$398, ""(?i)"" &amp; $A$53), 
  REGEXMATCH(RawData_SemEval!$A$2:$A$398, ""(?i)"" &amp; $C$1), 
  REGEXMATCH(RawData_SemEval!$A$2:$A$398, ""(?i)gpt_only_title""), 
  NOT(REGEXMATCH(RawData_Se"&amp;"mEval!$A$2:$A$398,  ""(?i)ensemble""))
)"),0.1596)</f>
        <v>0.1596</v>
      </c>
      <c r="D67" s="69">
        <f>IFERROR(__xludf.DUMMYFUNCTION("FILTER(RawData_SemEval!$F$2:$F$398, 
  REGEXMATCH(RawData_SemEval!$A$2:$A$398, ""(?i)"" &amp; $A$53), 
  REGEXMATCH(RawData_SemEval!$A$2:$A$398, ""(?i)"" &amp; $C$1), 
  REGEXMATCH(RawData_SemEval!$A$2:$A$398, ""(?i)gpt_only_title""), 
  NOT(REGEXMATCH(RawData_Se"&amp;"mEval!$A$2:$A$398,  ""(?i)ensemble""))
)"),0.0998)</f>
        <v>0.0998</v>
      </c>
      <c r="E67" s="70">
        <f>IFERROR(__xludf.DUMMYFUNCTION("FILTER(RawData_SemEval!$B$2:$B$398, 
  REGEXMATCH(RawData_SemEval!$A$2:$A$398, ""(?i)"" &amp; $A$53), 
  REGEXMATCH(RawData_SemEval!$A$2:$A$398, ""(?i)"" &amp; $E$1), 
  REGEXMATCH(RawData_SemEval!$A$2:$A$398, ""(?i)gpt_only_title""), 
  NOT(REGEXMATCH(RawData_Se"&amp;"mEval!$A$2:$A$398,  ""(?i)ensemble""))
)"),0.2952)</f>
        <v>0.2952</v>
      </c>
      <c r="F67" s="69">
        <f>IFERROR(__xludf.DUMMYFUNCTION("FILTER(RawData_SemEval!$F$2:$F$398, 
  REGEXMATCH(RawData_SemEval!$A$2:$A$398, ""(?i)"" &amp; $A$53), 
  REGEXMATCH(RawData_SemEval!$A$2:$A$398, ""(?i)"" &amp; $E$1), 
  REGEXMATCH(RawData_SemEval!$A$2:$A$398, ""(?i)gpt_only_title""), 
  NOT(REGEXMATCH(RawData_Se"&amp;"mEval!$A$2:$A$398,  ""(?i)ensemble""))
)"),0.1818)</f>
        <v>0.1818</v>
      </c>
      <c r="G67" s="70">
        <f>IFERROR(__xludf.DUMMYFUNCTION("FILTER(RawData_SemEval!$B$2:$B$398, 
  REGEXMATCH(RawData_SemEval!$A$2:$A$398, ""(?i)"" &amp; $A$53), 
  REGEXMATCH(RawData_SemEval!$A$2:$A$398, ""(?i)"" &amp; $G$1), 
  REGEXMATCH(RawData_SemEval!$A$2:$A$398, ""(?i)gpt_only_title""), 
  NOT(REGEXMATCH(RawData_Se"&amp;"mEval!$A$2:$A$398,  ""(?i)ensemble""))
)"),0.2892)</f>
        <v>0.2892</v>
      </c>
      <c r="H67" s="69">
        <f>IFERROR(__xludf.DUMMYFUNCTION("FILTER(RawData_SemEval!$F$2:$F$398, 
  REGEXMATCH(RawData_SemEval!$A$2:$A$398, ""(?i)"" &amp; $A$53), 
  REGEXMATCH(RawData_SemEval!$A$2:$A$398, ""(?i)"" &amp; $G$1), 
  REGEXMATCH(RawData_SemEval!$A$2:$A$398, ""(?i)gpt_only_title""), 
  NOT(REGEXMATCH(RawData_Se"&amp;"mEval!$A$2:$A$398,  ""(?i)ensemble""))
)"),0.16)</f>
        <v>0.16</v>
      </c>
    </row>
    <row r="68">
      <c r="A68" s="68"/>
      <c r="B68" s="4" t="s">
        <v>67</v>
      </c>
      <c r="C68" s="69">
        <f>IFERROR(__xludf.DUMMYFUNCTION("FILTER(RawData_SemEval!$B$2:$B$398, 
  REGEXMATCH(RawData_SemEval!$A$2:$A$398, ""(?i)"" &amp; $A$53), 
  REGEXMATCH(RawData_SemEval!$A$2:$A$398, ""(?i)"" &amp; $C$1), 
  REGEXMATCH(RawData_SemEval!$A$2:$A$398, ""(?i)gpt_only_title""), 
  REGEXMATCH(RawData_SemEva"&amp;"l!$A$2:$A$398, ""(?i)"" &amp; $B$5)
)"),0.145)</f>
        <v>0.145</v>
      </c>
      <c r="D68" s="69">
        <f>IFERROR(__xludf.DUMMYFUNCTION("FILTER(RawData_SemEval!$F$2:$F$398, 
  REGEXMATCH(RawData_SemEval!$A$2:$A$398, ""(?i)"" &amp; $A$53), 
  REGEXMATCH(RawData_SemEval!$A$2:$A$398, ""(?i)"" &amp; $C$1), 
  REGEXMATCH(RawData_SemEval!$A$2:$A$398, ""(?i)gpt_only_title""), 
  REGEXMATCH(RawData_SemEva"&amp;"l!$A$2:$A$398, ""(?i)"" &amp; $B$5)
)"),0.11)</f>
        <v>0.11</v>
      </c>
      <c r="E68" s="70">
        <f>IFERROR(__xludf.DUMMYFUNCTION("FILTER(RawData_SemEval!$B$2:$B$398, 
  REGEXMATCH(RawData_SemEval!$A$2:$A$398, ""(?i)"" &amp; $A$53), 
  REGEXMATCH(RawData_SemEval!$A$2:$A$398, ""(?i)"" &amp; $E$1), 
  REGEXMATCH(RawData_SemEval!$A$2:$A$398, ""(?i)gpt_only_title""), 
  REGEXMATCH(RawData_SemEva"&amp;"l!$A$2:$A$398, ""(?i)"" &amp; $B$5)
)"),0.302)</f>
        <v>0.302</v>
      </c>
      <c r="F68" s="69">
        <f>IFERROR(__xludf.DUMMYFUNCTION("FILTER(RawData_SemEval!$F$2:$F$398, 
  REGEXMATCH(RawData_SemEval!$A$2:$A$398, ""(?i)"" &amp; $A$53), 
  REGEXMATCH(RawData_SemEval!$A$2:$A$398, ""(?i)"" &amp; $E$1), 
  REGEXMATCH(RawData_SemEval!$A$2:$A$398, ""(?i)gpt_only_title""), 
  REGEXMATCH(RawData_SemEva"&amp;"l!$A$2:$A$398, ""(?i)"" &amp; $B$5)
)"),0.196)</f>
        <v>0.196</v>
      </c>
      <c r="G68" s="70">
        <f>IFERROR(__xludf.DUMMYFUNCTION("FILTER(RawData_SemEval!$B$2:$B$398, 
  REGEXMATCH(RawData_SemEval!$A$2:$A$398, ""(?i)"" &amp; $A$53), 
  REGEXMATCH(RawData_SemEval!$A$2:$A$398, ""(?i)"" &amp; $G$1), 
  REGEXMATCH(RawData_SemEval!$A$2:$A$398, ""(?i)gpt_only_title""), 
  REGEXMATCH(RawData_SemEva"&amp;"l!$A$2:$A$398, ""(?i)"" &amp; $B$5)
)"),0.278)</f>
        <v>0.278</v>
      </c>
      <c r="H68" s="69">
        <f>IFERROR(__xludf.DUMMYFUNCTION("FILTER(RawData_SemEval!$F$2:$F$398, 
  REGEXMATCH(RawData_SemEval!$A$2:$A$398, ""(?i)"" &amp; $A$53), 
  REGEXMATCH(RawData_SemEval!$A$2:$A$398, ""(?i)"" &amp; $G$1), 
  REGEXMATCH(RawData_SemEval!$A$2:$A$398, ""(?i)gpt_only_title""), 
  REGEXMATCH(RawData_SemEva"&amp;"l!$A$2:$A$398, ""(?i)"" &amp; $B$5)
)"),0.15)</f>
        <v>0.15</v>
      </c>
    </row>
    <row r="69">
      <c r="A69" s="68"/>
      <c r="B69" s="44" t="s">
        <v>68</v>
      </c>
      <c r="C69" s="71">
        <f>IFERROR(__xludf.DUMMYFUNCTION("FILTER(RawData_SemEval!$B$2:$B$398, 
  REGEXMATCH(RawData_SemEval!$A$2:$A$398, ""(?i)"" &amp; $A$53), 
  REGEXMATCH(RawData_SemEval!$A$2:$A$398, ""(?i)"" &amp; $C$1), 
  REGEXMATCH(RawData_SemEval!$A$2:$A$398, ""(?i)gpt_only_title""), 
  REGEXMATCH(RawData_SemEva"&amp;"l!$A$2:$A$398, ""(?i)"" &amp; $B$6)
)"),0.212)</f>
        <v>0.212</v>
      </c>
      <c r="D69" s="71">
        <f>IFERROR(__xludf.DUMMYFUNCTION("FILTER(RawData_SemEval!$F$2:$F$398, 
  REGEXMATCH(RawData_SemEval!$A$2:$A$398, ""(?i)"" &amp; $A$53), 
  REGEXMATCH(RawData_SemEval!$A$2:$A$398, ""(?i)"" &amp; $C$1), 
  REGEXMATCH(RawData_SemEval!$A$2:$A$398, ""(?i)gpt_only_title""), 
  REGEXMATCH(RawData_SemEva"&amp;"l!$A$2:$A$398, ""(?i)"" &amp; $B$6)
)"),0.112)</f>
        <v>0.112</v>
      </c>
      <c r="E69" s="72">
        <f>IFERROR(__xludf.DUMMYFUNCTION("FILTER(RawData_SemEval!$B$2:$B$398, 
  REGEXMATCH(RawData_SemEval!$A$2:$A$398, ""(?i)"" &amp; $A$53), 
  REGEXMATCH(RawData_SemEval!$A$2:$A$398, ""(?i)"" &amp; $E$1), 
  REGEXMATCH(RawData_SemEval!$A$2:$A$398, ""(?i)gpt_only_title""), 
  REGEXMATCH(RawData_SemEva"&amp;"l!$A$2:$A$398, ""(?i)"" &amp; $B$6)
)"),0.387)</f>
        <v>0.387</v>
      </c>
      <c r="F69" s="71">
        <f>IFERROR(__xludf.DUMMYFUNCTION("FILTER(RawData_SemEval!$F$2:$F$398, 
  REGEXMATCH(RawData_SemEval!$A$2:$A$398, ""(?i)"" &amp; $A$53), 
  REGEXMATCH(RawData_SemEval!$A$2:$A$398, ""(?i)"" &amp; $E$1), 
  REGEXMATCH(RawData_SemEval!$A$2:$A$398, ""(?i)gpt_only_title""), 
  REGEXMATCH(RawData_SemEva"&amp;"l!$A$2:$A$398, ""(?i)"" &amp; $B$6)
)"),0.226)</f>
        <v>0.226</v>
      </c>
      <c r="G69" s="72">
        <f>IFERROR(__xludf.DUMMYFUNCTION("FILTER(RawData_SemEval!$B$2:$B$398, 
  REGEXMATCH(RawData_SemEval!$A$2:$A$398, ""(?i)"" &amp; $A$53), 
  REGEXMATCH(RawData_SemEval!$A$2:$A$398, ""(?i)"" &amp; $G$1), 
  REGEXMATCH(RawData_SemEval!$A$2:$A$398, ""(?i)gpt_only_title""), 
  REGEXMATCH(RawData_SemEva"&amp;"l!$A$2:$A$398, ""(?i)"" &amp; $B$6)
)"),0.352)</f>
        <v>0.352</v>
      </c>
      <c r="H69" s="71">
        <f>IFERROR(__xludf.DUMMYFUNCTION("FILTER(RawData_SemEval!$F$2:$F$398, 
  REGEXMATCH(RawData_SemEval!$A$2:$A$398, ""(?i)"" &amp; $A$53), 
  REGEXMATCH(RawData_SemEval!$A$2:$A$398, ""(?i)"" &amp; $G$1), 
  REGEXMATCH(RawData_SemEval!$A$2:$A$398, ""(?i)gpt_only_title""), 
  REGEXMATCH(RawData_SemEva"&amp;"l!$A$2:$A$398, ""(?i)"" &amp; $B$6)
)"),0.212)</f>
        <v>0.212</v>
      </c>
    </row>
    <row r="70">
      <c r="A70" s="68" t="s">
        <v>110</v>
      </c>
      <c r="B70" s="4" t="s">
        <v>22</v>
      </c>
      <c r="C70" s="69">
        <f>IFERROR(__xludf.DUMMYFUNCTION("FILTER(RawData_SemEval!$B$2:$B$398, 
  REGEXMATCH(RawData_SemEval!$A$2:$A$398, ""(?i)"" &amp; $A$53), 
  REGEXMATCH(RawData_SemEval!$A$2:$A$398, ""(?i)"" &amp; $C$1), 
  REGEXMATCH(RawData_SemEval!$A$2:$A$398, ""(?i)gpt_title_description""), 
  NOT(REGEXMATCH(Raw"&amp;"Data_SemEval!$A$2:$A$398,  ""(?i)ensemble"")),NOT(REGEXMATCH(RawData_SemEval!$A$2:$A$398,  ""(?i)complete""))
)"),0.1788)</f>
        <v>0.1788</v>
      </c>
      <c r="D70" s="69">
        <f>IFERROR(__xludf.DUMMYFUNCTION("FILTER(RawData_SemEval!$F$2:$F$398, 
  REGEXMATCH(RawData_SemEval!$A$2:$A$398, ""(?i)"" &amp; $A$53), 
  REGEXMATCH(RawData_SemEval!$A$2:$A$398, ""(?i)"" &amp; $C$1), 
  REGEXMATCH(RawData_SemEval!$A$2:$A$398, ""(?i)gpt_title_description""), 
  NOT(REGEXMATCH(Raw"&amp;"Data_SemEval!$A$2:$A$398,  ""(?i)ensemble""))
)"),0.0958)</f>
        <v>0.0958</v>
      </c>
      <c r="E70" s="70">
        <f>IFERROR(__xludf.DUMMYFUNCTION("FILTER(RawData_SemEval!$B$2:$B$398, 
  REGEXMATCH(RawData_SemEval!$A$2:$A$398, ""(?i)"" &amp; $A$53), 
  REGEXMATCH(RawData_SemEval!$A$2:$A$398, ""(?i)"" &amp; $E$1), 
  REGEXMATCH(RawData_SemEval!$A$2:$A$398, ""(?i)gpt_title_description""), 
  NOT(REGEXMATCH(Raw"&amp;"Data_SemEval!$A$2:$A$398,  ""(?i)ensemble"")),NOT(REGEXMATCH(RawData_SemEval!$A$2:$A$398,  ""(?i)complete""))
)"),0.2834)</f>
        <v>0.2834</v>
      </c>
      <c r="F70" s="69">
        <f>IFERROR(__xludf.DUMMYFUNCTION("FILTER(RawData_SemEval!$F$2:$F$398, 
  REGEXMATCH(RawData_SemEval!$A$2:$A$398, ""(?i)"" &amp; $A$53), 
  REGEXMATCH(RawData_SemEval!$A$2:$A$398, ""(?i)"" &amp; $E$1), 
  REGEXMATCH(RawData_SemEval!$A$2:$A$398, ""(?i)gpt_title_description""), 
  NOT(REGEXMATCH(Raw"&amp;"Data_SemEval!$A$2:$A$398,  ""(?i)ensemble"")),NOT(REGEXMATCH(RawData_SemEval!$A$2:$A$398,  ""(?i)complete""))
)"),0.1776)</f>
        <v>0.1776</v>
      </c>
      <c r="G70" s="70">
        <f>IFERROR(__xludf.DUMMYFUNCTION("FILTER(RawData_SemEval!$B$2:$B$398, 
  REGEXMATCH(RawData_SemEval!$A$2:$A$398, ""(?i)"" &amp; $A$53), 
  REGEXMATCH(RawData_SemEval!$A$2:$A$398, ""(?i)"" &amp; $G$1), 
  REGEXMATCH(RawData_SemEval!$A$2:$A$398, ""(?i)gpt_title_description""), 
  NOT(REGEXMATCH(Raw"&amp;"Data_SemEval!$A$2:$A$398,  ""(?i)ensemble"")),NOT(REGEXMATCH(RawData_SemEval!$A$2:$A$398,  ""(?i)complete""))
)"),0.3124)</f>
        <v>0.3124</v>
      </c>
      <c r="H70" s="69">
        <f>IFERROR(__xludf.DUMMYFUNCTION("FILTER(RawData_SemEval!$F$2:$F$398, 
  REGEXMATCH(RawData_SemEval!$A$2:$A$398, ""(?i)"" &amp; $A$53), 
  REGEXMATCH(RawData_SemEval!$A$2:$A$398, ""(?i)"" &amp; $G$1), 
  REGEXMATCH(RawData_SemEval!$A$2:$A$398, ""(?i)gpt_title_description""), 
  NOT(REGEXMATCH(Raw"&amp;"Data_SemEval!$A$2:$A$398,  ""(?i)ensemble"")),NOT(REGEXMATCH(RawData_SemEval!$A$2:$A$398,  ""(?i)complete""))
)"),0.177)</f>
        <v>0.177</v>
      </c>
    </row>
    <row r="71">
      <c r="A71" s="68"/>
      <c r="B71" s="4" t="s">
        <v>67</v>
      </c>
      <c r="C71" s="69">
        <f>IFERROR(__xludf.DUMMYFUNCTION("FILTER(RawData_SemEval!$B$2:$B$398, 
  REGEXMATCH(RawData_SemEval!$A$2:$A$398, ""(?i)"" &amp; $A$53), 
  REGEXMATCH(RawData_SemEval!$A$2:$A$398, ""(?i)"" &amp; $C$1), 
  REGEXMATCH(RawData_SemEval!$A$2:$A$398, ""(?i)gpt_title_description""), 
  REGEXMATCH(RawData"&amp;"_SemEval!$A$2:$A$398, ""(?i)"" &amp; $B$5),NOT(REGEXMATCH(RawData_SemEval!$A$2:$A$398,  ""(?i)complete""))
)"),0.165)</f>
        <v>0.165</v>
      </c>
      <c r="D71" s="69">
        <f>IFERROR(__xludf.DUMMYFUNCTION("FILTER(RawData_SemEval!$F$2:$F$398, 
  REGEXMATCH(RawData_SemEval!$A$2:$A$398, ""(?i)"" &amp; $A$53), 
  REGEXMATCH(RawData_SemEval!$A$2:$A$398, ""(?i)"" &amp; $C$1), 
  REGEXMATCH(RawData_SemEval!$A$2:$A$398, ""(?i)gpt_title_description""), 
  REGEXMATCH(RawData"&amp;"_SemEval!$A$2:$A$398, ""(?i)"" &amp; $B$5),NOT(REGEXMATCH(RawData_SemEval!$A$2:$A$398,  ""(?i)complete""))
)"),0.134)</f>
        <v>0.134</v>
      </c>
      <c r="E71" s="70">
        <f>IFERROR(__xludf.DUMMYFUNCTION("FILTER(RawData_SemEval!$B$2:$B$398, 
  REGEXMATCH(RawData_SemEval!$A$2:$A$398, ""(?i)"" &amp; $A$53), 
  REGEXMATCH(RawData_SemEval!$A$2:$A$398, ""(?i)"" &amp; $E$1), 
  REGEXMATCH(RawData_SemEval!$A$2:$A$398, ""(?i)gpt_title_description""), 
  REGEXMATCH(RawData"&amp;"_SemEval!$A$2:$A$398, ""(?i)"" &amp; $B$5),NOT(REGEXMATCH(RawData_SemEval!$A$2:$A$398,  ""(?i)complete""))
)"),0.333)</f>
        <v>0.333</v>
      </c>
      <c r="F71" s="69">
        <f>IFERROR(__xludf.DUMMYFUNCTION("FILTER(RawData_SemEval!$F$2:$F$398, 
  REGEXMATCH(RawData_SemEval!$A$2:$A$398, ""(?i)"" &amp; $A$53), 
  REGEXMATCH(RawData_SemEval!$A$2:$A$398, ""(?i)"" &amp; $E$1), 
  REGEXMATCH(RawData_SemEval!$A$2:$A$398, ""(?i)gpt_title_description""), 
  REGEXMATCH(RawData"&amp;"_SemEval!$A$2:$A$398, ""(?i)"" &amp; $B$5),NOT(REGEXMATCH(RawData_SemEval!$A$2:$A$398,  ""(?i)complete""))
)"),0.234)</f>
        <v>0.234</v>
      </c>
      <c r="G71" s="70">
        <f>IFERROR(__xludf.DUMMYFUNCTION("FILTER(RawData_SemEval!$B$2:$B$398, 
  REGEXMATCH(RawData_SemEval!$A$2:$A$398, ""(?i)"" &amp; $A$53), 
  REGEXMATCH(RawData_SemEval!$A$2:$A$398, ""(?i)"" &amp; $G$1), 
  REGEXMATCH(RawData_SemEval!$A$2:$A$398, ""(?i)gpt_title_description""), 
  REGEXMATCH(RawData"&amp;"_SemEval!$A$2:$A$398, ""(?i)"" &amp; $B$5),NOT(REGEXMATCH(RawData_SemEval!$A$2:$A$398,  ""(?i)complete""))
)"),0.328)</f>
        <v>0.328</v>
      </c>
      <c r="H71" s="69">
        <f>IFERROR(__xludf.DUMMYFUNCTION("FILTER(RawData_SemEval!$F$2:$F$398, 
  REGEXMATCH(RawData_SemEval!$A$2:$A$398, ""(?i)"" &amp; $A$53), 
  REGEXMATCH(RawData_SemEval!$A$2:$A$398, ""(?i)"" &amp; $G$1), 
  REGEXMATCH(RawData_SemEval!$A$2:$A$398, ""(?i)gpt_title_description""), 
  REGEXMATCH(RawData"&amp;"_SemEval!$A$2:$A$398, ""(?i)"" &amp; $B$5),NOT(REGEXMATCH(RawData_SemEval!$A$2:$A$398,  ""(?i)complete""))
)"),0.185)</f>
        <v>0.185</v>
      </c>
    </row>
    <row r="72">
      <c r="A72" s="68"/>
      <c r="B72" s="44" t="s">
        <v>68</v>
      </c>
      <c r="C72" s="71">
        <f>IFERROR(__xludf.DUMMYFUNCTION("FILTER(RawData_SemEval!$B$2:$B$398, 
  REGEXMATCH(RawData_SemEval!$A$2:$A$398, ""(?i)"" &amp; $A$53), 
  REGEXMATCH(RawData_SemEval!$A$2:$A$398, ""(?i)"" &amp; $C$1), 
  REGEXMATCH(RawData_SemEval!$A$2:$A$398, ""(?i)gpt_title_description""), 
  REGEXMATCH(RawData"&amp;"_SemEval!$A$2:$A$398, ""(?i)"" &amp; $B$6),NOT(REGEXMATCH(RawData_SemEval!$A$2:$A$398,  ""(?i)complete""))
)"),0.227)</f>
        <v>0.227</v>
      </c>
      <c r="D72" s="71">
        <f>IFERROR(__xludf.DUMMYFUNCTION("FILTER(RawData_SemEval!$F$2:$F$398, 
  REGEXMATCH(RawData_SemEval!$A$2:$A$398, ""(?i)"" &amp; $A$53), 
  REGEXMATCH(RawData_SemEval!$A$2:$A$398, ""(?i)"" &amp; $C$1), 
  REGEXMATCH(RawData_SemEval!$A$2:$A$398, ""(?i)gpt_title_description""), 
  REGEXMATCH(RawData"&amp;"_SemEval!$A$2:$A$398, ""(?i)"" &amp; $B$6),NOT(REGEXMATCH(RawData_SemEval!$A$2:$A$398,  ""(?i)complete""))
)"),0.093)</f>
        <v>0.093</v>
      </c>
      <c r="E72" s="72">
        <f>IFERROR(__xludf.DUMMYFUNCTION("FILTER(RawData_SemEval!$B$2:$B$398, 
  REGEXMATCH(RawData_SemEval!$A$2:$A$398, ""(?i)"" &amp; $A$53), 
  REGEXMATCH(RawData_SemEval!$A$2:$A$398, ""(?i)"" &amp; $E$1), 
  REGEXMATCH(RawData_SemEval!$A$2:$A$398, ""(?i)gpt_title_description""), 
  REGEXMATCH(RawData"&amp;"_SemEval!$A$2:$A$398, ""(?i)"" &amp; $B$6),NOT(REGEXMATCH(RawData_SemEval!$A$2:$A$398,  ""(?i)complete""))
)"),0.365)</f>
        <v>0.365</v>
      </c>
      <c r="F72" s="71">
        <f>IFERROR(__xludf.DUMMYFUNCTION("FILTER(RawData_SemEval!$F$2:$F$398, 
  REGEXMATCH(RawData_SemEval!$A$2:$A$398, ""(?i)"" &amp; $A$53), 
  REGEXMATCH(RawData_SemEval!$A$2:$A$398, ""(?i)"" &amp; $E$1), 
  REGEXMATCH(RawData_SemEval!$A$2:$A$398, ""(?i)gpt_title_description""), 
  REGEXMATCH(RawData"&amp;"_SemEval!$A$2:$A$398, ""(?i)"" &amp; $B$6),NOT(REGEXMATCH(RawData_SemEval!$A$2:$A$398,  ""(?i)complete""))
)"),0.209)</f>
        <v>0.209</v>
      </c>
      <c r="G72" s="72">
        <f>IFERROR(__xludf.DUMMYFUNCTION("FILTER(RawData_SemEval!$B$2:$B$398, 
  REGEXMATCH(RawData_SemEval!$A$2:$A$398, ""(?i)"" &amp; $A$53), 
  REGEXMATCH(RawData_SemEval!$A$2:$A$398, ""(?i)"" &amp; $G$1), 
  REGEXMATCH(RawData_SemEval!$A$2:$A$398, ""(?i)gpt_title_description""), 
  REGEXMATCH(RawData"&amp;"_SemEval!$A$2:$A$398, ""(?i)"" &amp; $B$6),NOT(REGEXMATCH(RawData_SemEval!$A$2:$A$398,  ""(?i)complete""))
)"),0.355)</f>
        <v>0.355</v>
      </c>
      <c r="H72" s="71">
        <f>IFERROR(__xludf.DUMMYFUNCTION("FILTER(RawData_SemEval!$F$2:$F$398, 
  REGEXMATCH(RawData_SemEval!$A$2:$A$398, ""(?i)"" &amp; $A$53), 
  REGEXMATCH(RawData_SemEval!$A$2:$A$398, ""(?i)"" &amp; $G$1), 
  REGEXMATCH(RawData_SemEval!$A$2:$A$398, ""(?i)gpt_title_description""), 
  REGEXMATCH(RawData"&amp;"_SemEval!$A$2:$A$398, ""(?i)"" &amp; $B$6),NOT(REGEXMATCH(RawData_SemEval!$A$2:$A$398,  ""(?i)complete""))
)"),0.219)</f>
        <v>0.219</v>
      </c>
    </row>
    <row r="73">
      <c r="A73" s="68" t="s">
        <v>111</v>
      </c>
      <c r="B73" s="4" t="s">
        <v>27</v>
      </c>
      <c r="C73" s="73"/>
      <c r="D73" s="73"/>
      <c r="E73" s="70">
        <f>IFERROR(__xludf.DUMMYFUNCTION("FILTER(RawData_SemEval!$B$2:$B$398, 
  REGEXMATCH(RawData_SemEval!$A$2:$A$398, ""(?i)"" &amp; $A$53), 
  REGEXMATCH(RawData_SemEval!$A$2:$A$398, ""(?i)"" &amp; $E$1), 
  REGEXMATCH(RawData_SemEval!$A$2:$A$398, ""(?i)gpt_title_description_complete""), 
  NOT(REGEX"&amp;"MATCH(RawData_SemEval!$A$2:$A$398,  ""(?i)ensemble""))
)"),0.2804)</f>
        <v>0.2804</v>
      </c>
      <c r="F73" s="69">
        <f>IFERROR(__xludf.DUMMYFUNCTION("FILTER(RawData_SemEval!$F$2:$F$398, 
  REGEXMATCH(RawData_SemEval!$A$2:$A$398, ""(?i)"" &amp; $A$53), 
  REGEXMATCH(RawData_SemEval!$A$2:$A$398, ""(?i)"" &amp; $E$1), 
  REGEXMATCH(RawData_SemEval!$A$2:$A$398, ""(?i)gpt_title_description_complete""), 
  NOT(REGEX"&amp;"MATCH(RawData_SemEval!$A$2:$A$398,  ""(?i)ensemble""))
)"),0.136)</f>
        <v>0.136</v>
      </c>
      <c r="G73" s="70">
        <f>IFERROR(__xludf.DUMMYFUNCTION("FILTER(RawData_SemEval!$B$2:$B$398, 
  REGEXMATCH(RawData_SemEval!$A$2:$A$398, ""(?i)"" &amp; $A$53), 
  REGEXMATCH(RawData_SemEval!$A$2:$A$398, ""(?i)"" &amp; $G$1), 
  REGEXMATCH(RawData_SemEval!$A$2:$A$398, ""(?i)gpt_title_description_complete""), 
  NOT(REGEX"&amp;"MATCH(RawData_SemEval!$A$2:$A$398,  ""(?i)ensemble""))
)"),0.2526)</f>
        <v>0.2526</v>
      </c>
      <c r="H73" s="69">
        <f>IFERROR(__xludf.DUMMYFUNCTION("FILTER(RawData_SemEval!$F$2:$F$398, 
  REGEXMATCH(RawData_SemEval!$A$2:$A$398, ""(?i)"" &amp; $A$53), 
  REGEXMATCH(RawData_SemEval!$A$2:$A$398, ""(?i)"" &amp; $G$1), 
  REGEXMATCH(RawData_SemEval!$A$2:$A$398, ""(?i)gpt_title_description_complete""), 
  NOT(REGEX"&amp;"MATCH(RawData_SemEval!$A$2:$A$398,  ""(?i)ensemble""))
)"),0.163)</f>
        <v>0.163</v>
      </c>
    </row>
    <row r="74">
      <c r="A74" s="68"/>
      <c r="B74" s="4" t="s">
        <v>67</v>
      </c>
      <c r="C74" s="73"/>
      <c r="D74" s="73"/>
      <c r="E74" s="70">
        <f>IFERROR(__xludf.DUMMYFUNCTION("FILTER(RawData_SemEval!$B$2:$B$398, 
  REGEXMATCH(RawData_SemEval!$A$2:$A$398, ""(?i)"" &amp; $A$53), 
  REGEXMATCH(RawData_SemEval!$A$2:$A$398, ""(?i)"" &amp; $E$1), 
  REGEXMATCH(RawData_SemEval!$A$2:$A$398, ""(?i)gpt_title_description_complete""), 
  REGEXMATC"&amp;"H(RawData_SemEval!$A$2:$A$398, ""(?i)"" &amp; $B$5)
)"),0.268)</f>
        <v>0.268</v>
      </c>
      <c r="F74" s="69">
        <f>IFERROR(__xludf.DUMMYFUNCTION("FILTER(RawData_SemEval!$F$2:$F$398, 
  REGEXMATCH(RawData_SemEval!$A$2:$A$398, ""(?i)"" &amp; $A$53), 
  REGEXMATCH(RawData_SemEval!$A$2:$A$398, ""(?i)"" &amp; $E$1), 
  REGEXMATCH(RawData_SemEval!$A$2:$A$398, ""(?i)gpt_title_description_complete""), 
  REGEXMATC"&amp;"H(RawData_SemEval!$A$2:$A$398, ""(?i)"" &amp; $B$5)
)"),0.156)</f>
        <v>0.156</v>
      </c>
      <c r="G74" s="70">
        <f>IFERROR(__xludf.DUMMYFUNCTION("FILTER(RawData_SemEval!$B$2:$B$398, 
  REGEXMATCH(RawData_SemEval!$A$2:$A$398, ""(?i)"" &amp; $A$53), 
  REGEXMATCH(RawData_SemEval!$A$2:$A$398, ""(?i)"" &amp; $G$1), 
  REGEXMATCH(RawData_SemEval!$A$2:$A$398, ""(?i)gpt_title_description_complete""), 
  REGEXMATC"&amp;"H(RawData_SemEval!$A$2:$A$398, ""(?i)"" &amp; $B$5)
)"),0.27)</f>
        <v>0.27</v>
      </c>
      <c r="H74" s="69">
        <f>IFERROR(__xludf.DUMMYFUNCTION("FILTER(RawData_SemEval!$F$2:$F$398, 
  REGEXMATCH(RawData_SemEval!$A$2:$A$398, ""(?i)"" &amp; $A$53), 
  REGEXMATCH(RawData_SemEval!$A$2:$A$398, ""(?i)"" &amp; $G$1), 
  REGEXMATCH(RawData_SemEval!$A$2:$A$398, ""(?i)gpt_title_description_complete""), 
  REGEXMATC"&amp;"H(RawData_SemEval!$A$2:$A$398, ""(?i)"" &amp; $B$5)
)"),0.178)</f>
        <v>0.178</v>
      </c>
    </row>
    <row r="75">
      <c r="A75" s="75"/>
      <c r="B75" s="45" t="s">
        <v>68</v>
      </c>
      <c r="C75" s="74"/>
      <c r="D75" s="74"/>
      <c r="E75" s="72">
        <f>IFERROR(__xludf.DUMMYFUNCTION("FILTER(RawData_SemEval!$B$2:$B$398, 
  REGEXMATCH(RawData_SemEval!$A$2:$A$398, ""(?i)"" &amp; $A$53), 
  REGEXMATCH(RawData_SemEval!$A$2:$A$398, ""(?i)"" &amp; $E$1), 
  REGEXMATCH(RawData_SemEval!$A$2:$A$398, ""(?i)gpt_title_description_complete""), 
  REGEXMATC"&amp;"H(RawData_SemEval!$A$2:$A$398, ""(?i)"" &amp; $B$6)
)"),0.361)</f>
        <v>0.361</v>
      </c>
      <c r="F75" s="71">
        <f>IFERROR(__xludf.DUMMYFUNCTION("FILTER(RawData_SemEval!$F$2:$F$398, 
  REGEXMATCH(RawData_SemEval!$A$2:$A$398, ""(?i)"" &amp; $A$53), 
  REGEXMATCH(RawData_SemEval!$A$2:$A$398, ""(?i)"" &amp; $E$1), 
  REGEXMATCH(RawData_SemEval!$A$2:$A$398, ""(?i)gpt_title_description_complete""), 
  REGEXMATC"&amp;"H(RawData_SemEval!$A$2:$A$398, ""(?i)"" &amp; $B$6)
)"),0.18)</f>
        <v>0.18</v>
      </c>
      <c r="G75" s="72">
        <f>IFERROR(__xludf.DUMMYFUNCTION("FILTER(RawData_SemEval!$B$2:$B$398, 
  REGEXMATCH(RawData_SemEval!$A$2:$A$398, ""(?i)"" &amp; $A$53), 
  REGEXMATCH(RawData_SemEval!$A$2:$A$398, ""(?i)"" &amp; $G$1), 
  REGEXMATCH(RawData_SemEval!$A$2:$A$398, ""(?i)gpt_title_description_complete""), 
  REGEXMATC"&amp;"H(RawData_SemEval!$A$2:$A$398, ""(?i)"" &amp; $B$6)
)"),0.318)</f>
        <v>0.318</v>
      </c>
      <c r="H75" s="71">
        <f>IFERROR(__xludf.DUMMYFUNCTION("FILTER(RawData_SemEval!$F$2:$F$398, 
  REGEXMATCH(RawData_SemEval!$A$2:$A$398, ""(?i)"" &amp; $A$53), 
  REGEXMATCH(RawData_SemEval!$A$2:$A$398, ""(?i)"" &amp; $G$1), 
  REGEXMATCH(RawData_SemEval!$A$2:$A$398, ""(?i)gpt_title_description_complete""), 
  REGEXMATC"&amp;"H(RawData_SemEval!$A$2:$A$398, ""(?i)"" &amp; $B$6)
)"),0.202)</f>
        <v>0.202</v>
      </c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>
      <c r="A76" s="4" t="s">
        <v>112</v>
      </c>
      <c r="B76" s="40" t="s">
        <v>9</v>
      </c>
      <c r="C76" s="69">
        <f>IFERROR(__xludf.DUMMYFUNCTION("FILTER(RawData_SemEval!$B$2:$B$398, 
  REGEXMATCH(RawData_SemEval!$A$2:$A$398, ""(?i)"" &amp; $A$77), 
  REGEXMATCH(RawData_SemEval!$A$2:$A$398, ""(?i)"" &amp; $C$1), 
  REGEXMATCH(RawData_SemEval!$A$2:$A$398, ""(?i)"" &amp; $B$4), 
  NOT(REGEXMATCH(RawData_SemEval!$"&amp;"A$2:$A$398,  ""(?i)ensemble""))
)"),0.1712)</f>
        <v>0.1712</v>
      </c>
      <c r="D76" s="69">
        <f>IFERROR(__xludf.DUMMYFUNCTION("FILTER(RawData_SemEval!$F$2:$F$398, 
  REGEXMATCH(RawData_SemEval!$A$2:$A$398, ""(?i)"" &amp; $A$77), 
  REGEXMATCH(RawData_SemEval!$A$2:$A$398, ""(?i)"" &amp; $C$1), 
  REGEXMATCH(RawData_SemEval!$A$2:$A$398, ""(?i)"" &amp; $B$4), 
  NOT(REGEXMATCH(RawData_SemEval!$"&amp;"A$2:$A$398,  ""(?i)ensemble""))
)"),0.1196)</f>
        <v>0.1196</v>
      </c>
      <c r="E76" s="70">
        <f>IFERROR(__xludf.DUMMYFUNCTION("FILTER(RawData_SemEval!$B$2:$B$398, 
  REGEXMATCH(RawData_SemEval!$A$2:$A$398, ""(?i)"" &amp; $A$77), 
  REGEXMATCH(RawData_SemEval!$A$2:$A$398, ""(?i)"" &amp; $E$1), 
  REGEXMATCH(RawData_SemEval!$A$2:$A$398, ""(?i)"" &amp; $B$4), 
  NOT(REGEXMATCH(RawData_SemEval!$"&amp;"A$2:$A$398,  ""(?i)ensemble""))
)"),0.195)</f>
        <v>0.195</v>
      </c>
      <c r="F76" s="69">
        <f>IFERROR(__xludf.DUMMYFUNCTION("FILTER(RawData_SemEval!$F$2:$F$398, 
  REGEXMATCH(RawData_SemEval!$A$2:$A$398, ""(?i)"" &amp; $A$77), 
  REGEXMATCH(RawData_SemEval!$A$2:$A$398, ""(?i)"" &amp; $E$1), 
  REGEXMATCH(RawData_SemEval!$A$2:$A$398, ""(?i)"" &amp; $B$4), 
  NOT(REGEXMATCH(RawData_SemEval!$"&amp;"A$2:$A$398,  ""(?i)ensemble""))
)"),0.1172)</f>
        <v>0.1172</v>
      </c>
      <c r="G76" s="70">
        <f>IFERROR(__xludf.DUMMYFUNCTION("FILTER(RawData_SemEval!$B$2:$B$398, 
  REGEXMATCH(RawData_SemEval!$A$2:$A$398, ""(?i)"" &amp; $A$77), 
  REGEXMATCH(RawData_SemEval!$A$2:$A$398, ""(?i)"" &amp; $G$1), 
  REGEXMATCH(RawData_SemEval!$A$2:$A$398, ""(?i)"" &amp; $B$4), 
  NOT(REGEXMATCH(RawData_SemEval!$"&amp;"A$2:$A$398,  ""(?i)ensemble""))
)"),0.179199999999999)</f>
        <v>0.1792</v>
      </c>
      <c r="H76" s="69">
        <f>IFERROR(__xludf.DUMMYFUNCTION("FILTER(RawData_SemEval!$F$2:$F$398, 
  REGEXMATCH(RawData_SemEval!$A$2:$A$398, ""(?i)"" &amp; $A$77), 
  REGEXMATCH(RawData_SemEval!$A$2:$A$398, ""(?i)"" &amp; $G$1), 
  REGEXMATCH(RawData_SemEval!$A$2:$A$398, ""(?i)"" &amp; $B$4), 
  NOT(REGEXMATCH(RawData_SemEval!$"&amp;"A$2:$A$398,  ""(?i)ensemble""))
)"),0.1202)</f>
        <v>0.1202</v>
      </c>
    </row>
    <row r="77">
      <c r="A77" s="68" t="s">
        <v>7</v>
      </c>
      <c r="B77" s="40" t="s">
        <v>67</v>
      </c>
      <c r="C77" s="69">
        <f>IFERROR(__xludf.DUMMYFUNCTION("FILTER(RawData_SemEval!$B$2:$B$398, 
  REGEXMATCH(RawData_SemEval!$A$2:$A$398, ""(?i)"" &amp; $A$77), 
  REGEXMATCH(RawData_SemEval!$A$2:$A$398, ""(?i)"" &amp; $C$1), 
  REGEXMATCH(RawData_SemEval!$A$2:$A$398, ""(?i)"" &amp; $B$4), 
  REGEXMATCH(RawData_SemEval!$A$2:"&amp;"$A$398, ""(?i)"" &amp; $B$5)
)"),0.221)</f>
        <v>0.221</v>
      </c>
      <c r="D77" s="69">
        <f>IFERROR(__xludf.DUMMYFUNCTION("FILTER(RawData_SemEval!$F$2:$F$398, 
  REGEXMATCH(RawData_SemEval!$A$2:$A$398, ""(?i)"" &amp; $A$77), 
  REGEXMATCH(RawData_SemEval!$A$2:$A$398, ""(?i)"" &amp; $C$1), 
  REGEXMATCH(RawData_SemEval!$A$2:$A$398, ""(?i)"" &amp; $B$4), 
  REGEXMATCH(RawData_SemEval!$A$2:"&amp;"$A$398, ""(?i)"" &amp; $B$5)
)"),0.191)</f>
        <v>0.191</v>
      </c>
      <c r="E77" s="70">
        <f>IFERROR(__xludf.DUMMYFUNCTION("FILTER(RawData_SemEval!$B$2:$B$398, 
  REGEXMATCH(RawData_SemEval!$A$2:$A$398, ""(?i)"" &amp; $A$77), 
  REGEXMATCH(RawData_SemEval!$A$2:$A$398, ""(?i)"" &amp; $E$1), 
  REGEXMATCH(RawData_SemEval!$A$2:$A$398, ""(?i)"" &amp; $B$4), 
  REGEXMATCH(RawData_SemEval!$A$2:"&amp;"$A$398, ""(?i)"" &amp; $B$5)
)"),0.269)</f>
        <v>0.269</v>
      </c>
      <c r="F77" s="69">
        <f>IFERROR(__xludf.DUMMYFUNCTION("FILTER(RawData_SemEval!$F$2:$F$398, 
  REGEXMATCH(RawData_SemEval!$A$2:$A$398, ""(?i)"" &amp; $A$77), 
  REGEXMATCH(RawData_SemEval!$A$2:$A$398, ""(?i)"" &amp; $E$1), 
  REGEXMATCH(RawData_SemEval!$A$2:$A$398, ""(?i)"" &amp; $B$4), 
  REGEXMATCH(RawData_SemEval!$A$2:"&amp;"$A$398, ""(?i)"" &amp; $B$5)
)"),0.208)</f>
        <v>0.208</v>
      </c>
      <c r="G77" s="70">
        <f>IFERROR(__xludf.DUMMYFUNCTION("FILTER(RawData_SemEval!$B$2:$B$398, 
  REGEXMATCH(RawData_SemEval!$A$2:$A$398, ""(?i)"" &amp; $A$77), 
  REGEXMATCH(RawData_SemEval!$A$2:$A$398, ""(?i)"" &amp; $G$1), 
  REGEXMATCH(RawData_SemEval!$A$2:$A$398, ""(?i)"" &amp; $B$4), 
  REGEXMATCH(RawData_SemEval!$A$2:"&amp;"$A$398, ""(?i)"" &amp; $B$5)
)"),0.197)</f>
        <v>0.197</v>
      </c>
      <c r="H77" s="69">
        <f>IFERROR(__xludf.DUMMYFUNCTION("FILTER(RawData_SemEval!$F$2:$F$398, 
  REGEXMATCH(RawData_SemEval!$A$2:$A$398, ""(?i)"" &amp; $A$77), 
  REGEXMATCH(RawData_SemEval!$A$2:$A$398, ""(?i)"" &amp; $G$1), 
  REGEXMATCH(RawData_SemEval!$A$2:$A$398, ""(?i)"" &amp; $B$4), 
  REGEXMATCH(RawData_SemEval!$A$2:"&amp;"$A$398, ""(?i)"" &amp; $B$5)
)"),0.148)</f>
        <v>0.148</v>
      </c>
    </row>
    <row r="78">
      <c r="A78" s="68"/>
      <c r="B78" s="44" t="s">
        <v>68</v>
      </c>
      <c r="C78" s="71">
        <f>IFERROR(__xludf.DUMMYFUNCTION("FILTER(RawData_SemEval!$B$2:$B$398, 
  REGEXMATCH(RawData_SemEval!$A$2:$A$398, ""(?i)"" &amp; $A$77), 
  REGEXMATCH(RawData_SemEval!$A$2:$A$398, ""(?i)"" &amp; $C$1), 
  REGEXMATCH(RawData_SemEval!$A$2:$A$398, ""(?i)"" &amp; $B$4), 
  REGEXMATCH(RawData_SemEval!$A$2:"&amp;"$A$398, ""(?i)"" &amp; $B$6)
)"),0.232)</f>
        <v>0.232</v>
      </c>
      <c r="D78" s="71">
        <f>IFERROR(__xludf.DUMMYFUNCTION("FILTER(RawData_SemEval!$F$2:$F$398, 
  REGEXMATCH(RawData_SemEval!$A$2:$A$398, ""(?i)"" &amp; $A$77), 
  REGEXMATCH(RawData_SemEval!$A$2:$A$398, ""(?i)"" &amp; $C$1), 
  REGEXMATCH(RawData_SemEval!$A$2:$A$398, ""(?i)"" &amp; $B$4), 
  REGEXMATCH(RawData_SemEval!$A$2:"&amp;"$A$398, ""(?i)"" &amp; $B$6)
)"),0.137)</f>
        <v>0.137</v>
      </c>
      <c r="E78" s="72">
        <f>IFERROR(__xludf.DUMMYFUNCTION("FILTER(RawData_SemEval!$B$2:$B$398, 
  REGEXMATCH(RawData_SemEval!$A$2:$A$398, ""(?i)"" &amp; $A$77), 
  REGEXMATCH(RawData_SemEval!$A$2:$A$398, ""(?i)"" &amp; $E$1), 
  REGEXMATCH(RawData_SemEval!$A$2:$A$398, ""(?i)"" &amp; $B$4), 
  REGEXMATCH(RawData_SemEval!$A$2:"&amp;"$A$398, ""(?i)"" &amp; $B$6)
)"),0.249)</f>
        <v>0.249</v>
      </c>
      <c r="F78" s="71">
        <f>IFERROR(__xludf.DUMMYFUNCTION("FILTER(RawData_SemEval!$F$2:$F$398, 
  REGEXMATCH(RawData_SemEval!$A$2:$A$398, ""(?i)"" &amp; $A$77), 
  REGEXMATCH(RawData_SemEval!$A$2:$A$398, ""(?i)"" &amp; $E$1), 
  REGEXMATCH(RawData_SemEval!$A$2:$A$398, ""(?i)"" &amp; $B$4), 
  REGEXMATCH(RawData_SemEval!$A$2:"&amp;"$A$398, ""(?i)"" &amp; $B$6)
)"),0.13)</f>
        <v>0.13</v>
      </c>
      <c r="G78" s="72">
        <f>IFERROR(__xludf.DUMMYFUNCTION("FILTER(RawData_SemEval!$B$2:$B$398, 
  REGEXMATCH(RawData_SemEval!$A$2:$A$398, ""(?i)"" &amp; $A$77), 
  REGEXMATCH(RawData_SemEval!$A$2:$A$398, ""(?i)"" &amp; $G$1), 
  REGEXMATCH(RawData_SemEval!$A$2:$A$398, ""(?i)"" &amp; $B$4), 
  REGEXMATCH(RawData_SemEval!$A$2:"&amp;"$A$398, ""(?i)"" &amp; $B$6)
)"),0.212)</f>
        <v>0.212</v>
      </c>
      <c r="H78" s="71">
        <f>IFERROR(__xludf.DUMMYFUNCTION("FILTER(RawData_SemEval!$F$2:$F$398, 
  REGEXMATCH(RawData_SemEval!$A$2:$A$398, ""(?i)"" &amp; $A$77), 
  REGEXMATCH(RawData_SemEval!$A$2:$A$398, ""(?i)"" &amp; $G$1), 
  REGEXMATCH(RawData_SemEval!$A$2:$A$398, ""(?i)"" &amp; $B$4), 
  REGEXMATCH(RawData_SemEval!$A$2:"&amp;"$A$398, ""(?i)"" &amp; $B$6)
)"),0.133)</f>
        <v>0.133</v>
      </c>
    </row>
    <row r="79">
      <c r="A79" s="68" t="s">
        <v>113</v>
      </c>
      <c r="B79" s="4" t="s">
        <v>11</v>
      </c>
      <c r="C79" s="69">
        <f>IFERROR(__xludf.DUMMYFUNCTION("FILTER(RawData_SemEval!$B$2:$B$398, 
  REGEXMATCH(RawData_SemEval!$A$2:$A$398, ""(?i)"" &amp; $A$77), 
  REGEXMATCH(RawData_SemEval!$A$2:$A$398, ""(?i)"" &amp; $C$1), 
  REGEXMATCH(RawData_SemEval!$A$2:$A$398, ""(?i)"" &amp; $B$7), 
  NOT(REGEXMATCH(RawData_SemEval!$"&amp;"A$2:$A$398,  ""(?i)ensemble""))
)"),0.1846)</f>
        <v>0.1846</v>
      </c>
      <c r="D79" s="69">
        <f>IFERROR(__xludf.DUMMYFUNCTION("FILTER(RawData_SemEval!$F$2:$F$398, 
  REGEXMATCH(RawData_SemEval!$A$2:$A$398, ""(?i)"" &amp; $A$77), 
  REGEXMATCH(RawData_SemEval!$A$2:$A$398, ""(?i)"" &amp; $C$1), 
  REGEXMATCH(RawData_SemEval!$A$2:$A$398, ""(?i)"" &amp; $B$7), 
  NOT(REGEXMATCH(RawData_SemEval!$"&amp;"A$2:$A$398,  ""(?i)ensemble""))
)"),0.1186)</f>
        <v>0.1186</v>
      </c>
      <c r="E79" s="70">
        <f>IFERROR(__xludf.DUMMYFUNCTION("FILTER(RawData_SemEval!$B$2:$B$398, 
  REGEXMATCH(RawData_SemEval!$A$2:$A$398, ""(?i)"" &amp; $A$77), 
  REGEXMATCH(RawData_SemEval!$A$2:$A$398, ""(?i)"" &amp; $E$1), 
  REGEXMATCH(RawData_SemEval!$A$2:$A$398, ""(?i)"" &amp; $B$7), 
  NOT(REGEXMATCH(RawData_SemEval!$"&amp;"A$2:$A$398,  ""(?i)ensemble""))
)"),0.177)</f>
        <v>0.177</v>
      </c>
      <c r="F79" s="69">
        <f>IFERROR(__xludf.DUMMYFUNCTION("FILTER(RawData_SemEval!$F$2:$F$398, 
  REGEXMATCH(RawData_SemEval!$A$2:$A$398, ""(?i)"" &amp; $A$77), 
  REGEXMATCH(RawData_SemEval!$A$2:$A$398, ""(?i)"" &amp; $E$1), 
  REGEXMATCH(RawData_SemEval!$A$2:$A$398, ""(?i)"" &amp; $B$7), 
  NOT(REGEXMATCH(RawData_SemEval!$"&amp;"A$2:$A$398,  ""(?i)ensemble""))
)"),0.08)</f>
        <v>0.08</v>
      </c>
      <c r="G79" s="70">
        <f>IFERROR(__xludf.DUMMYFUNCTION("FILTER(RawData_SemEval!$B$2:$B$398, 
  REGEXMATCH(RawData_SemEval!$A$2:$A$398, ""(?i)"" &amp; $A$77), 
  REGEXMATCH(RawData_SemEval!$A$2:$A$398, ""(?i)"" &amp; $G$1), 
  REGEXMATCH(RawData_SemEval!$A$2:$A$398, ""(?i)"" &amp; $B$7), 
  NOT(REGEXMATCH(RawData_SemEval!$"&amp;"A$2:$A$398,  ""(?i)ensemble""))
)"),0.1666)</f>
        <v>0.1666</v>
      </c>
      <c r="H79" s="69">
        <f>IFERROR(__xludf.DUMMYFUNCTION("FILTER(RawData_SemEval!$F$2:$F$398, 
  REGEXMATCH(RawData_SemEval!$A$2:$A$398, ""(?i)"" &amp; $A$77), 
  REGEXMATCH(RawData_SemEval!$A$2:$A$398, ""(?i)"" &amp; $G$1), 
  REGEXMATCH(RawData_SemEval!$A$2:$A$398, ""(?i)"" &amp; $B$7), 
  NOT(REGEXMATCH(RawData_SemEval!$"&amp;"A$2:$A$398,  ""(?i)ensemble""))
)"),0.1056)</f>
        <v>0.1056</v>
      </c>
    </row>
    <row r="80">
      <c r="A80" s="68"/>
      <c r="B80" s="4" t="s">
        <v>67</v>
      </c>
      <c r="C80" s="69">
        <f>IFERROR(__xludf.DUMMYFUNCTION("FILTER(RawData_SemEval!$B$2:$B$398, 
  REGEXMATCH(RawData_SemEval!$A$2:$A$398, ""(?i)"" &amp; $A$77), 
  REGEXMATCH(RawData_SemEval!$A$2:$A$398, ""(?i)"" &amp; $C$1), 
  REGEXMATCH(RawData_SemEval!$A$2:$A$398, ""(?i)"" &amp; $B$7), 
  REGEXMATCH(RawData_SemEval!$A$2:"&amp;"$A$398, ""(?i)"" &amp; $B$5)
)"),0.277)</f>
        <v>0.277</v>
      </c>
      <c r="D80" s="69">
        <f>IFERROR(__xludf.DUMMYFUNCTION("FILTER(RawData_SemEval!$F$2:$F$398, 
  REGEXMATCH(RawData_SemEval!$A$2:$A$398, ""(?i)"" &amp; $A$77), 
  REGEXMATCH(RawData_SemEval!$A$2:$A$398, ""(?i)"" &amp; $C$1), 
  REGEXMATCH(RawData_SemEval!$A$2:$A$398, ""(?i)"" &amp; $B$7), 
  REGEXMATCH(RawData_SemEval!$A$2:"&amp;"$A$398, ""(?i)"" &amp; $B$5)
)"),0.228)</f>
        <v>0.228</v>
      </c>
      <c r="E80" s="70">
        <f>IFERROR(__xludf.DUMMYFUNCTION("FILTER(RawData_SemEval!$B$2:$B$398, 
  REGEXMATCH(RawData_SemEval!$A$2:$A$398, ""(?i)"" &amp; $A$77), 
  REGEXMATCH(RawData_SemEval!$A$2:$A$398, ""(?i)"" &amp; $E$1), 
  REGEXMATCH(RawData_SemEval!$A$2:$A$398, ""(?i)"" &amp; $B$7), 
  REGEXMATCH(RawData_SemEval!$A$2:"&amp;"$A$398, ""(?i)"" &amp; $B$5)
)"),0.207)</f>
        <v>0.207</v>
      </c>
      <c r="F80" s="69">
        <f>IFERROR(__xludf.DUMMYFUNCTION("FILTER(RawData_SemEval!$F$2:$F$398, 
  REGEXMATCH(RawData_SemEval!$A$2:$A$398, ""(?i)"" &amp; $A$77), 
  REGEXMATCH(RawData_SemEval!$A$2:$A$398, ""(?i)"" &amp; $E$1), 
  REGEXMATCH(RawData_SemEval!$A$2:$A$398, ""(?i)"" &amp; $B$7), 
  REGEXMATCH(RawData_SemEval!$A$2:"&amp;"$A$398, ""(?i)"" &amp; $B$5)
)"),0.142)</f>
        <v>0.142</v>
      </c>
      <c r="G80" s="70">
        <f>IFERROR(__xludf.DUMMYFUNCTION("FILTER(RawData_SemEval!$B$2:$B$398, 
  REGEXMATCH(RawData_SemEval!$A$2:$A$398, ""(?i)"" &amp; $A$77), 
  REGEXMATCH(RawData_SemEval!$A$2:$A$398, ""(?i)"" &amp; $G$1), 
  REGEXMATCH(RawData_SemEval!$A$2:$A$398, ""(?i)"" &amp; $B$7), 
  REGEXMATCH(RawData_SemEval!$A$2:"&amp;"$A$398, ""(?i)"" &amp; $B$5)
)"),0.196)</f>
        <v>0.196</v>
      </c>
      <c r="H80" s="69">
        <f>IFERROR(__xludf.DUMMYFUNCTION("FILTER(RawData_SemEval!$F$2:$F$398, 
  REGEXMATCH(RawData_SemEval!$A$2:$A$398, ""(?i)"" &amp; $A$77), 
  REGEXMATCH(RawData_SemEval!$A$2:$A$398, ""(?i)"" &amp; $G$1), 
  REGEXMATCH(RawData_SemEval!$A$2:$A$398, ""(?i)"" &amp; $B$7), 
  REGEXMATCH(RawData_SemEval!$A$2:"&amp;"$A$398, ""(?i)"" &amp; $B$5)
)"),0.142)</f>
        <v>0.142</v>
      </c>
    </row>
    <row r="81">
      <c r="A81" s="68"/>
      <c r="B81" s="44" t="s">
        <v>68</v>
      </c>
      <c r="C81" s="71">
        <f>IFERROR(__xludf.DUMMYFUNCTION("FILTER(RawData_SemEval!$B$2:$B$398, 
  REGEXMATCH(RawData_SemEval!$A$2:$A$398, ""(?i)"" &amp; $A$77), 
  REGEXMATCH(RawData_SemEval!$A$2:$A$398, ""(?i)"" &amp; $C$1), 
  REGEXMATCH(RawData_SemEval!$A$2:$A$398, ""(?i)"" &amp; $B$7), 
  REGEXMATCH(RawData_SemEval!$A$2:"&amp;"$A$398, ""(?i)"" &amp; $B$6)
)"),0.224)</f>
        <v>0.224</v>
      </c>
      <c r="D81" s="71">
        <f>IFERROR(__xludf.DUMMYFUNCTION("FILTER(RawData_SemEval!$F$2:$F$398, 
  REGEXMATCH(RawData_SemEval!$A$2:$A$398, ""(?i)"" &amp; $A$77), 
  REGEXMATCH(RawData_SemEval!$A$2:$A$398, ""(?i)"" &amp; $C$1), 
  REGEXMATCH(RawData_SemEval!$A$2:$A$398, ""(?i)"" &amp; $B$7), 
  REGEXMATCH(RawData_SemEval!$A$2:"&amp;"$A$398, ""(?i)"" &amp; $B$6)
)"),0.121)</f>
        <v>0.121</v>
      </c>
      <c r="E81" s="72">
        <f>IFERROR(__xludf.DUMMYFUNCTION("FILTER(RawData_SemEval!$B$2:$B$398, 
  REGEXMATCH(RawData_SemEval!$A$2:$A$398, ""(?i)"" &amp; $A$77), 
  REGEXMATCH(RawData_SemEval!$A$2:$A$398, ""(?i)"" &amp; $E$1), 
  REGEXMATCH(RawData_SemEval!$A$2:$A$398, ""(?i)"" &amp; $B$7), 
  REGEXMATCH(RawData_SemEval!$A$2:"&amp;"$A$398, ""(?i)"" &amp; $B$6)
)"),0.23)</f>
        <v>0.23</v>
      </c>
      <c r="F81" s="71">
        <f>IFERROR(__xludf.DUMMYFUNCTION("FILTER(RawData_SemEval!$F$2:$F$398, 
  REGEXMATCH(RawData_SemEval!$A$2:$A$398, ""(?i)"" &amp; $A$77), 
  REGEXMATCH(RawData_SemEval!$A$2:$A$398, ""(?i)"" &amp; $E$1), 
  REGEXMATCH(RawData_SemEval!$A$2:$A$398, ""(?i)"" &amp; $B$7), 
  REGEXMATCH(RawData_SemEval!$A$2:"&amp;"$A$398, ""(?i)"" &amp; $B$6)
)"),0.112)</f>
        <v>0.112</v>
      </c>
      <c r="G81" s="72">
        <f>IFERROR(__xludf.DUMMYFUNCTION("FILTER(RawData_SemEval!$B$2:$B$398, 
  REGEXMATCH(RawData_SemEval!$A$2:$A$398, ""(?i)"" &amp; $A$77), 
  REGEXMATCH(RawData_SemEval!$A$2:$A$398, ""(?i)"" &amp; $G$1), 
  REGEXMATCH(RawData_SemEval!$A$2:$A$398, ""(?i)"" &amp; $B$7), 
  REGEXMATCH(RawData_SemEval!$A$2:"&amp;"$A$398, ""(?i)"" &amp; $B$6)
)"),0.203)</f>
        <v>0.203</v>
      </c>
      <c r="H81" s="71">
        <f>IFERROR(__xludf.DUMMYFUNCTION("FILTER(RawData_SemEval!$F$2:$F$398, 
  REGEXMATCH(RawData_SemEval!$A$2:$A$398, ""(?i)"" &amp; $A$77), 
  REGEXMATCH(RawData_SemEval!$A$2:$A$398, ""(?i)"" &amp; $G$1), 
  REGEXMATCH(RawData_SemEval!$A$2:$A$398, ""(?i)"" &amp; $B$7), 
  REGEXMATCH(RawData_SemEval!$A$2:"&amp;"$A$398, ""(?i)"" &amp; $B$6)
)"),0.118)</f>
        <v>0.118</v>
      </c>
    </row>
    <row r="82">
      <c r="A82" s="68" t="s">
        <v>114</v>
      </c>
      <c r="B82" s="4" t="s">
        <v>15</v>
      </c>
      <c r="C82" s="69">
        <f>IFERROR(__xludf.DUMMYFUNCTION("FILTER(RawData_SemEval!$B$2:$B$398, 
  REGEXMATCH(RawData_SemEval!$A$2:$A$398, ""(?i)"" &amp; $A$77), 
  REGEXMATCH(RawData_SemEval!$A$2:$A$398, ""(?i)"" &amp; $C$1), 
  REGEXMATCH(RawData_SemEval!$A$2:$A$398, ""(?i)"" &amp; $A$82), 
  NOT(REGEXMATCH(RawData_SemEval!"&amp;"$A$2:$A$398,  ""(?i)ensemble""))
)"),0.1968)</f>
        <v>0.1968</v>
      </c>
      <c r="D82" s="69">
        <f>IFERROR(__xludf.DUMMYFUNCTION("FILTER(RawData_SemEval!$F$2:$F$398, 
  REGEXMATCH(RawData_SemEval!$A$2:$A$398, ""(?i)"" &amp; $A$77), 
  REGEXMATCH(RawData_SemEval!$A$2:$A$398, ""(?i)"" &amp; $C$1), 
  REGEXMATCH(RawData_SemEval!$A$2:$A$398, ""(?i)"" &amp; $A$82), 
  NOT(REGEXMATCH(RawData_SemEval!"&amp;"$A$2:$A$398,  ""(?i)ensemble""))
)"),0.161199999999999)</f>
        <v>0.1612</v>
      </c>
      <c r="E82" s="70">
        <f>IFERROR(__xludf.DUMMYFUNCTION("FILTER(RawData_SemEval!$B$2:$B$398, 
  REGEXMATCH(RawData_SemEval!$A$2:$A$398, ""(?i)"" &amp; $A$77), 
  REGEXMATCH(RawData_SemEval!$A$2:$A$398, ""(?i)"" &amp; $E$1), 
  REGEXMATCH(RawData_SemEval!$A$2:$A$398, ""(?i)"" &amp; $A$82), 
  NOT(REGEXMATCH(RawData_SemEval!"&amp;"$A$2:$A$398,  ""(?i)ensemble""))
)"),0.1542)</f>
        <v>0.1542</v>
      </c>
      <c r="F82" s="69">
        <f>IFERROR(__xludf.DUMMYFUNCTION("FILTER(RawData_SemEval!$F$2:$F$398, 
  REGEXMATCH(RawData_SemEval!$A$2:$A$398, ""(?i)"" &amp; $A$77), 
  REGEXMATCH(RawData_SemEval!$A$2:$A$398, ""(?i)"" &amp; $E$1), 
  REGEXMATCH(RawData_SemEval!$A$2:$A$398, ""(?i)"" &amp; $A$82), 
  NOT(REGEXMATCH(RawData_SemEval!"&amp;"$A$2:$A$398,  ""(?i)ensemble""))
)"),0.0616)</f>
        <v>0.0616</v>
      </c>
      <c r="G82" s="70">
        <f>IFERROR(__xludf.DUMMYFUNCTION("FILTER(RawData_SemEval!$B$2:$B$398, 
  REGEXMATCH(RawData_SemEval!$A$2:$A$398, ""(?i)"" &amp; $A$77), 
  REGEXMATCH(RawData_SemEval!$A$2:$A$398, ""(?i)"" &amp; $G$1), 
  REGEXMATCH(RawData_SemEval!$A$2:$A$398, ""(?i)"" &amp; $A$82), 
  NOT(REGEXMATCH(RawData_SemEval!"&amp;"$A$2:$A$398,  ""(?i)ensemble""))
)"),0.1424)</f>
        <v>0.1424</v>
      </c>
      <c r="H82" s="69">
        <f>IFERROR(__xludf.DUMMYFUNCTION("FILTER(RawData_SemEval!$F$2:$F$398, 
  REGEXMATCH(RawData_SemEval!$A$2:$A$398, ""(?i)"" &amp; $A$77), 
  REGEXMATCH(RawData_SemEval!$A$2:$A$398, ""(?i)"" &amp; $G$1), 
  REGEXMATCH(RawData_SemEval!$A$2:$A$398, ""(?i)"" &amp; $A$82), 
  NOT(REGEXMATCH(RawData_SemEval!"&amp;"$A$2:$A$398,  ""(?i)ensemble""))
)"),0.0802)</f>
        <v>0.0802</v>
      </c>
    </row>
    <row r="83">
      <c r="A83" s="68"/>
      <c r="B83" s="4" t="s">
        <v>67</v>
      </c>
      <c r="C83" s="69">
        <f>IFERROR(__xludf.DUMMYFUNCTION("FILTER(RawData_SemEval!$B$2:$B$398, 
  REGEXMATCH(RawData_SemEval!$A$2:$A$398, ""(?i)"" &amp; $A$77), 
  REGEXMATCH(RawData_SemEval!$A$2:$A$398, ""(?i)"" &amp; $C$1), 
  REGEXMATCH(RawData_SemEval!$A$2:$A$398, ""(?i)"" &amp; $A$82), 
  REGEXMATCH(RawData_SemEval!$A$2"&amp;":$A$398, ""(?i)"" &amp; $B$5)
)"),0.297)</f>
        <v>0.297</v>
      </c>
      <c r="D83" s="69">
        <f>IFERROR(__xludf.DUMMYFUNCTION("FILTER(RawData_SemEval!$F$2:$F$398, 
  REGEXMATCH(RawData_SemEval!$A$2:$A$398, ""(?i)"" &amp; $A$77), 
  REGEXMATCH(RawData_SemEval!$A$2:$A$398, ""(?i)"" &amp; $C$1), 
  REGEXMATCH(RawData_SemEval!$A$2:$A$398, ""(?i)"" &amp; $A$82), 
  REGEXMATCH(RawData_SemEval!$A$2"&amp;":$A$398, ""(?i)"" &amp; $B$5)
)"),0.287)</f>
        <v>0.287</v>
      </c>
      <c r="E83" s="70">
        <f>IFERROR(__xludf.DUMMYFUNCTION("FILTER(RawData_SemEval!$B$2:$B$398, 
  REGEXMATCH(RawData_SemEval!$A$2:$A$398, ""(?i)"" &amp; $A$77), 
  REGEXMATCH(RawData_SemEval!$A$2:$A$398, ""(?i)"" &amp; $E$1), 
  REGEXMATCH(RawData_SemEval!$A$2:$A$398, ""(?i)"" &amp; $A$82), 
  REGEXMATCH(RawData_SemEval!$A$2"&amp;":$A$398, ""(?i)"" &amp; $B$5)
)"),0.26)</f>
        <v>0.26</v>
      </c>
      <c r="F83" s="69">
        <f>IFERROR(__xludf.DUMMYFUNCTION("FILTER(RawData_SemEval!$F$2:$F$398, 
  REGEXMATCH(RawData_SemEval!$A$2:$A$398, ""(?i)"" &amp; $A$77), 
  REGEXMATCH(RawData_SemEval!$A$2:$A$398, ""(?i)"" &amp; $E$1), 
  REGEXMATCH(RawData_SemEval!$A$2:$A$398, ""(?i)"" &amp; $A$82), 
  REGEXMATCH(RawData_SemEval!$A$2"&amp;":$A$398, ""(?i)"" &amp; $B$5)
)"),0.209)</f>
        <v>0.209</v>
      </c>
      <c r="G83" s="70">
        <f>IFERROR(__xludf.DUMMYFUNCTION("FILTER(RawData_SemEval!$B$2:$B$398, 
  REGEXMATCH(RawData_SemEval!$A$2:$A$398, ""(?i)"" &amp; $A$77), 
  REGEXMATCH(RawData_SemEval!$A$2:$A$398, ""(?i)"" &amp; $G$1), 
  REGEXMATCH(RawData_SemEval!$A$2:$A$398, ""(?i)"" &amp; $A$82), 
  REGEXMATCH(RawData_SemEval!$A$2"&amp;":$A$398, ""(?i)"" &amp; $B$5)
)"),0.15)</f>
        <v>0.15</v>
      </c>
      <c r="H83" s="69">
        <f>IFERROR(__xludf.DUMMYFUNCTION("FILTER(RawData_SemEval!$F$2:$F$398, 
  REGEXMATCH(RawData_SemEval!$A$2:$A$398, ""(?i)"" &amp; $A$77), 
  REGEXMATCH(RawData_SemEval!$A$2:$A$398, ""(?i)"" &amp; $G$1), 
  REGEXMATCH(RawData_SemEval!$A$2:$A$398, ""(?i)"" &amp; $A$82), 
  REGEXMATCH(RawData_SemEval!$A$2"&amp;":$A$398, ""(?i)"" &amp; $B$5)
)"),0.109)</f>
        <v>0.109</v>
      </c>
    </row>
    <row r="84">
      <c r="A84" s="68"/>
      <c r="B84" s="44" t="s">
        <v>68</v>
      </c>
      <c r="C84" s="71">
        <f>IFERROR(__xludf.DUMMYFUNCTION("FILTER(RawData_SemEval!$B$2:$B$398, 
  REGEXMATCH(RawData_SemEval!$A$2:$A$398, ""(?i)"" &amp; $A$77), 
  REGEXMATCH(RawData_SemEval!$A$2:$A$398, ""(?i)"" &amp; $C$1), 
  REGEXMATCH(RawData_SemEval!$A$2:$A$398, ""(?i)"" &amp; $A$82), 
  REGEXMATCH(RawData_SemEval!$A$2"&amp;":$A$398, ""(?i)"" &amp; $B$6)
)"),0.228)</f>
        <v>0.228</v>
      </c>
      <c r="D84" s="71">
        <f>IFERROR(__xludf.DUMMYFUNCTION("FILTER(RawData_SemEval!$F$2:$F$398, 
  REGEXMATCH(RawData_SemEval!$A$2:$A$398, ""(?i)"" &amp; $A$77), 
  REGEXMATCH(RawData_SemEval!$A$2:$A$398, ""(?i)"" &amp; $C$1), 
  REGEXMATCH(RawData_SemEval!$A$2:$A$398, ""(?i)"" &amp; $A$82), 
  REGEXMATCH(RawData_SemEval!$A$2"&amp;":$A$398, ""(?i)"" &amp; $B$6)
)"),0.143)</f>
        <v>0.143</v>
      </c>
      <c r="E84" s="72">
        <f>IFERROR(__xludf.DUMMYFUNCTION("FILTER(RawData_SemEval!$B$2:$B$398, 
  REGEXMATCH(RawData_SemEval!$A$2:$A$398, ""(?i)"" &amp; $A$77), 
  REGEXMATCH(RawData_SemEval!$A$2:$A$398, ""(?i)"" &amp; $E$1), 
  REGEXMATCH(RawData_SemEval!$A$2:$A$398, ""(?i)"" &amp; $A$82), 
  REGEXMATCH(RawData_SemEval!$A$2"&amp;":$A$398, ""(?i)"" &amp; $B$6)
)"),0.217)</f>
        <v>0.217</v>
      </c>
      <c r="F84" s="71">
        <f>IFERROR(__xludf.DUMMYFUNCTION("FILTER(RawData_SemEval!$F$2:$F$398, 
  REGEXMATCH(RawData_SemEval!$A$2:$A$398, ""(?i)"" &amp; $A$77), 
  REGEXMATCH(RawData_SemEval!$A$2:$A$398, ""(?i)"" &amp; $E$1), 
  REGEXMATCH(RawData_SemEval!$A$2:$A$398, ""(?i)"" &amp; $A$82), 
  REGEXMATCH(RawData_SemEval!$A$2"&amp;":$A$398, ""(?i)"" &amp; $B$6)
)"),0.095)</f>
        <v>0.095</v>
      </c>
      <c r="G84" s="72">
        <f>IFERROR(__xludf.DUMMYFUNCTION("FILTER(RawData_SemEval!$B$2:$B$398, 
  REGEXMATCH(RawData_SemEval!$A$2:$A$398, ""(?i)"" &amp; $A$77), 
  REGEXMATCH(RawData_SemEval!$A$2:$A$398, ""(?i)"" &amp; $G$1), 
  REGEXMATCH(RawData_SemEval!$A$2:$A$398, ""(?i)"" &amp; $A$82), 
  REGEXMATCH(RawData_SemEval!$A$2"&amp;":$A$398, ""(?i)"" &amp; $B$6)
)"),0.19)</f>
        <v>0.19</v>
      </c>
      <c r="H84" s="71">
        <f>IFERROR(__xludf.DUMMYFUNCTION("FILTER(RawData_SemEval!$F$2:$F$398, 
  REGEXMATCH(RawData_SemEval!$A$2:$A$398, ""(?i)"" &amp; $A$77), 
  REGEXMATCH(RawData_SemEval!$A$2:$A$398, ""(?i)"" &amp; $G$1), 
  REGEXMATCH(RawData_SemEval!$A$2:$A$398, ""(?i)"" &amp; $A$82), 
  REGEXMATCH(RawData_SemEval!$A$2"&amp;":$A$398, ""(?i)"" &amp; $B$6)
)"),0.108)</f>
        <v>0.108</v>
      </c>
    </row>
    <row r="85">
      <c r="A85" s="68" t="s">
        <v>115</v>
      </c>
      <c r="B85" s="4" t="s">
        <v>20</v>
      </c>
      <c r="C85" s="69">
        <f>IFERROR(__xludf.DUMMYFUNCTION("FILTER(RawData_SemEval!$B$2:$B$398, 
  REGEXMATCH(RawData_SemEval!$A$2:$A$398, ""(?i)"" &amp; $A$77), 
  REGEXMATCH(RawData_SemEval!$A$2:$A$398, ""(?i)"" &amp; $C$1), 
  REGEXMATCH(RawData_SemEval!$A$2:$A$398, ""(?i)"" &amp; $A$85), 
  NOT(REGEXMATCH(RawData_SemEval!"&amp;"$A$2:$A$398,  ""(?i)ensemble"")),NOT(REGEXMATCH(RawData_SemEval!$A$2:$A$398,  ""(?i)complete""))
)"),0.1724)</f>
        <v>0.1724</v>
      </c>
      <c r="D85" s="69">
        <f>IFERROR(__xludf.DUMMYFUNCTION("FILTER(RawData_SemEval!$F$2:$F$398, 
  REGEXMATCH(RawData_SemEval!$A$2:$A$398, ""(?i)"" &amp; $A$77), 
  REGEXMATCH(RawData_SemEval!$A$2:$A$398, ""(?i)"" &amp; $C$1), 
  REGEXMATCH(RawData_SemEval!$A$2:$A$398, ""(?i)"" &amp; $A$85), 
  NOT(REGEXMATCH(RawData_SemEval!"&amp;"$A$2:$A$398,  ""(?i)ensemble"")), NOT(REGEXMATCH(RawData_SemEval!$A$2:$A$398,  ""(?i)complete""))
)"),0.1396)</f>
        <v>0.1396</v>
      </c>
      <c r="E85" s="70">
        <f>IFERROR(__xludf.DUMMYFUNCTION("FILTER(RawData_SemEval!$B$2:$B$398, 
  REGEXMATCH(RawData_SemEval!$A$2:$A$398, ""(?i)"" &amp; $A$77), 
  REGEXMATCH(RawData_SemEval!$A$2:$A$398, ""(?i)"" &amp; $E$1), 
  REGEXMATCH(RawData_SemEval!$A$2:$A$398, ""(?i)"" &amp; $A$85), 
  NOT(REGEXMATCH(RawData_SemEval!"&amp;"$A$2:$A$398,  ""(?i)ensemble"")),NOT(REGEXMATCH(RawData_SemEval!$A$2:$A$398,  ""(?i)complete""))
)"),0.1878)</f>
        <v>0.1878</v>
      </c>
      <c r="F85" s="69">
        <f>IFERROR(__xludf.DUMMYFUNCTION("FILTER(RawData_SemEval!$F$2:$F$398, 
  REGEXMATCH(RawData_SemEval!$A$2:$A$398, ""(?i)"" &amp; $A$77), 
  REGEXMATCH(RawData_SemEval!$A$2:$A$398, ""(?i)"" &amp; $E$1), 
  REGEXMATCH(RawData_SemEval!$A$2:$A$398, ""(?i)"" &amp; $A$85), 
  NOT(REGEXMATCH(RawData_SemEval!"&amp;"$A$2:$A$398,  ""(?i)ensemble"")),NOT(REGEXMATCH(RawData_SemEval!$A$2:$A$398,  ""(?i)complete""))
)"),0.0782)</f>
        <v>0.0782</v>
      </c>
      <c r="G85" s="70">
        <f>IFERROR(__xludf.DUMMYFUNCTION("FILTER(RawData_SemEval!$B$2:$B$398, 
  REGEXMATCH(RawData_SemEval!$A$2:$A$398, ""(?i)"" &amp; $A$77), 
  REGEXMATCH(RawData_SemEval!$A$2:$A$398, ""(?i)"" &amp; $G$1), 
  REGEXMATCH(RawData_SemEval!$A$2:$A$398, ""(?i)"" &amp; $A$85), 
  NOT(REGEXMATCH(RawData_SemEval!"&amp;"$A$2:$A$398,  ""(?i)ensemble"")),NOT(REGEXMATCH(RawData_SemEval!$A$2:$A$398,  ""(?i)complete""))
)"),0.1246)</f>
        <v>0.1246</v>
      </c>
      <c r="H85" s="69">
        <f>IFERROR(__xludf.DUMMYFUNCTION("FILTER(RawData_SemEval!$F$2:$F$398, 
  REGEXMATCH(RawData_SemEval!$A$2:$A$398, ""(?i)"" &amp; $A$77), 
  REGEXMATCH(RawData_SemEval!$A$2:$A$398, ""(?i)"" &amp; $G$1), 
  REGEXMATCH(RawData_SemEval!$A$2:$A$398, ""(?i)"" &amp; $A$85), 
  NOT(REGEXMATCH(RawData_SemEval!"&amp;"$A$2:$A$398,  ""(?i)ensemble"")),NOT(REGEXMATCH(RawData_SemEval!$A$2:$A$398,  ""(?i)complete""))
)"),0.0576)</f>
        <v>0.0576</v>
      </c>
    </row>
    <row r="86">
      <c r="A86" s="68"/>
      <c r="B86" s="4" t="s">
        <v>67</v>
      </c>
      <c r="C86" s="69">
        <f>IFERROR(__xludf.DUMMYFUNCTION("FILTER(RawData_SemEval!$B$2:$B$398, 
  REGEXMATCH(RawData_SemEval!$A$2:$A$398, ""(?i)"" &amp; $A$77), 
  REGEXMATCH(RawData_SemEval!$A$2:$A$398, ""(?i)"" &amp; $C$1), 
  REGEXMATCH(RawData_SemEval!$A$2:$A$398, ""(?i)"" &amp; $A$85), 
  REGEXMATCH(RawData_SemEval!$A$2"&amp;":$A$398, ""(?i)"" &amp; $B$5),NOT(REGEXMATCH(RawData_SemEval!$A$2:$A$398,  ""(?i)complete""))
)"),0.271)</f>
        <v>0.271</v>
      </c>
      <c r="D86" s="69">
        <f>IFERROR(__xludf.DUMMYFUNCTION("FILTER(RawData_SemEval!$F$2:$F$398, 
  REGEXMATCH(RawData_SemEval!$A$2:$A$398, ""(?i)"" &amp; $A$77), 
  REGEXMATCH(RawData_SemEval!$A$2:$A$398, ""(?i)"" &amp; $C$1), 
  REGEXMATCH(RawData_SemEval!$A$2:$A$398, ""(?i)"" &amp; $A$85), 
  REGEXMATCH(RawData_SemEval!$A$2"&amp;":$A$398, ""(?i)"" &amp; $B$5),NOT(REGEXMATCH(RawData_SemEval!$A$2:$A$398,  ""(?i)complete""))
)"),0.257)</f>
        <v>0.257</v>
      </c>
      <c r="E86" s="70">
        <f>IFERROR(__xludf.DUMMYFUNCTION("FILTER(RawData_SemEval!$B$2:$B$398, 
  REGEXMATCH(RawData_SemEval!$A$2:$A$398, ""(?i)"" &amp; $A$77), 
  REGEXMATCH(RawData_SemEval!$A$2:$A$398, ""(?i)"" &amp; $E$1), 
  REGEXMATCH(RawData_SemEval!$A$2:$A$398, ""(?i)"" &amp; $A$85), 
  REGEXMATCH(RawData_SemEval!$A$2"&amp;":$A$398, ""(?i)"" &amp; $B$5),NOT(REGEXMATCH(RawData_SemEval!$A$2:$A$398,  ""(?i)complete""))
)"),0.247)</f>
        <v>0.247</v>
      </c>
      <c r="F86" s="69">
        <f>IFERROR(__xludf.DUMMYFUNCTION("FILTER(RawData_SemEval!$F$2:$F$398, 
  REGEXMATCH(RawData_SemEval!$A$2:$A$398, ""(?i)"" &amp; $A$77), 
  REGEXMATCH(RawData_SemEval!$A$2:$A$398, ""(?i)"" &amp; $E$1), 
  REGEXMATCH(RawData_SemEval!$A$2:$A$398, ""(?i)"" &amp; $A$85), 
  REGEXMATCH(RawData_SemEval!$A$2"&amp;":$A$398, ""(?i)"" &amp; $B$5),NOT(REGEXMATCH(RawData_SemEval!$A$2:$A$398,  ""(?i)complete""))
)"),0.172)</f>
        <v>0.172</v>
      </c>
      <c r="G86" s="70">
        <f>IFERROR(__xludf.DUMMYFUNCTION("FILTER(RawData_SemEval!$B$2:$B$398, 
  REGEXMATCH(RawData_SemEval!$A$2:$A$398, ""(?i)"" &amp; $A$77), 
  REGEXMATCH(RawData_SemEval!$A$2:$A$398, ""(?i)"" &amp; $G$1), 
  REGEXMATCH(RawData_SemEval!$A$2:$A$398, ""(?i)"" &amp; $A$85), 
  REGEXMATCH(RawData_SemEval!$A$2"&amp;":$A$398, ""(?i)"" &amp; $B$5),NOT(REGEXMATCH(RawData_SemEval!$A$2:$A$398,  ""(?i)complete""))
)"),0.174)</f>
        <v>0.174</v>
      </c>
      <c r="H86" s="69">
        <f>IFERROR(__xludf.DUMMYFUNCTION("FILTER(RawData_SemEval!$F$2:$F$398, 
  REGEXMATCH(RawData_SemEval!$A$2:$A$398, ""(?i)"" &amp; $A$77), 
  REGEXMATCH(RawData_SemEval!$A$2:$A$398, ""(?i)"" &amp; $G$1), 
  REGEXMATCH(RawData_SemEval!$A$2:$A$398, ""(?i)"" &amp; $A$85), 
  REGEXMATCH(RawData_SemEval!$A$2"&amp;":$A$398, ""(?i)"" &amp; $B$5),NOT(REGEXMATCH(RawData_SemEval!$A$2:$A$398,  ""(?i)complete""))
)"),0.135)</f>
        <v>0.135</v>
      </c>
    </row>
    <row r="87">
      <c r="A87" s="68"/>
      <c r="B87" s="44" t="s">
        <v>68</v>
      </c>
      <c r="C87" s="71">
        <f>IFERROR(__xludf.DUMMYFUNCTION("FILTER(RawData_SemEval!$B$2:$B$398, 
  REGEXMATCH(RawData_SemEval!$A$2:$A$398, ""(?i)"" &amp; $A$77), 
  REGEXMATCH(RawData_SemEval!$A$2:$A$398, ""(?i)"" &amp; $C$1), 
  REGEXMATCH(RawData_SemEval!$A$2:$A$398, ""(?i)"" &amp; $A$85), 
  REGEXMATCH(RawData_SemEval!$A$2"&amp;":$A$398, ""(?i)"" &amp; $B$6),NOT(REGEXMATCH(RawData_SemEval!$A$2:$A$398,  ""(?i)complete""))
)"),0.216)</f>
        <v>0.216</v>
      </c>
      <c r="D87" s="71">
        <f>IFERROR(__xludf.DUMMYFUNCTION("FILTER(RawData_SemEval!$F$2:$F$398, 
  REGEXMATCH(RawData_SemEval!$A$2:$A$398, ""(?i)"" &amp; $A$77), 
  REGEXMATCH(RawData_SemEval!$A$2:$A$398, ""(?i)"" &amp; $C$1), 
  REGEXMATCH(RawData_SemEval!$A$2:$A$398, ""(?i)"" &amp; $A$85), 
  REGEXMATCH(RawData_SemEval!$A$2"&amp;":$A$398, ""(?i)"" &amp; $B$6),NOT(REGEXMATCH(RawData_SemEval!$A$2:$A$398,  ""(?i)complete""))
)"),0.126)</f>
        <v>0.126</v>
      </c>
      <c r="E87" s="72">
        <f>IFERROR(__xludf.DUMMYFUNCTION("FILTER(RawData_SemEval!$B$2:$B$398, 
  REGEXMATCH(RawData_SemEval!$A$2:$A$398, ""(?i)"" &amp; $A$77), 
  REGEXMATCH(RawData_SemEval!$A$2:$A$398, ""(?i)"" &amp; $E$1), 
  REGEXMATCH(RawData_SemEval!$A$2:$A$398, ""(?i)"" &amp; $A$85), 
  REGEXMATCH(RawData_SemEval!$A$2"&amp;":$A$398, ""(?i)"" &amp; $B$6),NOT(REGEXMATCH(RawData_SemEval!$A$2:$A$398,  ""(?i)complete""))
)"),0.243)</f>
        <v>0.243</v>
      </c>
      <c r="F87" s="71">
        <f>IFERROR(__xludf.DUMMYFUNCTION("FILTER(RawData_SemEval!$F$2:$F$398, 
  REGEXMATCH(RawData_SemEval!$A$2:$A$398, ""(?i)"" &amp; $A$77), 
  REGEXMATCH(RawData_SemEval!$A$2:$A$398, ""(?i)"" &amp; $E$1), 
  REGEXMATCH(RawData_SemEval!$A$2:$A$398, ""(?i)"" &amp; $A$85), 
  REGEXMATCH(RawData_SemEval!$A$2"&amp;":$A$398, ""(?i)"" &amp; $B$6),NOT(REGEXMATCH(RawData_SemEval!$A$2:$A$398,  ""(?i)complete""))
)"),0.112)</f>
        <v>0.112</v>
      </c>
      <c r="G87" s="72">
        <f>IFERROR(__xludf.DUMMYFUNCTION("FILTER(RawData_SemEval!$B$2:$B$398, 
  REGEXMATCH(RawData_SemEval!$A$2:$A$398, ""(?i)"" &amp; $A$77), 
  REGEXMATCH(RawData_SemEval!$A$2:$A$398, ""(?i)"" &amp; $G$1), 
  REGEXMATCH(RawData_SemEval!$A$2:$A$398, ""(?i)"" &amp; $A$85), 
  REGEXMATCH(RawData_SemEval!$A$2"&amp;":$A$398, ""(?i)"" &amp; $B$6),NOT(REGEXMATCH(RawData_SemEval!$A$2:$A$398,  ""(?i)complete""))
)"),0.174)</f>
        <v>0.174</v>
      </c>
      <c r="H87" s="71">
        <f>IFERROR(__xludf.DUMMYFUNCTION("FILTER(RawData_SemEval!$F$2:$F$398, 
  REGEXMATCH(RawData_SemEval!$A$2:$A$398, ""(?i)"" &amp; $A$77), 
  REGEXMATCH(RawData_SemEval!$A$2:$A$398, ""(?i)"" &amp; $G$1), 
  REGEXMATCH(RawData_SemEval!$A$2:$A$398, ""(?i)"" &amp; $A$85), 
  REGEXMATCH(RawData_SemEval!$A$2"&amp;":$A$398, ""(?i)"" &amp; $B$6),NOT(REGEXMATCH(RawData_SemEval!$A$2:$A$398,  ""(?i)complete""))
)"),0.077)</f>
        <v>0.077</v>
      </c>
    </row>
    <row r="88">
      <c r="A88" s="68" t="s">
        <v>116</v>
      </c>
      <c r="B88" s="4" t="s">
        <v>25</v>
      </c>
      <c r="C88" s="69">
        <f>IFERROR(__xludf.DUMMYFUNCTION("FILTER(RawData_SemEval!$B$2:$B$398, 
  REGEXMATCH(RawData_SemEval!$A$2:$A$398, ""(?i)"" &amp; $A$77), 
  REGEXMATCH(RawData_SemEval!$A$2:$A$398, ""(?i)"" &amp; $C$1), 
  REGEXMATCH(RawData_SemEval!$A$2:$A$398, ""(?i)"" &amp; $A$88), 
  NOT(REGEXMATCH(RawData_SemEval!"&amp;"$A$2:$A$398,  ""(?i)ensemble""))
)"),0.1444)</f>
        <v>0.1444</v>
      </c>
      <c r="D88" s="69">
        <f>IFERROR(__xludf.DUMMYFUNCTION("FILTER(RawData_SemEval!$F$2:$F$398, 
  REGEXMATCH(RawData_SemEval!$A$2:$A$398, ""(?i)"" &amp; $A$77), 
  REGEXMATCH(RawData_SemEval!$A$2:$A$398, ""(?i)"" &amp; $C$1), 
  REGEXMATCH(RawData_SemEval!$A$2:$A$398, ""(?i)"" &amp; $A$88), 
  NOT(REGEXMATCH(RawData_SemEval!"&amp;"$A$2:$A$398,  ""(?i)ensemble""))
)"),0.1102)</f>
        <v>0.1102</v>
      </c>
      <c r="E88" s="70">
        <f>IFERROR(__xludf.DUMMYFUNCTION("FILTER(RawData_SemEval!$B$2:$B$398, 
  REGEXMATCH(RawData_SemEval!$A$2:$A$398, ""(?i)"" &amp; $A$77), 
  REGEXMATCH(RawData_SemEval!$A$2:$A$398, ""(?i)"" &amp; $E$1), 
  REGEXMATCH(RawData_SemEval!$A$2:$A$398, ""(?i)"" &amp; $A$88), 
  NOT(REGEXMATCH(RawData_SemEval!"&amp;"$A$2:$A$398,  ""(?i)ensemble""))
)"),0.089)</f>
        <v>0.089</v>
      </c>
      <c r="F88" s="69">
        <f>IFERROR(__xludf.DUMMYFUNCTION("FILTER(RawData_SemEval!$F$2:$F$398, 
  REGEXMATCH(RawData_SemEval!$A$2:$A$398, ""(?i)"" &amp; $A$77), 
  REGEXMATCH(RawData_SemEval!$A$2:$A$398, ""(?i)"" &amp; $E$1), 
  REGEXMATCH(RawData_SemEval!$A$2:$A$398, ""(?i)"" &amp; $A$88), 
  NOT(REGEXMATCH(RawData_SemEval!"&amp;"$A$2:$A$398,  ""(?i)ensemble""))
)"),0.0288)</f>
        <v>0.0288</v>
      </c>
      <c r="G88" s="70">
        <f>IFERROR(__xludf.DUMMYFUNCTION("FILTER(RawData_SemEval!$B$2:$B$398, 
  REGEXMATCH(RawData_SemEval!$A$2:$A$398, ""(?i)"" &amp; $A$77), 
  REGEXMATCH(RawData_SemEval!$A$2:$A$398, ""(?i)"" &amp; $G$1), 
  REGEXMATCH(RawData_SemEval!$A$2:$A$398, ""(?i)"" &amp; $A$88), 
  NOT(REGEXMATCH(RawData_SemEval!"&amp;"$A$2:$A$398,  ""(?i)ensemble""))
)"),0.1028)</f>
        <v>0.1028</v>
      </c>
      <c r="H88" s="69">
        <f>IFERROR(__xludf.DUMMYFUNCTION("FILTER(RawData_SemEval!$F$2:$F$398, 
  REGEXMATCH(RawData_SemEval!$A$2:$A$398, ""(?i)"" &amp; $A$77), 
  REGEXMATCH(RawData_SemEval!$A$2:$A$398, ""(?i)"" &amp; $G$1), 
  REGEXMATCH(RawData_SemEval!$A$2:$A$398, ""(?i)"" &amp; $A$88), 
  NOT(REGEXMATCH(RawData_SemEval!"&amp;"$A$2:$A$398,  ""(?i)ensemble""))
)"),0.0496)</f>
        <v>0.0496</v>
      </c>
    </row>
    <row r="89">
      <c r="A89" s="68"/>
      <c r="B89" s="4" t="s">
        <v>67</v>
      </c>
      <c r="C89" s="69">
        <f>IFERROR(__xludf.DUMMYFUNCTION("FILTER(RawData_SemEval!$B$2:$B$398, 
  REGEXMATCH(RawData_SemEval!$A$2:$A$398, ""(?i)"" &amp; $A$77), 
  REGEXMATCH(RawData_SemEval!$A$2:$A$398, ""(?i)"" &amp; $C$1), 
  REGEXMATCH(RawData_SemEval!$A$2:$A$398, ""(?i)"" &amp; $A$88), 
  REGEXMATCH(RawData_SemEval!$A$2"&amp;":$A$398, ""(?i)"" &amp; $B$5)
)"),0.211)</f>
        <v>0.211</v>
      </c>
      <c r="D89" s="69">
        <f>IFERROR(__xludf.DUMMYFUNCTION("FILTER(RawData_SemEval!$F$2:$F$398, 
  REGEXMATCH(RawData_SemEval!$A$2:$A$398, ""(?i)"" &amp; $A$77), 
  REGEXMATCH(RawData_SemEval!$A$2:$A$398, ""(?i)"" &amp; $C$1), 
  REGEXMATCH(RawData_SemEval!$A$2:$A$398, ""(?i)"" &amp; $A$88), 
  REGEXMATCH(RawData_SemEval!$A$2"&amp;":$A$398, ""(?i)"" &amp; $B$5)
)"),0.208)</f>
        <v>0.208</v>
      </c>
      <c r="E89" s="70">
        <f>IFERROR(__xludf.DUMMYFUNCTION("FILTER(RawData_SemEval!$B$2:$B$398, 
  REGEXMATCH(RawData_SemEval!$A$2:$A$398, ""(?i)"" &amp; $A$77), 
  REGEXMATCH(RawData_SemEval!$A$2:$A$398, ""(?i)"" &amp; $E$1), 
  REGEXMATCH(RawData_SemEval!$A$2:$A$398, ""(?i)"" &amp; $A$88), 
  REGEXMATCH(RawData_SemEval!$A$2"&amp;":$A$398, ""(?i)"" &amp; $B$5)
)"),0.171)</f>
        <v>0.171</v>
      </c>
      <c r="F89" s="69">
        <f>IFERROR(__xludf.DUMMYFUNCTION("FILTER(RawData_SemEval!$F$2:$F$398, 
  REGEXMATCH(RawData_SemEval!$A$2:$A$398, ""(?i)"" &amp; $A$77), 
  REGEXMATCH(RawData_SemEval!$A$2:$A$398, ""(?i)"" &amp; $E$1), 
  REGEXMATCH(RawData_SemEval!$A$2:$A$398, ""(?i)"" &amp; $A$88), 
  REGEXMATCH(RawData_SemEval!$A$2"&amp;":$A$398, ""(?i)"" &amp; $B$5)
)"),0.155)</f>
        <v>0.155</v>
      </c>
      <c r="G89" s="70">
        <f>IFERROR(__xludf.DUMMYFUNCTION("FILTER(RawData_SemEval!$B$2:$B$398, 
  REGEXMATCH(RawData_SemEval!$A$2:$A$398, ""(?i)"" &amp; $A$77), 
  REGEXMATCH(RawData_SemEval!$A$2:$A$398, ""(?i)"" &amp; $G$1), 
  REGEXMATCH(RawData_SemEval!$A$2:$A$398, ""(?i)"" &amp; $A$88), 
  REGEXMATCH(RawData_SemEval!$A$2"&amp;":$A$398, ""(?i)"" &amp; $B$5)
)"),0.178)</f>
        <v>0.178</v>
      </c>
      <c r="H89" s="69">
        <f>IFERROR(__xludf.DUMMYFUNCTION("FILTER(RawData_SemEval!$F$2:$F$398, 
  REGEXMATCH(RawData_SemEval!$A$2:$A$398, ""(?i)"" &amp; $A$77), 
  REGEXMATCH(RawData_SemEval!$A$2:$A$398, ""(?i)"" &amp; $G$1), 
  REGEXMATCH(RawData_SemEval!$A$2:$A$398, ""(?i)"" &amp; $A$88), 
  REGEXMATCH(RawData_SemEval!$A$2"&amp;":$A$398, ""(?i)"" &amp; $B$5)
)"),0.143)</f>
        <v>0.143</v>
      </c>
    </row>
    <row r="90">
      <c r="A90" s="68"/>
      <c r="B90" s="44" t="s">
        <v>68</v>
      </c>
      <c r="C90" s="71">
        <f>IFERROR(__xludf.DUMMYFUNCTION("FILTER(RawData_SemEval!$B$2:$B$398, 
  REGEXMATCH(RawData_SemEval!$A$2:$A$398, ""(?i)"" &amp; $A$77), 
  REGEXMATCH(RawData_SemEval!$A$2:$A$398, ""(?i)"" &amp; $C$1), 
  REGEXMATCH(RawData_SemEval!$A$2:$A$398, ""(?i)"" &amp; $A$88), 
  REGEXMATCH(RawData_SemEval!$A$2"&amp;":$A$398, ""(?i)"" &amp; $B$6)
)"),0.198)</f>
        <v>0.198</v>
      </c>
      <c r="D90" s="71">
        <f>IFERROR(__xludf.DUMMYFUNCTION("FILTER(RawData_SemEval!$F$2:$F$398, 
  REGEXMATCH(RawData_SemEval!$A$2:$A$398, ""(?i)"" &amp; $A$77), 
  REGEXMATCH(RawData_SemEval!$A$2:$A$398, ""(?i)"" &amp; $C$1), 
  REGEXMATCH(RawData_SemEval!$A$2:$A$398, ""(?i)"" &amp; $A$88), 
  REGEXMATCH(RawData_SemEval!$A$2"&amp;":$A$398, ""(?i)"" &amp; $B$6)
)"),0.117)</f>
        <v>0.117</v>
      </c>
      <c r="E90" s="72">
        <f>IFERROR(__xludf.DUMMYFUNCTION("FILTER(RawData_SemEval!$B$2:$B$398, 
  REGEXMATCH(RawData_SemEval!$A$2:$A$398, ""(?i)"" &amp; $A$77), 
  REGEXMATCH(RawData_SemEval!$A$2:$A$398, ""(?i)"" &amp; $E$1), 
  REGEXMATCH(RawData_SemEval!$A$2:$A$398, ""(?i)"" &amp; $A$88), 
  REGEXMATCH(RawData_SemEval!$A$2"&amp;":$A$398, ""(?i)"" &amp; $B$6)
)"),0.182)</f>
        <v>0.182</v>
      </c>
      <c r="F90" s="71">
        <f>IFERROR(__xludf.DUMMYFUNCTION("FILTER(RawData_SemEval!$F$2:$F$398, 
  REGEXMATCH(RawData_SemEval!$A$2:$A$398, ""(?i)"" &amp; $A$77), 
  REGEXMATCH(RawData_SemEval!$A$2:$A$398, ""(?i)"" &amp; $E$1), 
  REGEXMATCH(RawData_SemEval!$A$2:$A$398, ""(?i)"" &amp; $A$88), 
  REGEXMATCH(RawData_SemEval!$A$2"&amp;":$A$398, ""(?i)"" &amp; $B$6)
)"),0.065)</f>
        <v>0.065</v>
      </c>
      <c r="G90" s="72">
        <f>IFERROR(__xludf.DUMMYFUNCTION("FILTER(RawData_SemEval!$B$2:$B$398, 
  REGEXMATCH(RawData_SemEval!$A$2:$A$398, ""(?i)"" &amp; $A$77), 
  REGEXMATCH(RawData_SemEval!$A$2:$A$398, ""(?i)"" &amp; $G$1), 
  REGEXMATCH(RawData_SemEval!$A$2:$A$398, ""(?i)"" &amp; $A$88), 
  REGEXMATCH(RawData_SemEval!$A$2"&amp;":$A$398, ""(?i)"" &amp; $B$6)
)"),0.161)</f>
        <v>0.161</v>
      </c>
      <c r="H90" s="71">
        <f>IFERROR(__xludf.DUMMYFUNCTION("FILTER(RawData_SemEval!$F$2:$F$398, 
  REGEXMATCH(RawData_SemEval!$A$2:$A$398, ""(?i)"" &amp; $A$77), 
  REGEXMATCH(RawData_SemEval!$A$2:$A$398, ""(?i)"" &amp; $G$1), 
  REGEXMATCH(RawData_SemEval!$A$2:$A$398, ""(?i)"" &amp; $A$88), 
  REGEXMATCH(RawData_SemEval!$A$2"&amp;":$A$398, ""(?i)"" &amp; $B$6)
)"),0.077)</f>
        <v>0.077</v>
      </c>
    </row>
    <row r="91">
      <c r="A91" s="68" t="s">
        <v>117</v>
      </c>
      <c r="B91" s="4" t="s">
        <v>18</v>
      </c>
      <c r="C91" s="69">
        <f>IFERROR(__xludf.DUMMYFUNCTION("FILTER(RawData_SemEval!$B$2:$B$398, 
  REGEXMATCH(RawData_SemEval!$A$2:$A$398, ""(?i)"" &amp; $A$77), 
  REGEXMATCH(RawData_SemEval!$A$2:$A$398, ""(?i)"" &amp; $C$1), 
  REGEXMATCH(RawData_SemEval!$A$2:$A$398, ""(?i)gpt_only_title""), 
  NOT(REGEXMATCH(RawData_Se"&amp;"mEval!$A$2:$A$398,  ""(?i)ensemble""))
)"),0.1936)</f>
        <v>0.1936</v>
      </c>
      <c r="D91" s="69">
        <f>IFERROR(__xludf.DUMMYFUNCTION("FILTER(RawData_SemEval!$F$2:$F$398, 
  REGEXMATCH(RawData_SemEval!$A$2:$A$398, ""(?i)"" &amp; $A$77), 
  REGEXMATCH(RawData_SemEval!$A$2:$A$398, ""(?i)"" &amp; $C$1), 
  REGEXMATCH(RawData_SemEval!$A$2:$A$398, ""(?i)gpt_only_title""), 
  NOT(REGEXMATCH(RawData_Se"&amp;"mEval!$A$2:$A$398,  ""(?i)ensemble""))
)"),0.1488)</f>
        <v>0.1488</v>
      </c>
      <c r="E91" s="70">
        <f>IFERROR(__xludf.DUMMYFUNCTION("FILTER(RawData_SemEval!$B$2:$B$398, 
  REGEXMATCH(RawData_SemEval!$A$2:$A$398, ""(?i)"" &amp; $A$77), 
  REGEXMATCH(RawData_SemEval!$A$2:$A$398, ""(?i)"" &amp; $E$1), 
  REGEXMATCH(RawData_SemEval!$A$2:$A$398, ""(?i)gpt_only_title""), 
  NOT(REGEXMATCH(RawData_Se"&amp;"mEval!$A$2:$A$398,  ""(?i)ensemble""))
)"),0.1582)</f>
        <v>0.1582</v>
      </c>
      <c r="F91" s="69">
        <f>IFERROR(__xludf.DUMMYFUNCTION("FILTER(RawData_SemEval!$F$2:$F$398, 
  REGEXMATCH(RawData_SemEval!$A$2:$A$398, ""(?i)"" &amp; $A$77), 
  REGEXMATCH(RawData_SemEval!$A$2:$A$398, ""(?i)"" &amp; $E$1), 
  REGEXMATCH(RawData_SemEval!$A$2:$A$398, ""(?i)gpt_only_title""), 
  NOT(REGEXMATCH(RawData_Se"&amp;"mEval!$A$2:$A$398,  ""(?i)ensemble""))
)"),0.0654)</f>
        <v>0.0654</v>
      </c>
      <c r="G91" s="70">
        <f>IFERROR(__xludf.DUMMYFUNCTION("FILTER(RawData_SemEval!$B$2:$B$398, 
  REGEXMATCH(RawData_SemEval!$A$2:$A$398, ""(?i)"" &amp; $A$77), 
  REGEXMATCH(RawData_SemEval!$A$2:$A$398, ""(?i)"" &amp; $G$1), 
  REGEXMATCH(RawData_SemEval!$A$2:$A$398, ""(?i)gpt_only_title""), 
  NOT(REGEXMATCH(RawData_Se"&amp;"mEval!$A$2:$A$398,  ""(?i)ensemble""))
)"),0.1274)</f>
        <v>0.1274</v>
      </c>
      <c r="H91" s="69">
        <f>IFERROR(__xludf.DUMMYFUNCTION("FILTER(RawData_SemEval!$F$2:$F$398, 
  REGEXMATCH(RawData_SemEval!$A$2:$A$398, ""(?i)"" &amp; $A$77), 
  REGEXMATCH(RawData_SemEval!$A$2:$A$398, ""(?i)"" &amp; $G$1), 
  REGEXMATCH(RawData_SemEval!$A$2:$A$398, ""(?i)gpt_only_title""), 
  NOT(REGEXMATCH(RawData_Se"&amp;"mEval!$A$2:$A$398,  ""(?i)ensemble""))
)"),0.0496)</f>
        <v>0.0496</v>
      </c>
    </row>
    <row r="92">
      <c r="A92" s="68"/>
      <c r="B92" s="4" t="s">
        <v>67</v>
      </c>
      <c r="C92" s="69">
        <f>IFERROR(__xludf.DUMMYFUNCTION("FILTER(RawData_SemEval!$B$2:$B$398, 
  REGEXMATCH(RawData_SemEval!$A$2:$A$398, ""(?i)"" &amp; $A$77), 
  REGEXMATCH(RawData_SemEval!$A$2:$A$398, ""(?i)"" &amp; $C$1), 
  REGEXMATCH(RawData_SemEval!$A$2:$A$398, ""(?i)gpt_only_title""), 
  REGEXMATCH(RawData_SemEva"&amp;"l!$A$2:$A$398, ""(?i)"" &amp; $B$5)
)"),0.272)</f>
        <v>0.272</v>
      </c>
      <c r="D92" s="69">
        <f>IFERROR(__xludf.DUMMYFUNCTION("FILTER(RawData_SemEval!$F$2:$F$398, 
  REGEXMATCH(RawData_SemEval!$A$2:$A$398, ""(?i)"" &amp; $A$77), 
  REGEXMATCH(RawData_SemEval!$A$2:$A$398, ""(?i)"" &amp; $C$1), 
  REGEXMATCH(RawData_SemEval!$A$2:$A$398, ""(?i)gpt_only_title""), 
  REGEXMATCH(RawData_SemEva"&amp;"l!$A$2:$A$398, ""(?i)"" &amp; $B$5)
)"),0.257)</f>
        <v>0.257</v>
      </c>
      <c r="E92" s="70">
        <f>IFERROR(__xludf.DUMMYFUNCTION("FILTER(RawData_SemEval!$B$2:$B$398, 
  REGEXMATCH(RawData_SemEval!$A$2:$A$398, ""(?i)"" &amp; $A$77), 
  REGEXMATCH(RawData_SemEval!$A$2:$A$398, ""(?i)"" &amp; $E$1), 
  REGEXMATCH(RawData_SemEval!$A$2:$A$398, ""(?i)gpt_only_title""), 
  REGEXMATCH(RawData_SemEva"&amp;"l!$A$2:$A$398, ""(?i)"" &amp; $B$5)
)"),0.207)</f>
        <v>0.207</v>
      </c>
      <c r="F92" s="69">
        <f>IFERROR(__xludf.DUMMYFUNCTION("FILTER(RawData_SemEval!$F$2:$F$398, 
  REGEXMATCH(RawData_SemEval!$A$2:$A$398, ""(?i)"" &amp; $A$77), 
  REGEXMATCH(RawData_SemEval!$A$2:$A$398, ""(?i)"" &amp; $E$1), 
  REGEXMATCH(RawData_SemEval!$A$2:$A$398, ""(?i)gpt_only_title""), 
  REGEXMATCH(RawData_SemEva"&amp;"l!$A$2:$A$398, ""(?i)"" &amp; $B$5)
)"),0.162)</f>
        <v>0.162</v>
      </c>
      <c r="G92" s="70">
        <f>IFERROR(__xludf.DUMMYFUNCTION("FILTER(RawData_SemEval!$B$2:$B$398, 
  REGEXMATCH(RawData_SemEval!$A$2:$A$398, ""(?i)"" &amp; $A$77), 
  REGEXMATCH(RawData_SemEval!$A$2:$A$398, ""(?i)"" &amp; $G$1), 
  REGEXMATCH(RawData_SemEval!$A$2:$A$398, ""(?i)gpt_only_title""), 
  REGEXMATCH(RawData_SemEva"&amp;"l!$A$2:$A$398, ""(?i)"" &amp; $B$5)
)"),0.154)</f>
        <v>0.154</v>
      </c>
      <c r="H92" s="69">
        <f>IFERROR(__xludf.DUMMYFUNCTION("FILTER(RawData_SemEval!$F$2:$F$398, 
  REGEXMATCH(RawData_SemEval!$A$2:$A$398, ""(?i)"" &amp; $A$77), 
  REGEXMATCH(RawData_SemEval!$A$2:$A$398, ""(?i)"" &amp; $G$1), 
  REGEXMATCH(RawData_SemEval!$A$2:$A$398, ""(?i)gpt_only_title""), 
  REGEXMATCH(RawData_SemEva"&amp;"l!$A$2:$A$398, ""(?i)"" &amp; $B$5)
)"),0.113)</f>
        <v>0.113</v>
      </c>
    </row>
    <row r="93">
      <c r="A93" s="68"/>
      <c r="B93" s="44" t="s">
        <v>68</v>
      </c>
      <c r="C93" s="71">
        <f>IFERROR(__xludf.DUMMYFUNCTION("FILTER(RawData_SemEval!$B$2:$B$398, 
  REGEXMATCH(RawData_SemEval!$A$2:$A$398, ""(?i)"" &amp; $A$77), 
  REGEXMATCH(RawData_SemEval!$A$2:$A$398, ""(?i)"" &amp; $C$1), 
  REGEXMATCH(RawData_SemEval!$A$2:$A$398, ""(?i)gpt_only_title""), 
  REGEXMATCH(RawData_SemEva"&amp;"l!$A$2:$A$398, ""(?i)"" &amp; $B$6)
)"),0.242)</f>
        <v>0.242</v>
      </c>
      <c r="D93" s="71">
        <f>IFERROR(__xludf.DUMMYFUNCTION("FILTER(RawData_SemEval!$F$2:$F$398, 
  REGEXMATCH(RawData_SemEval!$A$2:$A$398, ""(?i)"" &amp; $A$77), 
  REGEXMATCH(RawData_SemEval!$A$2:$A$398, ""(?i)"" &amp; $C$1), 
  REGEXMATCH(RawData_SemEval!$A$2:$A$398, ""(?i)gpt_only_title""), 
  REGEXMATCH(RawData_SemEva"&amp;"l!$A$2:$A$398, ""(?i)"" &amp; $B$6)
)"),0.143)</f>
        <v>0.143</v>
      </c>
      <c r="E93" s="72">
        <f>IFERROR(__xludf.DUMMYFUNCTION("FILTER(RawData_SemEval!$B$2:$B$398, 
  REGEXMATCH(RawData_SemEval!$A$2:$A$398, ""(?i)"" &amp; $A$77), 
  REGEXMATCH(RawData_SemEval!$A$2:$A$398, ""(?i)"" &amp; $E$1), 
  REGEXMATCH(RawData_SemEval!$A$2:$A$398, ""(?i)gpt_only_title""), 
  REGEXMATCH(RawData_SemEva"&amp;"l!$A$2:$A$398, ""(?i)"" &amp; $B$6)
)"),0.231)</f>
        <v>0.231</v>
      </c>
      <c r="F93" s="71">
        <f>IFERROR(__xludf.DUMMYFUNCTION("FILTER(RawData_SemEval!$F$2:$F$398, 
  REGEXMATCH(RawData_SemEval!$A$2:$A$398, ""(?i)"" &amp; $A$77), 
  REGEXMATCH(RawData_SemEval!$A$2:$A$398, ""(?i)"" &amp; $E$1), 
  REGEXMATCH(RawData_SemEval!$A$2:$A$398, ""(?i)gpt_only_title""), 
  REGEXMATCH(RawData_SemEva"&amp;"l!$A$2:$A$398, ""(?i)"" &amp; $B$6)
)"),0.106)</f>
        <v>0.106</v>
      </c>
      <c r="G93" s="72">
        <f>IFERROR(__xludf.DUMMYFUNCTION("FILTER(RawData_SemEval!$B$2:$B$398, 
  REGEXMATCH(RawData_SemEval!$A$2:$A$398, ""(?i)"" &amp; $A$77), 
  REGEXMATCH(RawData_SemEval!$A$2:$A$398, ""(?i)"" &amp; $G$1), 
  REGEXMATCH(RawData_SemEval!$A$2:$A$398, ""(?i)gpt_only_title""), 
  REGEXMATCH(RawData_SemEva"&amp;"l!$A$2:$A$398, ""(?i)"" &amp; $B$6)
)"),0.179)</f>
        <v>0.179</v>
      </c>
      <c r="H93" s="71">
        <f>IFERROR(__xludf.DUMMYFUNCTION("FILTER(RawData_SemEval!$F$2:$F$398, 
  REGEXMATCH(RawData_SemEval!$A$2:$A$398, ""(?i)"" &amp; $A$77), 
  REGEXMATCH(RawData_SemEval!$A$2:$A$398, ""(?i)"" &amp; $G$1), 
  REGEXMATCH(RawData_SemEval!$A$2:$A$398, ""(?i)gpt_only_title""), 
  REGEXMATCH(RawData_SemEva"&amp;"l!$A$2:$A$398, ""(?i)"" &amp; $B$6)
)"),0.078)</f>
        <v>0.078</v>
      </c>
    </row>
    <row r="94">
      <c r="A94" s="68" t="s">
        <v>118</v>
      </c>
      <c r="B94" s="4" t="s">
        <v>22</v>
      </c>
      <c r="C94" s="69">
        <f>IFERROR(__xludf.DUMMYFUNCTION("FILTER(RawData_SemEval!$B$2:$B$398, 
  REGEXMATCH(RawData_SemEval!$A$2:$A$398, ""(?i)"" &amp; $A$77), 
  REGEXMATCH(RawData_SemEval!$A$2:$A$398, ""(?i)"" &amp; $C$1), 
  REGEXMATCH(RawData_SemEval!$A$2:$A$398, ""(?i)gpt_title_description""), 
  NOT(REGEXMATCH(Raw"&amp;"Data_SemEval!$A$2:$A$398,  ""(?i)ensemble"")),NOT(REGEXMATCH(RawData_SemEval!$A$2:$A$398,  ""(?i)complete""))
)"),0.1888)</f>
        <v>0.1888</v>
      </c>
      <c r="D94" s="69">
        <f>IFERROR(__xludf.DUMMYFUNCTION("FILTER(RawData_SemEval!$F$2:$F$398, 
  REGEXMATCH(RawData_SemEval!$A$2:$A$398, ""(?i)"" &amp; $A$77), 
  REGEXMATCH(RawData_SemEval!$A$2:$A$398, ""(?i)"" &amp; $C$1), 
  REGEXMATCH(RawData_SemEval!$A$2:$A$398, ""(?i)gpt_title_description""), 
  NOT(REGEXMATCH(Raw"&amp;"Data_SemEval!$A$2:$A$398,  ""(?i)ensemble"")), NOT(REGEXMATCH(RawData_SemEval!$A$2:$A$398,  ""(?i)complete""))
)"),0.1394)</f>
        <v>0.1394</v>
      </c>
      <c r="E94" s="70">
        <f>IFERROR(__xludf.DUMMYFUNCTION("FILTER(RawData_SemEval!$B$2:$B$398, 
  REGEXMATCH(RawData_SemEval!$A$2:$A$398, ""(?i)"" &amp; $A$77), 
  REGEXMATCH(RawData_SemEval!$A$2:$A$398, ""(?i)"" &amp; $E$1), 
  REGEXMATCH(RawData_SemEval!$A$2:$A$398, ""(?i)gpt_title_description""), 
  NOT(REGEXMATCH(Raw"&amp;"Data_SemEval!$A$2:$A$398,  ""(?i)ensemble"")),NOT(REGEXMATCH(RawData_SemEval!$A$2:$A$398,  ""(?i)complete""))
)"),0.175799999999999)</f>
        <v>0.1758</v>
      </c>
      <c r="F94" s="69">
        <f>IFERROR(__xludf.DUMMYFUNCTION("FILTER(RawData_SemEval!$F$2:$F$398, 
  REGEXMATCH(RawData_SemEval!$A$2:$A$398, ""(?i)"" &amp; $A$77), 
  REGEXMATCH(RawData_SemEval!$A$2:$A$398, ""(?i)"" &amp; $E$1), 
  REGEXMATCH(RawData_SemEval!$A$2:$A$398, ""(?i)gpt_title_description""), 
  NOT(REGEXMATCH(Raw"&amp;"Data_SemEval!$A$2:$A$398,  ""(?i)ensemble"")),NOT(REGEXMATCH(RawData_SemEval!$A$2:$A$398,  ""(?i)complete""))
)"),0.0826)</f>
        <v>0.0826</v>
      </c>
      <c r="G94" s="70">
        <f>IFERROR(__xludf.DUMMYFUNCTION("FILTER(RawData_SemEval!$B$2:$B$398, 
  REGEXMATCH(RawData_SemEval!$A$2:$A$398, ""(?i)"" &amp; $A$77), 
  REGEXMATCH(RawData_SemEval!$A$2:$A$398, ""(?i)"" &amp; $G$1), 
  REGEXMATCH(RawData_SemEval!$A$2:$A$398, ""(?i)gpt_title_description""), 
  NOT(REGEXMATCH(Raw"&amp;"Data_SemEval!$A$2:$A$398,  ""(?i)ensemble"")),NOT(REGEXMATCH(RawData_SemEval!$A$2:$A$398,  ""(?i)complete""))
)"),0.117799999999999)</f>
        <v>0.1178</v>
      </c>
      <c r="H94" s="69">
        <f>IFERROR(__xludf.DUMMYFUNCTION("FILTER(RawData_SemEval!$F$2:$F$398, 
  REGEXMATCH(RawData_SemEval!$A$2:$A$398, ""(?i)"" &amp; $A$77), 
  REGEXMATCH(RawData_SemEval!$A$2:$A$398, ""(?i)"" &amp; $G$1), 
  REGEXMATCH(RawData_SemEval!$A$2:$A$398, ""(?i)gpt_title_description""), 
  NOT(REGEXMATCH(Raw"&amp;"Data_SemEval!$A$2:$A$398,  ""(?i)ensemble"")),NOT(REGEXMATCH(RawData_SemEval!$A$2:$A$398,  ""(?i)complete""))
)"),0.0406)</f>
        <v>0.0406</v>
      </c>
    </row>
    <row r="95">
      <c r="A95" s="68"/>
      <c r="B95" s="4" t="s">
        <v>67</v>
      </c>
      <c r="C95" s="69">
        <f>IFERROR(__xludf.DUMMYFUNCTION("FILTER(RawData_SemEval!$B$2:$B$398, 
  REGEXMATCH(RawData_SemEval!$A$2:$A$398, ""(?i)"" &amp; $A$77), 
  REGEXMATCH(RawData_SemEval!$A$2:$A$398, ""(?i)"" &amp; $C$1), 
  REGEXMATCH(RawData_SemEval!$A$2:$A$398, ""(?i)gpt_title_description""), 
  REGEXMATCH(RawData"&amp;"_SemEval!$A$2:$A$398, ""(?i)"" &amp; $B$5),NOT(REGEXMATCH(RawData_SemEval!$A$2:$A$398,  ""(?i)complete""))
)"),0.28)</f>
        <v>0.28</v>
      </c>
      <c r="D95" s="69">
        <f>IFERROR(__xludf.DUMMYFUNCTION("FILTER(RawData_SemEval!$F$2:$F$398, 
  REGEXMATCH(RawData_SemEval!$A$2:$A$398, ""(?i)"" &amp; $A$77), 
  REGEXMATCH(RawData_SemEval!$A$2:$A$398, ""(?i)"" &amp; $C$1), 
  REGEXMATCH(RawData_SemEval!$A$2:$A$398, ""(?i)gpt_title_description""), 
  REGEXMATCH(RawData"&amp;"_SemEval!$A$2:$A$398, ""(?i)"" &amp; $B$5),NOT(REGEXMATCH(RawData_SemEval!$A$2:$A$398,  ""(?i)complete""))
)"),0.248)</f>
        <v>0.248</v>
      </c>
      <c r="E95" s="70">
        <f>IFERROR(__xludf.DUMMYFUNCTION("FILTER(RawData_SemEval!$B$2:$B$398, 
  REGEXMATCH(RawData_SemEval!$A$2:$A$398, ""(?i)"" &amp; $A$77), 
  REGEXMATCH(RawData_SemEval!$A$2:$A$398, ""(?i)"" &amp; $E$1), 
  REGEXMATCH(RawData_SemEval!$A$2:$A$398, ""(?i)gpt_title_description""), 
  REGEXMATCH(RawData"&amp;"_SemEval!$A$2:$A$398, ""(?i)"" &amp; $B$5),NOT(REGEXMATCH(RawData_SemEval!$A$2:$A$398,  ""(?i)complete""))
)"),0.195)</f>
        <v>0.195</v>
      </c>
      <c r="F95" s="69">
        <f>IFERROR(__xludf.DUMMYFUNCTION("FILTER(RawData_SemEval!$F$2:$F$398, 
  REGEXMATCH(RawData_SemEval!$A$2:$A$398, ""(?i)"" &amp; $A$77), 
  REGEXMATCH(RawData_SemEval!$A$2:$A$398, ""(?i)"" &amp; $E$1), 
  REGEXMATCH(RawData_SemEval!$A$2:$A$398, ""(?i)gpt_title_description""), 
  REGEXMATCH(RawData"&amp;"_SemEval!$A$2:$A$398, ""(?i)"" &amp; $B$5),NOT(REGEXMATCH(RawData_SemEval!$A$2:$A$398,  ""(?i)complete""))
)"),0.159)</f>
        <v>0.159</v>
      </c>
      <c r="G95" s="70">
        <f>IFERROR(__xludf.DUMMYFUNCTION("FILTER(RawData_SemEval!$B$2:$B$398, 
  REGEXMATCH(RawData_SemEval!$A$2:$A$398, ""(?i)"" &amp; $A$77), 
  REGEXMATCH(RawData_SemEval!$A$2:$A$398, ""(?i)"" &amp; $G$1), 
  REGEXMATCH(RawData_SemEval!$A$2:$A$398, ""(?i)gpt_title_description""), 
  REGEXMATCH(RawData"&amp;"_SemEval!$A$2:$A$398, ""(?i)"" &amp; $B$5),NOT(REGEXMATCH(RawData_SemEval!$A$2:$A$398,  ""(?i)complete""))
)"),0.186)</f>
        <v>0.186</v>
      </c>
      <c r="H95" s="69">
        <f>IFERROR(__xludf.DUMMYFUNCTION("FILTER(RawData_SemEval!$F$2:$F$398, 
  REGEXMATCH(RawData_SemEval!$A$2:$A$398, ""(?i)"" &amp; $A$77), 
  REGEXMATCH(RawData_SemEval!$A$2:$A$398, ""(?i)"" &amp; $G$1), 
  REGEXMATCH(RawData_SemEval!$A$2:$A$398, ""(?i)gpt_title_description""), 
  REGEXMATCH(RawData"&amp;"_SemEval!$A$2:$A$398, ""(?i)"" &amp; $B$5),NOT(REGEXMATCH(RawData_SemEval!$A$2:$A$398,  ""(?i)complete""))
)"),0.128)</f>
        <v>0.128</v>
      </c>
    </row>
    <row r="96">
      <c r="A96" s="68"/>
      <c r="B96" s="44" t="s">
        <v>68</v>
      </c>
      <c r="C96" s="71">
        <f>IFERROR(__xludf.DUMMYFUNCTION("FILTER(RawData_SemEval!$B$2:$B$398, 
  REGEXMATCH(RawData_SemEval!$A$2:$A$398, ""(?i)"" &amp; $A$77), 
  REGEXMATCH(RawData_SemEval!$A$2:$A$398, ""(?i)"" &amp; $C$1), 
  REGEXMATCH(RawData_SemEval!$A$2:$A$398, ""(?i)gpt_title_description""), 
  REGEXMATCH(RawData"&amp;"_SemEval!$A$2:$A$398, ""(?i)"" &amp; $B$6),NOT(REGEXMATCH(RawData_SemEval!$A$2:$A$398,  ""(?i)complete""))
)"),0.217)</f>
        <v>0.217</v>
      </c>
      <c r="D96" s="71">
        <f>IFERROR(__xludf.DUMMYFUNCTION("FILTER(RawData_SemEval!$F$2:$F$398, 
  REGEXMATCH(RawData_SemEval!$A$2:$A$398, ""(?i)"" &amp; $A$77), 
  REGEXMATCH(RawData_SemEval!$A$2:$A$398, ""(?i)"" &amp; $C$1), 
  REGEXMATCH(RawData_SemEval!$A$2:$A$398, ""(?i)gpt_title_description""), 
  REGEXMATCH(RawData"&amp;"_SemEval!$A$2:$A$398, ""(?i)"" &amp; $B$6),NOT(REGEXMATCH(RawData_SemEval!$A$2:$A$398,  ""(?i)complete""))
)"),0.125)</f>
        <v>0.125</v>
      </c>
      <c r="E96" s="72">
        <f>IFERROR(__xludf.DUMMYFUNCTION("FILTER(RawData_SemEval!$B$2:$B$398, 
  REGEXMATCH(RawData_SemEval!$A$2:$A$398, ""(?i)"" &amp; $A$77), 
  REGEXMATCH(RawData_SemEval!$A$2:$A$398, ""(?i)"" &amp; $E$1), 
  REGEXMATCH(RawData_SemEval!$A$2:$A$398, ""(?i)gpt_title_description""), 
  REGEXMATCH(RawData"&amp;"_SemEval!$A$2:$A$398, ""(?i)"" &amp; $B$6),NOT(REGEXMATCH(RawData_SemEval!$A$2:$A$398,  ""(?i)complete""))
)"),0.239)</f>
        <v>0.239</v>
      </c>
      <c r="F96" s="71">
        <f>IFERROR(__xludf.DUMMYFUNCTION("FILTER(RawData_SemEval!$F$2:$F$398, 
  REGEXMATCH(RawData_SemEval!$A$2:$A$398, ""(?i)"" &amp; $A$77), 
  REGEXMATCH(RawData_SemEval!$A$2:$A$398, ""(?i)"" &amp; $E$1), 
  REGEXMATCH(RawData_SemEval!$A$2:$A$398, ""(?i)gpt_title_description""), 
  REGEXMATCH(RawData"&amp;"_SemEval!$A$2:$A$398, ""(?i)"" &amp; $B$6),NOT(REGEXMATCH(RawData_SemEval!$A$2:$A$398,  ""(?i)complete""))
)"),0.119)</f>
        <v>0.119</v>
      </c>
      <c r="G96" s="72">
        <f>IFERROR(__xludf.DUMMYFUNCTION("FILTER(RawData_SemEval!$B$2:$B$398, 
  REGEXMATCH(RawData_SemEval!$A$2:$A$398, ""(?i)"" &amp; $A$77), 
  REGEXMATCH(RawData_SemEval!$A$2:$A$398, ""(?i)"" &amp; $G$1), 
  REGEXMATCH(RawData_SemEval!$A$2:$A$398, ""(?i)gpt_title_description""), 
  REGEXMATCH(RawData"&amp;"_SemEval!$A$2:$A$398, ""(?i)"" &amp; $B$6),NOT(REGEXMATCH(RawData_SemEval!$A$2:$A$398,  ""(?i)complete""))
)"),0.165)</f>
        <v>0.165</v>
      </c>
      <c r="H96" s="71">
        <f>IFERROR(__xludf.DUMMYFUNCTION("FILTER(RawData_SemEval!$F$2:$F$398, 
  REGEXMATCH(RawData_SemEval!$A$2:$A$398, ""(?i)"" &amp; $A$77), 
  REGEXMATCH(RawData_SemEval!$A$2:$A$398, ""(?i)"" &amp; $G$1), 
  REGEXMATCH(RawData_SemEval!$A$2:$A$398, ""(?i)gpt_title_description""), 
  REGEXMATCH(RawData"&amp;"_SemEval!$A$2:$A$398, ""(?i)"" &amp; $B$6),NOT(REGEXMATCH(RawData_SemEval!$A$2:$A$398,  ""(?i)complete""))
)"),0.069)</f>
        <v>0.069</v>
      </c>
    </row>
    <row r="97">
      <c r="A97" s="68" t="s">
        <v>119</v>
      </c>
      <c r="B97" s="4" t="s">
        <v>27</v>
      </c>
      <c r="C97" s="69">
        <f>IFERROR(__xludf.DUMMYFUNCTION("FILTER(RawData_SemEval!$B$2:$B$398, 
  REGEXMATCH(RawData_SemEval!$A$2:$A$398, ""(?i)"" &amp; $A$77), 
  REGEXMATCH(RawData_SemEval!$A$2:$A$398, ""(?i)"" &amp; $C$1), 
  REGEXMATCH(RawData_SemEval!$A$2:$A$398, ""(?i)gpt_title_description_complete""), 
  NOT(REGEX"&amp;"MATCH(RawData_SemEval!$A$2:$A$398,  ""(?i)ensemble""))
)"),0.2008)</f>
        <v>0.2008</v>
      </c>
      <c r="D97" s="69">
        <f>IFERROR(__xludf.DUMMYFUNCTION("FILTER(RawData_SemEval!$F$2:$F$398, 
  REGEXMATCH(RawData_SemEval!$A$2:$A$398, ""(?i)"" &amp; $A$77), 
  REGEXMATCH(RawData_SemEval!$A$2:$A$398, ""(?i)"" &amp; $C$1), 
  REGEXMATCH(RawData_SemEval!$A$2:$A$398, ""(?i)gpt_title_description_complete""), 
  NOT(REGEX"&amp;"MATCH(RawData_SemEval!$A$2:$A$398,  ""(?i)ensemble""))
)"),0.1686)</f>
        <v>0.1686</v>
      </c>
      <c r="E97" s="70">
        <f>IFERROR(__xludf.DUMMYFUNCTION("FILTER(RawData_SemEval!$B$2:$B$398, 
  REGEXMATCH(RawData_SemEval!$A$2:$A$398, ""(?i)"" &amp; $A$77), 
  REGEXMATCH(RawData_SemEval!$A$2:$A$398, ""(?i)"" &amp; $E$1), 
  REGEXMATCH(RawData_SemEval!$A$2:$A$398, ""(?i)gpt_title_description_complete""), 
  NOT(REGEX"&amp;"MATCH(RawData_SemEval!$A$2:$A$398,  ""(?i)ensemble""))
)"),0.1236)</f>
        <v>0.1236</v>
      </c>
      <c r="F97" s="69">
        <f>IFERROR(__xludf.DUMMYFUNCTION("FILTER(RawData_SemEval!$F$2:$F$398, 
  REGEXMATCH(RawData_SemEval!$A$2:$A$398, ""(?i)"" &amp; $A$77), 
  REGEXMATCH(RawData_SemEval!$A$2:$A$398, ""(?i)"" &amp; $E$1), 
  REGEXMATCH(RawData_SemEval!$A$2:$A$398, ""(?i)gpt_title_description_complete""), 
  NOT(REGEX"&amp;"MATCH(RawData_SemEval!$A$2:$A$398,  ""(?i)ensemble""))
)"),0.044)</f>
        <v>0.044</v>
      </c>
      <c r="G97" s="70">
        <f>IFERROR(__xludf.DUMMYFUNCTION("FILTER(RawData_SemEval!$B$2:$B$398, 
  REGEXMATCH(RawData_SemEval!$A$2:$A$398, ""(?i)"" &amp; $A$77), 
  REGEXMATCH(RawData_SemEval!$A$2:$A$398, ""(?i)"" &amp; $G$1), 
  REGEXMATCH(RawData_SemEval!$A$2:$A$398, ""(?i)gpt_title_description_complete""), 
  NOT(REGEX"&amp;"MATCH(RawData_SemEval!$A$2:$A$398,  ""(?i)ensemble""))
)"),0.1008)</f>
        <v>0.1008</v>
      </c>
      <c r="H97" s="69">
        <f>IFERROR(__xludf.DUMMYFUNCTION("FILTER(RawData_SemEval!$F$2:$F$398, 
  REGEXMATCH(RawData_SemEval!$A$2:$A$398, ""(?i)"" &amp; $A$77), 
  REGEXMATCH(RawData_SemEval!$A$2:$A$398, ""(?i)"" &amp; $G$1), 
  REGEXMATCH(RawData_SemEval!$A$2:$A$398, ""(?i)gpt_title_description_complete""), 
  NOT(REGEX"&amp;"MATCH(RawData_SemEval!$A$2:$A$398,  ""(?i)ensemble""))
)"),0.034)</f>
        <v>0.034</v>
      </c>
    </row>
    <row r="98">
      <c r="A98" s="68"/>
      <c r="B98" s="4" t="s">
        <v>67</v>
      </c>
      <c r="C98" s="69">
        <f>IFERROR(__xludf.DUMMYFUNCTION("FILTER(RawData_SemEval!$B$2:$B$398, 
  REGEXMATCH(RawData_SemEval!$A$2:$A$398, ""(?i)"" &amp; $A$77), 
  REGEXMATCH(RawData_SemEval!$A$2:$A$398, ""(?i)"" &amp; $C$1), 
  REGEXMATCH(RawData_SemEval!$A$2:$A$398, ""(?i)gpt_title_description_complete""), 
  REGEXMATC"&amp;"H(RawData_SemEval!$A$2:$A$398, ""(?i)"" &amp; $B$5)
)"),0.292)</f>
        <v>0.292</v>
      </c>
      <c r="D98" s="69">
        <f>IFERROR(__xludf.DUMMYFUNCTION("FILTER(RawData_SemEval!$F$2:$F$398, 
  REGEXMATCH(RawData_SemEval!$A$2:$A$398, ""(?i)"" &amp; $A$77), 
  REGEXMATCH(RawData_SemEval!$A$2:$A$398, ""(?i)"" &amp; $C$1), 
  REGEXMATCH(RawData_SemEval!$A$2:$A$398, ""(?i)gpt_title_description_complete""), 
  REGEXMATC"&amp;"H(RawData_SemEval!$A$2:$A$398, ""(?i)"" &amp; $B$5)
)"),0.287)</f>
        <v>0.287</v>
      </c>
      <c r="E98" s="70">
        <f>IFERROR(__xludf.DUMMYFUNCTION("FILTER(RawData_SemEval!$B$2:$B$398, 
  REGEXMATCH(RawData_SemEval!$A$2:$A$398, ""(?i)"" &amp; $A$77), 
  REGEXMATCH(RawData_SemEval!$A$2:$A$398, ""(?i)"" &amp; $E$1), 
  REGEXMATCH(RawData_SemEval!$A$2:$A$398, ""(?i)gpt_title_description_complete""), 
  REGEXMATC"&amp;"H(RawData_SemEval!$A$2:$A$398, ""(?i)"" &amp; $B$5)
)"),0.255)</f>
        <v>0.255</v>
      </c>
      <c r="F98" s="69">
        <f>IFERROR(__xludf.DUMMYFUNCTION("FILTER(RawData_SemEval!$F$2:$F$398, 
  REGEXMATCH(RawData_SemEval!$A$2:$A$398, ""(?i)"" &amp; $A$77), 
  REGEXMATCH(RawData_SemEval!$A$2:$A$398, ""(?i)"" &amp; $E$1), 
  REGEXMATCH(RawData_SemEval!$A$2:$A$398, ""(?i)gpt_title_description_complete""), 
  REGEXMATC"&amp;"H(RawData_SemEval!$A$2:$A$398, ""(?i)"" &amp; $B$5)
)"),0.216)</f>
        <v>0.216</v>
      </c>
      <c r="G98" s="70">
        <f>IFERROR(__xludf.DUMMYFUNCTION("FILTER(RawData_SemEval!$B$2:$B$398, 
  REGEXMATCH(RawData_SemEval!$A$2:$A$398, ""(?i)"" &amp; $A$77), 
  REGEXMATCH(RawData_SemEval!$A$2:$A$398, ""(?i)"" &amp; $G$1), 
  REGEXMATCH(RawData_SemEval!$A$2:$A$398, ""(?i)gpt_title_description_complete""), 
  REGEXMATC"&amp;"H(RawData_SemEval!$A$2:$A$398, ""(?i)"" &amp; $B$5)
)"),0.109)</f>
        <v>0.109</v>
      </c>
      <c r="H98" s="69">
        <f>IFERROR(__xludf.DUMMYFUNCTION("FILTER(RawData_SemEval!$F$2:$F$398, 
  REGEXMATCH(RawData_SemEval!$A$2:$A$398, ""(?i)"" &amp; $A$77), 
  REGEXMATCH(RawData_SemEval!$A$2:$A$398, ""(?i)"" &amp; $G$1), 
  REGEXMATCH(RawData_SemEval!$A$2:$A$398, ""(?i)gpt_title_description_complete""), 
  REGEXMATC"&amp;"H(RawData_SemEval!$A$2:$A$398, ""(?i)"" &amp; $B$5)
)"),0.092)</f>
        <v>0.092</v>
      </c>
    </row>
    <row r="99">
      <c r="A99" s="75"/>
      <c r="B99" s="45" t="s">
        <v>68</v>
      </c>
      <c r="C99" s="71">
        <f>IFERROR(__xludf.DUMMYFUNCTION("FILTER(RawData_SemEval!$B$2:$B$398, 
  REGEXMATCH(RawData_SemEval!$A$2:$A$398, ""(?i)"" &amp; $A$77), 
  REGEXMATCH(RawData_SemEval!$A$2:$A$398, ""(?i)"" &amp; $C$1), 
  REGEXMATCH(RawData_SemEval!$A$2:$A$398, ""(?i)gpt_title_description_complete""), 
  REGEXMATC"&amp;"H(RawData_SemEval!$A$2:$A$398, ""(?i)"" &amp; $B$6)
)"),0.235)</f>
        <v>0.235</v>
      </c>
      <c r="D99" s="71">
        <f>IFERROR(__xludf.DUMMYFUNCTION("FILTER(RawData_SemEval!$F$2:$F$398, 
  REGEXMATCH(RawData_SemEval!$A$2:$A$398, ""(?i)"" &amp; $A$77), 
  REGEXMATCH(RawData_SemEval!$A$2:$A$398, ""(?i)"" &amp; $C$1), 
  REGEXMATCH(RawData_SemEval!$A$2:$A$398, ""(?i)gpt_title_description_complete""), 
  REGEXMATC"&amp;"H(RawData_SemEval!$A$2:$A$398, ""(?i)"" &amp; $B$6)
)"),0.148)</f>
        <v>0.148</v>
      </c>
      <c r="E99" s="72">
        <f>IFERROR(__xludf.DUMMYFUNCTION("FILTER(RawData_SemEval!$B$2:$B$398, 
  REGEXMATCH(RawData_SemEval!$A$2:$A$398, ""(?i)"" &amp; $A$77), 
  REGEXMATCH(RawData_SemEval!$A$2:$A$398, ""(?i)"" &amp; $E$1), 
  REGEXMATCH(RawData_SemEval!$A$2:$A$398, ""(?i)gpt_title_description_complete""), 
  REGEXMATC"&amp;"H(RawData_SemEval!$A$2:$A$398, ""(?i)"" &amp; $B$6)
)"),0.185)</f>
        <v>0.185</v>
      </c>
      <c r="F99" s="71">
        <f>IFERROR(__xludf.DUMMYFUNCTION("FILTER(RawData_SemEval!$F$2:$F$398, 
  REGEXMATCH(RawData_SemEval!$A$2:$A$398, ""(?i)"" &amp; $A$77), 
  REGEXMATCH(RawData_SemEval!$A$2:$A$398, ""(?i)"" &amp; $E$1), 
  REGEXMATCH(RawData_SemEval!$A$2:$A$398, ""(?i)gpt_title_description_complete""), 
  REGEXMATC"&amp;"H(RawData_SemEval!$A$2:$A$398, ""(?i)"" &amp; $B$6)
)"),0.078)</f>
        <v>0.078</v>
      </c>
      <c r="G99" s="72">
        <f>IFERROR(__xludf.DUMMYFUNCTION("FILTER(RawData_SemEval!$B$2:$B$398, 
  REGEXMATCH(RawData_SemEval!$A$2:$A$398, ""(?i)"" &amp; $A$77), 
  REGEXMATCH(RawData_SemEval!$A$2:$A$398, ""(?i)"" &amp; $G$1), 
  REGEXMATCH(RawData_SemEval!$A$2:$A$398, ""(?i)gpt_title_description_complete""), 
  REGEXMATC"&amp;"H(RawData_SemEval!$A$2:$A$398, ""(?i)"" &amp; $B$6)
)"),0.157)</f>
        <v>0.157</v>
      </c>
      <c r="H99" s="71">
        <f>IFERROR(__xludf.DUMMYFUNCTION("FILTER(RawData_SemEval!$F$2:$F$398, 
  REGEXMATCH(RawData_SemEval!$A$2:$A$398, ""(?i)"" &amp; $A$77), 
  REGEXMATCH(RawData_SemEval!$A$2:$A$398, ""(?i)"" &amp; $G$1), 
  REGEXMATCH(RawData_SemEval!$A$2:$A$398, ""(?i)gpt_title_description_complete""), 
  REGEXMATC"&amp;"H(RawData_SemEval!$A$2:$A$398, ""(?i)"" &amp; $B$6)
)"),0.059)</f>
        <v>0.059</v>
      </c>
    </row>
    <row r="100">
      <c r="A100" s="64"/>
      <c r="B100" s="56"/>
      <c r="E100" s="56"/>
      <c r="G100" s="56"/>
    </row>
    <row r="101">
      <c r="A101" s="64"/>
      <c r="E101" s="56"/>
      <c r="G101" s="56"/>
    </row>
    <row r="102">
      <c r="B102" s="77"/>
      <c r="C102" s="78" t="s">
        <v>4</v>
      </c>
      <c r="D102" s="78" t="s">
        <v>4</v>
      </c>
      <c r="E102" s="78" t="s">
        <v>5</v>
      </c>
      <c r="F102" s="78" t="s">
        <v>5</v>
      </c>
      <c r="G102" s="78" t="s">
        <v>6</v>
      </c>
      <c r="H102" s="78" t="s">
        <v>6</v>
      </c>
      <c r="I102" s="78" t="s">
        <v>7</v>
      </c>
      <c r="J102" s="79" t="s">
        <v>7</v>
      </c>
    </row>
    <row r="103">
      <c r="B103" s="56"/>
      <c r="C103" s="4" t="s">
        <v>70</v>
      </c>
      <c r="D103" s="4" t="s">
        <v>71</v>
      </c>
      <c r="E103" s="4" t="s">
        <v>70</v>
      </c>
      <c r="F103" s="4" t="s">
        <v>71</v>
      </c>
      <c r="G103" s="4" t="s">
        <v>70</v>
      </c>
      <c r="H103" s="4" t="s">
        <v>71</v>
      </c>
      <c r="I103" s="4" t="s">
        <v>70</v>
      </c>
      <c r="J103" s="68" t="s">
        <v>71</v>
      </c>
    </row>
    <row r="104">
      <c r="B104" s="80" t="s">
        <v>120</v>
      </c>
      <c r="C104" s="5">
        <f>AVERAGE($C4-$C5,$C7-$C8,$C10-$C11,$C19-$C20,$C22-$C23)</f>
        <v>-0.00568</v>
      </c>
      <c r="D104" s="5">
        <f>AVERAGE($D4-$D5,$D7-$D8,$D10-$D11,$D19-$D20,$D22-$D23)</f>
        <v>-0.01248</v>
      </c>
      <c r="E104" s="5">
        <f t="shared" ref="E104:F104" si="1">AVERAGE(C$28-C$29,C$31-C$32,C$34-C$35,C$37-C$38,C$43-C$44,C$46-C$47)</f>
        <v>-0.0006333333333</v>
      </c>
      <c r="F104" s="5">
        <f t="shared" si="1"/>
        <v>-0.0097</v>
      </c>
      <c r="G104" s="5">
        <f t="shared" ref="G104:H104" si="2">AVERAGE(C$52-C$53,C$55-C$56,C$58-C$59,C$61-C$62,C$67-C$68,C$70-C$71)</f>
        <v>-0.004133333333</v>
      </c>
      <c r="H104" s="5">
        <f t="shared" si="2"/>
        <v>-0.04363333333</v>
      </c>
      <c r="I104" s="5">
        <f t="shared" ref="I104:J104" si="3">AVERAGE(C$76-C$77,C$79-C$80,C$82-C$83,C$85-C$86,C$88-C$89,C$91-C$92,C$94-C$95,C$97-C$98)</f>
        <v>-0.08355</v>
      </c>
      <c r="J104" s="81">
        <f t="shared" si="3"/>
        <v>-0.107125</v>
      </c>
    </row>
    <row r="105">
      <c r="B105" s="41"/>
      <c r="C105" s="5">
        <f>AVERAGE(C104:D104)</f>
        <v>-0.00908</v>
      </c>
      <c r="D105" s="5"/>
      <c r="E105" s="5">
        <f>AVERAGE(E104:F104)</f>
        <v>-0.005166666667</v>
      </c>
      <c r="F105" s="5"/>
      <c r="G105" s="5">
        <f>AVERAGE(G104:H104)</f>
        <v>-0.02388333333</v>
      </c>
      <c r="H105" s="5"/>
      <c r="I105" s="5">
        <f>AVERAGE(I104:J104)</f>
        <v>-0.0953375</v>
      </c>
      <c r="J105" s="81"/>
    </row>
    <row r="106">
      <c r="B106" s="80" t="s">
        <v>121</v>
      </c>
      <c r="C106" s="5">
        <f t="shared" ref="C106:D106" si="4">AVERAGE(C$4-C$6,C$7-C$9,C$10-C$12,C$19-C$21,C$22-C$24)</f>
        <v>-0.05488</v>
      </c>
      <c r="D106" s="5">
        <f t="shared" si="4"/>
        <v>-0.03968</v>
      </c>
      <c r="E106" s="5">
        <f t="shared" ref="E106:F106" si="5">AVERAGE(C$28-C$30,C$31-C$33,C$34-C$36,C$37-C$39,C$43-C$45,C$46-C$48)</f>
        <v>-0.03913333333</v>
      </c>
      <c r="F106" s="5">
        <f t="shared" si="5"/>
        <v>-0.0052</v>
      </c>
      <c r="G106" s="5">
        <f t="shared" ref="G106:H106" si="6">AVERAGE(C$52-C$54,C$55-C$57,C$58-C$60,C$61-C$63,C$67-C$69,C$70-C$72)</f>
        <v>-0.05646666667</v>
      </c>
      <c r="H106" s="5">
        <f t="shared" si="6"/>
        <v>-0.0058</v>
      </c>
      <c r="I106" s="5">
        <f t="shared" ref="I106:J106" si="7">AVERAGE(C$76-C$78,C$79-C$81,C$82-C$84,C$85-C$87,C$88-C$90,C$91-C$93,C$94-C$96,C$97-C$99)</f>
        <v>-0.042425</v>
      </c>
      <c r="J106" s="81">
        <f t="shared" si="7"/>
        <v>0.00575</v>
      </c>
    </row>
    <row r="107">
      <c r="B107" s="51"/>
      <c r="C107" s="5">
        <f>AVERAGE(C106:D106)</f>
        <v>-0.04728</v>
      </c>
      <c r="D107" s="5"/>
      <c r="E107" s="5">
        <f>AVERAGE(E106:F106)</f>
        <v>-0.02216666667</v>
      </c>
      <c r="F107" s="5"/>
      <c r="G107" s="5">
        <f>AVERAGE(G106:H106)</f>
        <v>-0.03113333333</v>
      </c>
      <c r="H107" s="5"/>
      <c r="I107" s="5">
        <f>AVERAGE(I106:J106)</f>
        <v>-0.0183375</v>
      </c>
      <c r="J107" s="81"/>
    </row>
    <row r="108">
      <c r="B108" s="80" t="s">
        <v>122</v>
      </c>
      <c r="C108" s="5">
        <f t="shared" ref="C108:D108" si="8">AVERAGE(E$4-E$5,E$7-E$8,E$10-E$11,E$13-E$14,E$16-E$17,E$19-E$20,E$22-E$23,E$25-E$26)</f>
        <v>0.042025</v>
      </c>
      <c r="D108" s="5">
        <f t="shared" si="8"/>
        <v>0.016825</v>
      </c>
      <c r="E108" s="5">
        <f t="shared" ref="E108:F108" si="9">AVERAGE(E$28-E$29,E$31-E$32,E$34-E$35,E$37-E$38,E$40-E$41,E$43-E$44,E$46-E$47,E$49-E$50)</f>
        <v>-0.00335</v>
      </c>
      <c r="F108" s="5">
        <f t="shared" si="9"/>
        <v>0.00145</v>
      </c>
      <c r="G108" s="5">
        <f t="shared" ref="G108:H108" si="10">AVERAGE(E$52-E$53,E$55-E$56,E$58-E$59,E$61-E$62,E$64-E$65,E$67-E$68,E$70-E$71,E$73-E$74)</f>
        <v>-0.021375</v>
      </c>
      <c r="H108" s="5">
        <f t="shared" si="10"/>
        <v>-0.03215</v>
      </c>
      <c r="I108" s="5">
        <f t="shared" ref="I108:J108" si="11">AVERAGE(E$76-E$77,E$79-E$80,E$82-E$83,E$85-E$86,E$88-E$89,E$91-E$92,E$94-E$95,E$97-E$98)</f>
        <v>-0.0688</v>
      </c>
      <c r="J108" s="81">
        <f t="shared" si="11"/>
        <v>-0.10815</v>
      </c>
    </row>
    <row r="109">
      <c r="B109" s="41"/>
      <c r="C109" s="5">
        <f>AVERAGE(C108:D108)</f>
        <v>0.029425</v>
      </c>
      <c r="D109" s="5"/>
      <c r="E109" s="5">
        <f>AVERAGE(E108:F108)</f>
        <v>-0.00095</v>
      </c>
      <c r="F109" s="5"/>
      <c r="G109" s="5">
        <f>AVERAGE(G108:H108)</f>
        <v>-0.0267625</v>
      </c>
      <c r="H109" s="5"/>
      <c r="I109" s="5">
        <f>AVERAGE(I108:J108)</f>
        <v>-0.088475</v>
      </c>
      <c r="J109" s="81"/>
    </row>
    <row r="110">
      <c r="B110" s="80" t="s">
        <v>123</v>
      </c>
      <c r="C110" s="5">
        <f t="shared" ref="C110:D110" si="12">AVERAGE(E$4-E$6,E$7-E$9,E$10-E$12,E$13-E$15,E$16-E$18,E$19-E$21,E$22-E$24,E$25-E$27)</f>
        <v>-0.00785</v>
      </c>
      <c r="D110" s="5">
        <f t="shared" si="12"/>
        <v>-0.00305</v>
      </c>
      <c r="E110" s="5">
        <f t="shared" ref="E110:F110" si="13">AVERAGE(E$28-E$30,E$31-E$33,E$34-E$36,E$37-E$39,E$40-E$42,E$43-E$45,E$46-E$48,E$49-E$51)</f>
        <v>-0.017225</v>
      </c>
      <c r="F110" s="5">
        <f t="shared" si="13"/>
        <v>-0.0168</v>
      </c>
      <c r="G110" s="5">
        <f t="shared" ref="G110:H110" si="14">AVERAGE(E$52-E$54,E$55-E$57,E$58-E$60,E$61-E$63,E$64-E$66,E$67-E$69,E$70-E$72,E$73-E$75)</f>
        <v>-0.059625</v>
      </c>
      <c r="H110" s="5">
        <f t="shared" si="14"/>
        <v>-0.0294</v>
      </c>
      <c r="I110" s="5">
        <f t="shared" ref="I110:J110" si="15">AVERAGE(E$76-E$78,E$79-E$81,E$82-E$84,E$85-E$87,E$88-E$90,E$91-E$93,E$94-E$96,E$97-E$99)</f>
        <v>-0.064425</v>
      </c>
      <c r="J110" s="81">
        <f t="shared" si="15"/>
        <v>-0.0324</v>
      </c>
    </row>
    <row r="111">
      <c r="B111" s="51"/>
      <c r="C111" s="5">
        <f>AVERAGE(C110:D110)</f>
        <v>-0.00545</v>
      </c>
      <c r="D111" s="5"/>
      <c r="E111" s="5">
        <f>AVERAGE(E110:F110)</f>
        <v>-0.0170125</v>
      </c>
      <c r="F111" s="5"/>
      <c r="G111" s="5">
        <f>AVERAGE(G110:H110)</f>
        <v>-0.0445125</v>
      </c>
      <c r="H111" s="5"/>
      <c r="I111" s="5">
        <f>AVERAGE(I110:J110)</f>
        <v>-0.0484125</v>
      </c>
      <c r="J111" s="81"/>
    </row>
    <row r="112">
      <c r="B112" s="80" t="s">
        <v>124</v>
      </c>
      <c r="C112" s="5">
        <f t="shared" ref="C112:D112" si="16">AVERAGE(G$4-G$5,G$7-G$8,G$10-G$11,G$13-G$14,G$16-G$17,G$19-G$20,G$22-G$23,G$25-G$26)</f>
        <v>-0.01135</v>
      </c>
      <c r="D112" s="5">
        <f t="shared" si="16"/>
        <v>-0.0078</v>
      </c>
      <c r="E112" s="5">
        <f t="shared" ref="E112:F112" si="17">AVERAGE(E$28-E$29,E$31-E$32,E$34-E$35,E$37-E$38,E$40-E$41,E$43-E$44,E$46-E$47,E$49-E$50)</f>
        <v>-0.00335</v>
      </c>
      <c r="F112" s="5">
        <f t="shared" si="17"/>
        <v>0.00145</v>
      </c>
      <c r="G112" s="5">
        <f t="shared" ref="G112:H112" si="18">AVERAGE(E$52-E$53,E$55-E$56,E$58-E$59,E$61-E$62,E$64-E$65,E$67-E$68,E$70-E$71,E$73-E$74)</f>
        <v>-0.021375</v>
      </c>
      <c r="H112" s="5">
        <f t="shared" si="18"/>
        <v>-0.03215</v>
      </c>
      <c r="I112" s="5">
        <f t="shared" ref="I112:J112" si="19">AVERAGE(E$76-E$77,E$79-E$80,E$82-E$83,E$85-E$86,E$88-E$89,E$91-E$92,E$94-E$95,E$97-E$98)</f>
        <v>-0.0688</v>
      </c>
      <c r="J112" s="81">
        <f t="shared" si="19"/>
        <v>-0.10815</v>
      </c>
    </row>
    <row r="113">
      <c r="B113" s="41"/>
      <c r="C113" s="5">
        <f>AVERAGE(C112:D112)</f>
        <v>-0.009575</v>
      </c>
      <c r="D113" s="5"/>
      <c r="E113" s="5">
        <f>AVERAGE(E112:F112)</f>
        <v>-0.00095</v>
      </c>
      <c r="F113" s="5"/>
      <c r="G113" s="5">
        <f>AVERAGE(G112:H112)</f>
        <v>-0.0267625</v>
      </c>
      <c r="H113" s="5"/>
      <c r="I113" s="5">
        <f>AVERAGE(I112:J112)</f>
        <v>-0.088475</v>
      </c>
      <c r="J113" s="81"/>
    </row>
    <row r="114">
      <c r="B114" s="80" t="s">
        <v>125</v>
      </c>
      <c r="C114" s="5">
        <f t="shared" ref="C114:D114" si="20">AVERAGE(G$4-G$6,G$7-G$9,G$10-G$12,G$13-G$15,G$16-G$18,G$19-G$21,G$22-G$24,G$25-G$27)</f>
        <v>-0.039975</v>
      </c>
      <c r="D114" s="5">
        <f t="shared" si="20"/>
        <v>-0.030925</v>
      </c>
      <c r="E114" s="5">
        <f t="shared" ref="E114:F114" si="21">AVERAGE(G$28-G$30,G$31-G$33,G$34-G$36,G$37-G$39,G$40-G$42,G$43-G$45,G$46-G$48,G$49-G$51)</f>
        <v>-0.005175</v>
      </c>
      <c r="F114" s="5">
        <f t="shared" si="21"/>
        <v>0.002225</v>
      </c>
      <c r="G114" s="5">
        <f t="shared" ref="G114:H114" si="22">AVERAGE(G$52-G$54,G$55-G$57,G$58-G$60,G$61-G$63,G$64-G$66,G$67-G$69,G$70-G$72,G$73-G$75)</f>
        <v>-0.05305</v>
      </c>
      <c r="H114" s="5">
        <f t="shared" si="22"/>
        <v>-0.039525</v>
      </c>
      <c r="I114" s="5">
        <f t="shared" ref="I114:J114" si="23">AVERAGE(G$76-G$78,G$79-G$81,G$82-G$84,G$85-G$87,G$88-G$90,G$91-G$93,G$94-G$96,G$97-G$99)</f>
        <v>-0.047425</v>
      </c>
      <c r="J114" s="81">
        <f t="shared" si="23"/>
        <v>-0.0227</v>
      </c>
    </row>
    <row r="115">
      <c r="B115" s="82"/>
      <c r="C115" s="55">
        <f>AVERAGE(C114:D114)</f>
        <v>-0.03545</v>
      </c>
      <c r="D115" s="55"/>
      <c r="E115" s="55">
        <f>AVERAGE(E114:F114)</f>
        <v>-0.001475</v>
      </c>
      <c r="F115" s="55"/>
      <c r="G115" s="55">
        <f>AVERAGE(G114:H114)</f>
        <v>-0.0462875</v>
      </c>
      <c r="H115" s="55"/>
      <c r="I115" s="55">
        <f>AVERAGE(I114:J114)</f>
        <v>-0.0350625</v>
      </c>
      <c r="J115" s="83"/>
    </row>
    <row r="116">
      <c r="A116" s="64"/>
      <c r="B116" s="56"/>
      <c r="E116" s="56"/>
      <c r="G116" s="56"/>
    </row>
    <row r="117">
      <c r="A117" s="64"/>
      <c r="B117" s="56"/>
      <c r="E117" s="56"/>
      <c r="G117" s="56"/>
    </row>
    <row r="118">
      <c r="A118" s="64"/>
      <c r="B118" s="56"/>
      <c r="E118" s="56"/>
      <c r="G118" s="56"/>
    </row>
    <row r="119">
      <c r="A119" s="64"/>
      <c r="B119" s="56"/>
      <c r="E119" s="56"/>
      <c r="G119" s="56"/>
    </row>
    <row r="120">
      <c r="A120" s="64"/>
      <c r="B120" s="56"/>
      <c r="E120" s="56"/>
      <c r="G120" s="56"/>
    </row>
    <row r="121">
      <c r="A121" s="64"/>
      <c r="B121" s="56"/>
      <c r="E121" s="56"/>
      <c r="G121" s="56"/>
    </row>
    <row r="122">
      <c r="A122" s="64"/>
      <c r="B122" s="56"/>
      <c r="E122" s="56"/>
      <c r="G122" s="56"/>
    </row>
    <row r="123">
      <c r="A123" s="64"/>
      <c r="B123" s="56"/>
      <c r="E123" s="56"/>
      <c r="G123" s="56"/>
    </row>
    <row r="124">
      <c r="A124" s="64"/>
      <c r="B124" s="56"/>
      <c r="E124" s="56"/>
      <c r="G124" s="56"/>
    </row>
    <row r="125">
      <c r="A125" s="64"/>
      <c r="B125" s="56"/>
      <c r="E125" s="56"/>
      <c r="G125" s="56"/>
    </row>
    <row r="126">
      <c r="A126" s="64"/>
      <c r="B126" s="56"/>
      <c r="E126" s="56"/>
      <c r="G126" s="56"/>
    </row>
    <row r="127">
      <c r="A127" s="64"/>
      <c r="B127" s="56"/>
      <c r="E127" s="56"/>
      <c r="G127" s="56"/>
    </row>
    <row r="128">
      <c r="A128" s="64"/>
      <c r="B128" s="56"/>
      <c r="E128" s="56"/>
      <c r="G128" s="56"/>
    </row>
    <row r="129">
      <c r="A129" s="64"/>
      <c r="B129" s="56"/>
      <c r="E129" s="56"/>
      <c r="G129" s="56"/>
    </row>
    <row r="130">
      <c r="A130" s="64"/>
      <c r="B130" s="56"/>
      <c r="E130" s="56"/>
      <c r="G130" s="56"/>
    </row>
    <row r="131">
      <c r="A131" s="64"/>
      <c r="B131" s="56"/>
      <c r="E131" s="56"/>
      <c r="G131" s="56"/>
    </row>
    <row r="132">
      <c r="A132" s="64"/>
      <c r="B132" s="56"/>
      <c r="E132" s="56"/>
      <c r="G132" s="56"/>
    </row>
    <row r="133">
      <c r="A133" s="64"/>
      <c r="B133" s="56"/>
      <c r="E133" s="56"/>
      <c r="G133" s="56"/>
    </row>
    <row r="134">
      <c r="A134" s="64"/>
      <c r="B134" s="56"/>
      <c r="E134" s="56"/>
      <c r="G134" s="56"/>
    </row>
    <row r="135">
      <c r="A135" s="64"/>
      <c r="B135" s="56"/>
      <c r="E135" s="56"/>
      <c r="G135" s="56"/>
    </row>
    <row r="136">
      <c r="A136" s="64"/>
      <c r="B136" s="56"/>
      <c r="E136" s="56"/>
      <c r="G136" s="56"/>
    </row>
    <row r="137">
      <c r="A137" s="64"/>
      <c r="B137" s="56"/>
      <c r="E137" s="56"/>
      <c r="G137" s="56"/>
    </row>
    <row r="138">
      <c r="A138" s="64"/>
      <c r="B138" s="56"/>
      <c r="E138" s="56"/>
      <c r="G138" s="56"/>
    </row>
    <row r="139">
      <c r="A139" s="64"/>
      <c r="B139" s="56"/>
      <c r="E139" s="56"/>
      <c r="G139" s="56"/>
    </row>
    <row r="140">
      <c r="A140" s="64"/>
      <c r="B140" s="56"/>
      <c r="E140" s="56"/>
      <c r="G140" s="56"/>
    </row>
    <row r="141">
      <c r="A141" s="64"/>
      <c r="B141" s="56"/>
      <c r="E141" s="56"/>
      <c r="G141" s="56"/>
    </row>
    <row r="142">
      <c r="A142" s="64"/>
      <c r="B142" s="56"/>
      <c r="E142" s="56"/>
      <c r="G142" s="56"/>
    </row>
    <row r="143">
      <c r="A143" s="64"/>
      <c r="B143" s="56"/>
      <c r="E143" s="56"/>
      <c r="G143" s="56"/>
    </row>
    <row r="144">
      <c r="A144" s="64"/>
      <c r="B144" s="56"/>
      <c r="E144" s="56"/>
      <c r="G144" s="56"/>
    </row>
    <row r="145">
      <c r="A145" s="64"/>
      <c r="B145" s="56"/>
      <c r="E145" s="56"/>
      <c r="G145" s="56"/>
    </row>
    <row r="146">
      <c r="A146" s="64"/>
      <c r="B146" s="56"/>
      <c r="E146" s="56"/>
      <c r="G146" s="56"/>
    </row>
    <row r="147">
      <c r="A147" s="64"/>
      <c r="B147" s="56"/>
      <c r="E147" s="56"/>
      <c r="G147" s="56"/>
    </row>
    <row r="148">
      <c r="A148" s="64"/>
      <c r="B148" s="56"/>
      <c r="E148" s="56"/>
      <c r="G148" s="56"/>
    </row>
    <row r="149">
      <c r="A149" s="64"/>
      <c r="B149" s="56"/>
      <c r="E149" s="56"/>
      <c r="G149" s="56"/>
    </row>
    <row r="150">
      <c r="A150" s="64"/>
      <c r="B150" s="56"/>
      <c r="E150" s="56"/>
      <c r="G150" s="56"/>
    </row>
    <row r="151">
      <c r="A151" s="64"/>
      <c r="B151" s="56"/>
      <c r="E151" s="56"/>
      <c r="G151" s="56"/>
    </row>
    <row r="152">
      <c r="A152" s="64"/>
      <c r="B152" s="56"/>
      <c r="E152" s="56"/>
      <c r="G152" s="56"/>
    </row>
    <row r="153">
      <c r="A153" s="64"/>
      <c r="B153" s="56"/>
      <c r="E153" s="56"/>
      <c r="G153" s="56"/>
    </row>
    <row r="154">
      <c r="A154" s="64"/>
      <c r="B154" s="56"/>
      <c r="E154" s="56"/>
      <c r="G154" s="56"/>
    </row>
    <row r="155">
      <c r="A155" s="64"/>
      <c r="B155" s="56"/>
      <c r="E155" s="56"/>
      <c r="G155" s="56"/>
    </row>
    <row r="156">
      <c r="A156" s="64"/>
      <c r="B156" s="56"/>
      <c r="E156" s="56"/>
      <c r="G156" s="56"/>
    </row>
    <row r="157">
      <c r="A157" s="64"/>
      <c r="B157" s="56"/>
      <c r="E157" s="56"/>
      <c r="G157" s="56"/>
    </row>
    <row r="158">
      <c r="A158" s="64"/>
      <c r="B158" s="56"/>
      <c r="E158" s="56"/>
      <c r="G158" s="56"/>
    </row>
    <row r="159">
      <c r="A159" s="64"/>
      <c r="B159" s="56"/>
      <c r="E159" s="56"/>
      <c r="G159" s="56"/>
    </row>
    <row r="160">
      <c r="A160" s="64"/>
      <c r="B160" s="56"/>
      <c r="E160" s="56"/>
      <c r="G160" s="56"/>
    </row>
    <row r="161">
      <c r="A161" s="64"/>
      <c r="B161" s="56"/>
      <c r="E161" s="56"/>
      <c r="G161" s="56"/>
    </row>
    <row r="162">
      <c r="A162" s="64"/>
      <c r="B162" s="56"/>
      <c r="E162" s="56"/>
      <c r="G162" s="56"/>
    </row>
    <row r="163">
      <c r="A163" s="64"/>
      <c r="B163" s="56"/>
      <c r="E163" s="56"/>
      <c r="G163" s="56"/>
    </row>
    <row r="164">
      <c r="A164" s="64"/>
      <c r="B164" s="56"/>
      <c r="E164" s="56"/>
      <c r="G164" s="56"/>
    </row>
    <row r="165">
      <c r="A165" s="64"/>
      <c r="B165" s="56"/>
      <c r="E165" s="56"/>
      <c r="G165" s="56"/>
    </row>
    <row r="166">
      <c r="A166" s="64"/>
      <c r="B166" s="56"/>
      <c r="E166" s="56"/>
      <c r="G166" s="56"/>
    </row>
    <row r="167">
      <c r="A167" s="64"/>
      <c r="B167" s="56"/>
      <c r="E167" s="56"/>
      <c r="G167" s="56"/>
    </row>
    <row r="168">
      <c r="A168" s="64"/>
      <c r="B168" s="56"/>
      <c r="E168" s="56"/>
      <c r="G168" s="56"/>
    </row>
    <row r="169">
      <c r="A169" s="64"/>
      <c r="B169" s="56"/>
      <c r="E169" s="56"/>
      <c r="G169" s="56"/>
    </row>
    <row r="170">
      <c r="A170" s="64"/>
      <c r="B170" s="56"/>
      <c r="E170" s="56"/>
      <c r="G170" s="56"/>
    </row>
    <row r="171">
      <c r="A171" s="64"/>
      <c r="B171" s="56"/>
      <c r="E171" s="56"/>
      <c r="G171" s="56"/>
    </row>
    <row r="172">
      <c r="A172" s="64"/>
      <c r="B172" s="56"/>
      <c r="E172" s="56"/>
      <c r="G172" s="56"/>
    </row>
    <row r="173">
      <c r="A173" s="64"/>
      <c r="B173" s="56"/>
      <c r="E173" s="56"/>
      <c r="G173" s="56"/>
    </row>
    <row r="174">
      <c r="A174" s="64"/>
      <c r="B174" s="56"/>
      <c r="E174" s="56"/>
      <c r="G174" s="56"/>
    </row>
    <row r="175">
      <c r="A175" s="64"/>
      <c r="B175" s="56"/>
      <c r="E175" s="56"/>
      <c r="G175" s="56"/>
    </row>
    <row r="176">
      <c r="A176" s="64"/>
      <c r="B176" s="56"/>
      <c r="E176" s="56"/>
      <c r="G176" s="56"/>
    </row>
    <row r="177">
      <c r="A177" s="64"/>
      <c r="B177" s="56"/>
      <c r="E177" s="56"/>
      <c r="G177" s="56"/>
    </row>
    <row r="178">
      <c r="A178" s="64"/>
      <c r="B178" s="56"/>
      <c r="E178" s="56"/>
      <c r="G178" s="56"/>
    </row>
    <row r="179">
      <c r="A179" s="64"/>
      <c r="B179" s="56"/>
      <c r="E179" s="56"/>
      <c r="G179" s="56"/>
    </row>
    <row r="180">
      <c r="A180" s="64"/>
      <c r="B180" s="56"/>
      <c r="E180" s="56"/>
      <c r="G180" s="56"/>
    </row>
    <row r="181">
      <c r="A181" s="64"/>
      <c r="B181" s="56"/>
      <c r="E181" s="56"/>
      <c r="G181" s="56"/>
    </row>
    <row r="182">
      <c r="A182" s="64"/>
      <c r="B182" s="56"/>
      <c r="E182" s="56"/>
      <c r="G182" s="56"/>
    </row>
    <row r="183">
      <c r="A183" s="64"/>
      <c r="B183" s="56"/>
      <c r="E183" s="56"/>
      <c r="G183" s="56"/>
    </row>
    <row r="184">
      <c r="A184" s="64"/>
      <c r="B184" s="56"/>
      <c r="E184" s="56"/>
      <c r="G184" s="56"/>
    </row>
    <row r="185">
      <c r="A185" s="64"/>
      <c r="B185" s="56"/>
      <c r="E185" s="56"/>
      <c r="G185" s="56"/>
    </row>
    <row r="186">
      <c r="A186" s="64"/>
      <c r="B186" s="56"/>
      <c r="E186" s="56"/>
      <c r="G186" s="56"/>
    </row>
    <row r="187">
      <c r="A187" s="64"/>
      <c r="B187" s="56"/>
      <c r="E187" s="56"/>
      <c r="G187" s="56"/>
    </row>
    <row r="188">
      <c r="A188" s="64"/>
      <c r="B188" s="56"/>
      <c r="E188" s="56"/>
      <c r="G188" s="56"/>
    </row>
    <row r="189">
      <c r="A189" s="64"/>
      <c r="B189" s="56"/>
      <c r="E189" s="56"/>
      <c r="G189" s="56"/>
    </row>
    <row r="190">
      <c r="A190" s="64"/>
      <c r="B190" s="56"/>
      <c r="E190" s="56"/>
      <c r="G190" s="56"/>
    </row>
    <row r="191">
      <c r="A191" s="64"/>
      <c r="B191" s="56"/>
      <c r="E191" s="56"/>
      <c r="G191" s="56"/>
    </row>
    <row r="192">
      <c r="A192" s="64"/>
      <c r="B192" s="56"/>
      <c r="E192" s="56"/>
      <c r="G192" s="56"/>
    </row>
    <row r="193">
      <c r="A193" s="64"/>
      <c r="B193" s="56"/>
      <c r="E193" s="56"/>
      <c r="G193" s="56"/>
    </row>
    <row r="194">
      <c r="A194" s="64"/>
      <c r="B194" s="56"/>
      <c r="E194" s="56"/>
      <c r="G194" s="56"/>
    </row>
    <row r="195">
      <c r="A195" s="64"/>
      <c r="B195" s="56"/>
      <c r="E195" s="56"/>
      <c r="G195" s="56"/>
    </row>
    <row r="196">
      <c r="A196" s="64"/>
      <c r="B196" s="56"/>
      <c r="E196" s="56"/>
      <c r="G196" s="56"/>
    </row>
    <row r="197">
      <c r="A197" s="64"/>
      <c r="B197" s="56"/>
      <c r="E197" s="56"/>
      <c r="G197" s="56"/>
    </row>
    <row r="198">
      <c r="A198" s="64"/>
      <c r="B198" s="56"/>
      <c r="E198" s="56"/>
      <c r="G198" s="56"/>
    </row>
    <row r="199">
      <c r="A199" s="64"/>
      <c r="B199" s="56"/>
      <c r="E199" s="56"/>
      <c r="G199" s="56"/>
    </row>
    <row r="200">
      <c r="A200" s="64"/>
      <c r="B200" s="56"/>
      <c r="E200" s="56"/>
      <c r="G200" s="56"/>
    </row>
    <row r="201">
      <c r="A201" s="64"/>
      <c r="B201" s="56"/>
      <c r="E201" s="56"/>
      <c r="G201" s="56"/>
    </row>
    <row r="202">
      <c r="A202" s="64"/>
      <c r="B202" s="56"/>
      <c r="E202" s="56"/>
      <c r="G202" s="56"/>
    </row>
    <row r="203">
      <c r="A203" s="64"/>
      <c r="B203" s="56"/>
      <c r="E203" s="56"/>
      <c r="G203" s="56"/>
    </row>
    <row r="204">
      <c r="A204" s="64"/>
      <c r="B204" s="56"/>
      <c r="E204" s="56"/>
      <c r="G204" s="56"/>
    </row>
    <row r="205">
      <c r="A205" s="64"/>
      <c r="B205" s="56"/>
      <c r="E205" s="56"/>
      <c r="G205" s="56"/>
    </row>
    <row r="206">
      <c r="A206" s="64"/>
      <c r="B206" s="56"/>
      <c r="E206" s="56"/>
      <c r="G206" s="56"/>
    </row>
    <row r="207">
      <c r="A207" s="64"/>
      <c r="B207" s="56"/>
      <c r="E207" s="56"/>
      <c r="G207" s="56"/>
    </row>
    <row r="208">
      <c r="A208" s="64"/>
      <c r="B208" s="56"/>
      <c r="E208" s="56"/>
      <c r="G208" s="56"/>
    </row>
    <row r="209">
      <c r="A209" s="64"/>
      <c r="B209" s="56"/>
      <c r="E209" s="56"/>
      <c r="G209" s="56"/>
    </row>
    <row r="210">
      <c r="A210" s="64"/>
      <c r="B210" s="56"/>
      <c r="E210" s="56"/>
      <c r="G210" s="56"/>
    </row>
    <row r="211">
      <c r="A211" s="64"/>
      <c r="B211" s="56"/>
      <c r="E211" s="56"/>
      <c r="G211" s="56"/>
    </row>
    <row r="212">
      <c r="A212" s="64"/>
      <c r="B212" s="56"/>
      <c r="E212" s="56"/>
      <c r="G212" s="56"/>
    </row>
    <row r="213">
      <c r="A213" s="64"/>
      <c r="B213" s="56"/>
      <c r="E213" s="56"/>
      <c r="G213" s="56"/>
    </row>
    <row r="214">
      <c r="A214" s="64"/>
      <c r="B214" s="56"/>
      <c r="E214" s="56"/>
      <c r="G214" s="56"/>
    </row>
    <row r="215">
      <c r="A215" s="64"/>
      <c r="B215" s="56"/>
      <c r="E215" s="56"/>
      <c r="G215" s="56"/>
    </row>
    <row r="216">
      <c r="A216" s="64"/>
      <c r="B216" s="56"/>
      <c r="E216" s="56"/>
      <c r="G216" s="56"/>
    </row>
    <row r="217">
      <c r="A217" s="64"/>
      <c r="B217" s="56"/>
      <c r="E217" s="56"/>
      <c r="G217" s="56"/>
    </row>
    <row r="218">
      <c r="A218" s="64"/>
      <c r="B218" s="56"/>
      <c r="E218" s="56"/>
      <c r="G218" s="56"/>
    </row>
    <row r="219">
      <c r="A219" s="64"/>
      <c r="B219" s="56"/>
      <c r="E219" s="56"/>
      <c r="G219" s="56"/>
    </row>
    <row r="220">
      <c r="A220" s="64"/>
      <c r="B220" s="56"/>
      <c r="E220" s="56"/>
      <c r="G220" s="56"/>
    </row>
    <row r="221">
      <c r="A221" s="64"/>
      <c r="B221" s="56"/>
      <c r="E221" s="56"/>
      <c r="G221" s="56"/>
    </row>
    <row r="222">
      <c r="A222" s="64"/>
      <c r="B222" s="56"/>
      <c r="E222" s="56"/>
      <c r="G222" s="56"/>
    </row>
    <row r="223">
      <c r="A223" s="64"/>
      <c r="B223" s="56"/>
      <c r="E223" s="56"/>
      <c r="G223" s="56"/>
    </row>
    <row r="224">
      <c r="A224" s="64"/>
      <c r="B224" s="56"/>
      <c r="E224" s="56"/>
      <c r="G224" s="56"/>
    </row>
    <row r="225">
      <c r="A225" s="64"/>
      <c r="B225" s="56"/>
      <c r="E225" s="56"/>
      <c r="G225" s="56"/>
    </row>
    <row r="226">
      <c r="A226" s="64"/>
      <c r="B226" s="56"/>
      <c r="E226" s="56"/>
      <c r="G226" s="56"/>
    </row>
    <row r="227">
      <c r="A227" s="64"/>
      <c r="B227" s="56"/>
      <c r="E227" s="56"/>
      <c r="G227" s="56"/>
    </row>
    <row r="228">
      <c r="A228" s="64"/>
      <c r="B228" s="56"/>
      <c r="E228" s="56"/>
      <c r="G228" s="56"/>
    </row>
    <row r="229">
      <c r="A229" s="64"/>
      <c r="B229" s="56"/>
      <c r="E229" s="56"/>
      <c r="G229" s="56"/>
    </row>
    <row r="230">
      <c r="A230" s="64"/>
      <c r="B230" s="56"/>
      <c r="E230" s="56"/>
      <c r="G230" s="56"/>
    </row>
    <row r="231">
      <c r="A231" s="64"/>
      <c r="B231" s="56"/>
      <c r="E231" s="56"/>
      <c r="G231" s="56"/>
    </row>
    <row r="232">
      <c r="A232" s="64"/>
      <c r="B232" s="56"/>
      <c r="E232" s="56"/>
      <c r="G232" s="56"/>
    </row>
    <row r="233">
      <c r="A233" s="64"/>
      <c r="B233" s="56"/>
      <c r="E233" s="56"/>
      <c r="G233" s="56"/>
    </row>
    <row r="234">
      <c r="A234" s="64"/>
      <c r="B234" s="56"/>
      <c r="E234" s="56"/>
      <c r="G234" s="56"/>
    </row>
    <row r="235">
      <c r="A235" s="64"/>
      <c r="B235" s="56"/>
      <c r="E235" s="56"/>
      <c r="G235" s="56"/>
    </row>
    <row r="236">
      <c r="A236" s="64"/>
      <c r="B236" s="56"/>
      <c r="E236" s="56"/>
      <c r="G236" s="56"/>
    </row>
    <row r="237">
      <c r="A237" s="64"/>
      <c r="B237" s="56"/>
      <c r="E237" s="56"/>
      <c r="G237" s="56"/>
    </row>
    <row r="238">
      <c r="A238" s="64"/>
      <c r="B238" s="56"/>
      <c r="E238" s="56"/>
      <c r="G238" s="56"/>
    </row>
    <row r="239">
      <c r="A239" s="64"/>
      <c r="B239" s="56"/>
      <c r="E239" s="56"/>
      <c r="G239" s="56"/>
    </row>
    <row r="240">
      <c r="A240" s="64"/>
      <c r="B240" s="56"/>
      <c r="E240" s="56"/>
      <c r="G240" s="56"/>
    </row>
    <row r="241">
      <c r="A241" s="64"/>
      <c r="B241" s="56"/>
      <c r="E241" s="56"/>
      <c r="G241" s="56"/>
    </row>
    <row r="242">
      <c r="A242" s="64"/>
      <c r="B242" s="56"/>
      <c r="E242" s="56"/>
      <c r="G242" s="56"/>
    </row>
    <row r="243">
      <c r="A243" s="64"/>
      <c r="B243" s="56"/>
      <c r="E243" s="56"/>
      <c r="G243" s="56"/>
    </row>
    <row r="244">
      <c r="A244" s="64"/>
      <c r="B244" s="56"/>
      <c r="E244" s="56"/>
      <c r="G244" s="56"/>
    </row>
    <row r="245">
      <c r="A245" s="64"/>
      <c r="B245" s="56"/>
      <c r="E245" s="56"/>
      <c r="G245" s="56"/>
    </row>
    <row r="246">
      <c r="A246" s="64"/>
      <c r="B246" s="56"/>
      <c r="E246" s="56"/>
      <c r="G246" s="56"/>
    </row>
    <row r="247">
      <c r="A247" s="64"/>
      <c r="B247" s="56"/>
      <c r="E247" s="56"/>
      <c r="G247" s="56"/>
    </row>
    <row r="248">
      <c r="A248" s="64"/>
      <c r="B248" s="56"/>
      <c r="E248" s="56"/>
      <c r="G248" s="56"/>
    </row>
    <row r="249">
      <c r="A249" s="64"/>
      <c r="B249" s="56"/>
      <c r="E249" s="56"/>
      <c r="G249" s="56"/>
    </row>
    <row r="250">
      <c r="A250" s="64"/>
      <c r="B250" s="56"/>
      <c r="E250" s="56"/>
      <c r="G250" s="56"/>
    </row>
    <row r="251">
      <c r="A251" s="64"/>
      <c r="B251" s="56"/>
      <c r="E251" s="56"/>
      <c r="G251" s="56"/>
    </row>
    <row r="252">
      <c r="A252" s="64"/>
      <c r="B252" s="56"/>
      <c r="E252" s="56"/>
      <c r="G252" s="56"/>
    </row>
    <row r="253">
      <c r="A253" s="64"/>
      <c r="B253" s="56"/>
      <c r="E253" s="56"/>
      <c r="G253" s="56"/>
    </row>
    <row r="254">
      <c r="A254" s="64"/>
      <c r="B254" s="56"/>
      <c r="E254" s="56"/>
      <c r="G254" s="56"/>
    </row>
    <row r="255">
      <c r="A255" s="64"/>
      <c r="B255" s="56"/>
      <c r="E255" s="56"/>
      <c r="G255" s="56"/>
    </row>
    <row r="256">
      <c r="A256" s="64"/>
      <c r="B256" s="56"/>
      <c r="E256" s="56"/>
      <c r="G256" s="56"/>
    </row>
    <row r="257">
      <c r="A257" s="64"/>
      <c r="B257" s="56"/>
      <c r="E257" s="56"/>
      <c r="G257" s="56"/>
    </row>
    <row r="258">
      <c r="A258" s="64"/>
      <c r="B258" s="56"/>
      <c r="E258" s="56"/>
      <c r="G258" s="56"/>
    </row>
    <row r="259">
      <c r="A259" s="64"/>
      <c r="B259" s="56"/>
      <c r="E259" s="56"/>
      <c r="G259" s="56"/>
    </row>
    <row r="260">
      <c r="A260" s="64"/>
      <c r="B260" s="56"/>
      <c r="E260" s="56"/>
      <c r="G260" s="56"/>
    </row>
    <row r="261">
      <c r="A261" s="64"/>
      <c r="B261" s="56"/>
      <c r="E261" s="56"/>
      <c r="G261" s="56"/>
    </row>
    <row r="262">
      <c r="A262" s="64"/>
      <c r="B262" s="56"/>
      <c r="E262" s="56"/>
      <c r="G262" s="56"/>
    </row>
    <row r="263">
      <c r="A263" s="64"/>
      <c r="B263" s="56"/>
      <c r="E263" s="56"/>
      <c r="G263" s="56"/>
    </row>
    <row r="264">
      <c r="A264" s="64"/>
      <c r="B264" s="56"/>
      <c r="E264" s="56"/>
      <c r="G264" s="56"/>
    </row>
    <row r="265">
      <c r="A265" s="64"/>
      <c r="B265" s="56"/>
      <c r="E265" s="56"/>
      <c r="G265" s="56"/>
    </row>
    <row r="266">
      <c r="A266" s="64"/>
      <c r="B266" s="56"/>
      <c r="E266" s="56"/>
      <c r="G266" s="56"/>
    </row>
    <row r="267">
      <c r="A267" s="64"/>
      <c r="B267" s="56"/>
      <c r="E267" s="56"/>
      <c r="G267" s="56"/>
    </row>
    <row r="268">
      <c r="A268" s="64"/>
      <c r="B268" s="56"/>
      <c r="E268" s="56"/>
      <c r="G268" s="56"/>
    </row>
    <row r="269">
      <c r="A269" s="64"/>
      <c r="B269" s="56"/>
      <c r="E269" s="56"/>
      <c r="G269" s="56"/>
    </row>
    <row r="270">
      <c r="A270" s="64"/>
      <c r="B270" s="56"/>
      <c r="E270" s="56"/>
      <c r="G270" s="56"/>
    </row>
    <row r="271">
      <c r="A271" s="64"/>
      <c r="B271" s="56"/>
      <c r="E271" s="56"/>
      <c r="G271" s="56"/>
    </row>
    <row r="272">
      <c r="A272" s="64"/>
      <c r="B272" s="56"/>
      <c r="E272" s="56"/>
      <c r="G272" s="56"/>
    </row>
    <row r="273">
      <c r="A273" s="64"/>
      <c r="B273" s="56"/>
      <c r="E273" s="56"/>
      <c r="G273" s="56"/>
    </row>
    <row r="274">
      <c r="A274" s="64"/>
      <c r="B274" s="56"/>
      <c r="E274" s="56"/>
      <c r="G274" s="56"/>
    </row>
    <row r="275">
      <c r="A275" s="64"/>
      <c r="B275" s="56"/>
      <c r="E275" s="56"/>
      <c r="G275" s="56"/>
    </row>
    <row r="276">
      <c r="A276" s="64"/>
      <c r="B276" s="56"/>
      <c r="E276" s="56"/>
      <c r="G276" s="56"/>
    </row>
    <row r="277">
      <c r="A277" s="64"/>
      <c r="B277" s="56"/>
      <c r="E277" s="56"/>
      <c r="G277" s="56"/>
    </row>
    <row r="278">
      <c r="A278" s="64"/>
      <c r="B278" s="56"/>
      <c r="E278" s="56"/>
      <c r="G278" s="56"/>
    </row>
    <row r="279">
      <c r="A279" s="64"/>
      <c r="B279" s="56"/>
      <c r="E279" s="56"/>
      <c r="G279" s="56"/>
    </row>
    <row r="280">
      <c r="A280" s="64"/>
      <c r="B280" s="56"/>
      <c r="E280" s="56"/>
      <c r="G280" s="56"/>
    </row>
    <row r="281">
      <c r="A281" s="64"/>
      <c r="B281" s="56"/>
      <c r="E281" s="56"/>
      <c r="G281" s="56"/>
    </row>
    <row r="282">
      <c r="A282" s="64"/>
      <c r="B282" s="56"/>
      <c r="E282" s="56"/>
      <c r="G282" s="56"/>
    </row>
    <row r="283">
      <c r="A283" s="64"/>
      <c r="B283" s="56"/>
      <c r="E283" s="56"/>
      <c r="G283" s="56"/>
    </row>
    <row r="284">
      <c r="A284" s="64"/>
      <c r="B284" s="56"/>
      <c r="E284" s="56"/>
      <c r="G284" s="56"/>
    </row>
    <row r="285">
      <c r="A285" s="64"/>
      <c r="B285" s="56"/>
      <c r="E285" s="56"/>
      <c r="G285" s="56"/>
    </row>
    <row r="286">
      <c r="A286" s="64"/>
      <c r="B286" s="56"/>
      <c r="E286" s="56"/>
      <c r="G286" s="56"/>
    </row>
    <row r="287">
      <c r="A287" s="64"/>
      <c r="B287" s="56"/>
      <c r="E287" s="56"/>
      <c r="G287" s="56"/>
    </row>
    <row r="288">
      <c r="A288" s="64"/>
      <c r="B288" s="56"/>
      <c r="E288" s="56"/>
      <c r="G288" s="56"/>
    </row>
    <row r="289">
      <c r="A289" s="64"/>
      <c r="B289" s="56"/>
      <c r="E289" s="56"/>
      <c r="G289" s="56"/>
    </row>
    <row r="290">
      <c r="A290" s="64"/>
      <c r="B290" s="56"/>
      <c r="E290" s="56"/>
      <c r="G290" s="56"/>
    </row>
    <row r="291">
      <c r="A291" s="64"/>
      <c r="B291" s="56"/>
      <c r="E291" s="56"/>
      <c r="G291" s="56"/>
    </row>
    <row r="292">
      <c r="A292" s="64"/>
      <c r="B292" s="56"/>
      <c r="E292" s="56"/>
      <c r="G292" s="56"/>
    </row>
    <row r="293">
      <c r="A293" s="64"/>
      <c r="B293" s="56"/>
      <c r="E293" s="56"/>
      <c r="G293" s="56"/>
    </row>
    <row r="294">
      <c r="A294" s="64"/>
      <c r="B294" s="56"/>
      <c r="E294" s="56"/>
      <c r="G294" s="56"/>
    </row>
    <row r="295">
      <c r="A295" s="64"/>
      <c r="B295" s="56"/>
      <c r="E295" s="56"/>
      <c r="G295" s="56"/>
    </row>
    <row r="296">
      <c r="A296" s="64"/>
      <c r="B296" s="56"/>
      <c r="E296" s="56"/>
      <c r="G296" s="56"/>
    </row>
    <row r="297">
      <c r="A297" s="64"/>
      <c r="B297" s="56"/>
      <c r="E297" s="56"/>
      <c r="G297" s="56"/>
    </row>
    <row r="298">
      <c r="A298" s="64"/>
      <c r="B298" s="56"/>
      <c r="E298" s="56"/>
      <c r="G298" s="56"/>
    </row>
    <row r="299">
      <c r="A299" s="64"/>
      <c r="B299" s="56"/>
      <c r="E299" s="56"/>
      <c r="G299" s="56"/>
    </row>
    <row r="300">
      <c r="A300" s="64"/>
      <c r="B300" s="56"/>
      <c r="E300" s="56"/>
      <c r="G300" s="56"/>
    </row>
    <row r="301">
      <c r="A301" s="64"/>
      <c r="B301" s="56"/>
      <c r="E301" s="56"/>
      <c r="G301" s="56"/>
    </row>
    <row r="302">
      <c r="A302" s="64"/>
      <c r="B302" s="56"/>
      <c r="E302" s="56"/>
      <c r="G302" s="56"/>
    </row>
    <row r="303">
      <c r="A303" s="64"/>
      <c r="B303" s="56"/>
      <c r="E303" s="56"/>
      <c r="G303" s="56"/>
    </row>
    <row r="304">
      <c r="A304" s="64"/>
      <c r="B304" s="56"/>
      <c r="E304" s="56"/>
      <c r="G304" s="56"/>
    </row>
    <row r="305">
      <c r="A305" s="64"/>
      <c r="B305" s="56"/>
      <c r="E305" s="56"/>
      <c r="G305" s="56"/>
    </row>
    <row r="306">
      <c r="A306" s="64"/>
      <c r="B306" s="56"/>
      <c r="E306" s="56"/>
      <c r="G306" s="56"/>
    </row>
    <row r="307">
      <c r="A307" s="64"/>
      <c r="B307" s="56"/>
      <c r="E307" s="56"/>
      <c r="G307" s="56"/>
    </row>
    <row r="308">
      <c r="A308" s="64"/>
      <c r="B308" s="56"/>
      <c r="E308" s="56"/>
      <c r="G308" s="56"/>
    </row>
    <row r="309">
      <c r="A309" s="64"/>
      <c r="B309" s="56"/>
      <c r="E309" s="56"/>
      <c r="G309" s="56"/>
    </row>
    <row r="310">
      <c r="A310" s="64"/>
      <c r="B310" s="56"/>
      <c r="E310" s="56"/>
      <c r="G310" s="56"/>
    </row>
    <row r="311">
      <c r="A311" s="64"/>
      <c r="B311" s="56"/>
      <c r="E311" s="56"/>
      <c r="G311" s="56"/>
    </row>
    <row r="312">
      <c r="A312" s="64"/>
      <c r="B312" s="56"/>
      <c r="E312" s="56"/>
      <c r="G312" s="56"/>
    </row>
    <row r="313">
      <c r="A313" s="64"/>
      <c r="B313" s="56"/>
      <c r="E313" s="56"/>
      <c r="G313" s="56"/>
    </row>
    <row r="314">
      <c r="A314" s="64"/>
      <c r="B314" s="56"/>
      <c r="E314" s="56"/>
      <c r="G314" s="56"/>
    </row>
    <row r="315">
      <c r="A315" s="64"/>
      <c r="B315" s="56"/>
      <c r="E315" s="56"/>
      <c r="G315" s="56"/>
    </row>
    <row r="316">
      <c r="A316" s="64"/>
      <c r="B316" s="56"/>
      <c r="E316" s="56"/>
      <c r="G316" s="56"/>
    </row>
    <row r="317">
      <c r="A317" s="64"/>
      <c r="B317" s="56"/>
      <c r="E317" s="56"/>
      <c r="G317" s="56"/>
    </row>
    <row r="318">
      <c r="A318" s="64"/>
      <c r="B318" s="56"/>
      <c r="E318" s="56"/>
      <c r="G318" s="56"/>
    </row>
    <row r="319">
      <c r="A319" s="64"/>
      <c r="B319" s="56"/>
      <c r="E319" s="56"/>
      <c r="G319" s="56"/>
    </row>
    <row r="320">
      <c r="A320" s="64"/>
      <c r="B320" s="56"/>
      <c r="E320" s="56"/>
      <c r="G320" s="56"/>
    </row>
    <row r="321">
      <c r="A321" s="64"/>
      <c r="B321" s="56"/>
      <c r="E321" s="56"/>
      <c r="G321" s="56"/>
    </row>
    <row r="322">
      <c r="A322" s="64"/>
      <c r="B322" s="56"/>
      <c r="E322" s="56"/>
      <c r="G322" s="56"/>
    </row>
    <row r="323">
      <c r="A323" s="64"/>
      <c r="B323" s="56"/>
      <c r="E323" s="56"/>
      <c r="G323" s="56"/>
    </row>
    <row r="324">
      <c r="A324" s="64"/>
      <c r="B324" s="56"/>
      <c r="E324" s="56"/>
      <c r="G324" s="56"/>
    </row>
    <row r="325">
      <c r="A325" s="64"/>
      <c r="B325" s="56"/>
      <c r="E325" s="56"/>
      <c r="G325" s="56"/>
    </row>
    <row r="326">
      <c r="A326" s="64"/>
      <c r="B326" s="56"/>
      <c r="E326" s="56"/>
      <c r="G326" s="56"/>
    </row>
    <row r="327">
      <c r="A327" s="64"/>
      <c r="B327" s="56"/>
      <c r="E327" s="56"/>
      <c r="G327" s="56"/>
    </row>
    <row r="328">
      <c r="A328" s="64"/>
      <c r="B328" s="56"/>
      <c r="E328" s="56"/>
      <c r="G328" s="56"/>
    </row>
    <row r="329">
      <c r="A329" s="64"/>
      <c r="B329" s="56"/>
      <c r="E329" s="56"/>
      <c r="G329" s="56"/>
    </row>
    <row r="330">
      <c r="A330" s="64"/>
      <c r="B330" s="56"/>
      <c r="E330" s="56"/>
      <c r="G330" s="56"/>
    </row>
    <row r="331">
      <c r="A331" s="64"/>
      <c r="B331" s="56"/>
      <c r="E331" s="56"/>
      <c r="G331" s="56"/>
    </row>
    <row r="332">
      <c r="A332" s="64"/>
      <c r="B332" s="56"/>
      <c r="E332" s="56"/>
      <c r="G332" s="56"/>
    </row>
    <row r="333">
      <c r="A333" s="64"/>
      <c r="B333" s="56"/>
      <c r="E333" s="56"/>
      <c r="G333" s="56"/>
    </row>
    <row r="334">
      <c r="A334" s="64"/>
      <c r="B334" s="56"/>
      <c r="E334" s="56"/>
      <c r="G334" s="56"/>
    </row>
    <row r="335">
      <c r="A335" s="64"/>
      <c r="B335" s="56"/>
      <c r="E335" s="56"/>
      <c r="G335" s="56"/>
    </row>
    <row r="336">
      <c r="A336" s="64"/>
      <c r="B336" s="56"/>
      <c r="E336" s="56"/>
      <c r="G336" s="56"/>
    </row>
    <row r="337">
      <c r="A337" s="64"/>
      <c r="B337" s="56"/>
      <c r="E337" s="56"/>
      <c r="G337" s="56"/>
    </row>
    <row r="338">
      <c r="A338" s="64"/>
      <c r="B338" s="56"/>
      <c r="E338" s="56"/>
      <c r="G338" s="56"/>
    </row>
    <row r="339">
      <c r="A339" s="64"/>
      <c r="B339" s="56"/>
      <c r="E339" s="56"/>
      <c r="G339" s="56"/>
    </row>
    <row r="340">
      <c r="A340" s="64"/>
      <c r="B340" s="56"/>
      <c r="E340" s="56"/>
      <c r="G340" s="56"/>
    </row>
    <row r="341">
      <c r="A341" s="64"/>
      <c r="B341" s="56"/>
      <c r="E341" s="56"/>
      <c r="G341" s="56"/>
    </row>
    <row r="342">
      <c r="A342" s="64"/>
      <c r="B342" s="56"/>
      <c r="E342" s="56"/>
      <c r="G342" s="56"/>
    </row>
    <row r="343">
      <c r="A343" s="64"/>
      <c r="B343" s="56"/>
      <c r="E343" s="56"/>
      <c r="G343" s="56"/>
    </row>
    <row r="344">
      <c r="A344" s="64"/>
      <c r="B344" s="56"/>
      <c r="E344" s="56"/>
      <c r="G344" s="56"/>
    </row>
    <row r="345">
      <c r="A345" s="64"/>
      <c r="B345" s="56"/>
      <c r="E345" s="56"/>
      <c r="G345" s="56"/>
    </row>
    <row r="346">
      <c r="A346" s="64"/>
      <c r="B346" s="56"/>
      <c r="E346" s="56"/>
      <c r="G346" s="56"/>
    </row>
    <row r="347">
      <c r="A347" s="64"/>
      <c r="B347" s="56"/>
      <c r="E347" s="56"/>
      <c r="G347" s="56"/>
    </row>
    <row r="348">
      <c r="A348" s="64"/>
      <c r="B348" s="56"/>
      <c r="E348" s="56"/>
      <c r="G348" s="56"/>
    </row>
    <row r="349">
      <c r="A349" s="64"/>
      <c r="B349" s="56"/>
      <c r="E349" s="56"/>
      <c r="G349" s="56"/>
    </row>
    <row r="350">
      <c r="A350" s="64"/>
      <c r="B350" s="56"/>
      <c r="E350" s="56"/>
      <c r="G350" s="56"/>
    </row>
    <row r="351">
      <c r="A351" s="64"/>
      <c r="B351" s="56"/>
      <c r="E351" s="56"/>
      <c r="G351" s="56"/>
    </row>
    <row r="352">
      <c r="A352" s="64"/>
      <c r="B352" s="56"/>
      <c r="E352" s="56"/>
      <c r="G352" s="56"/>
    </row>
    <row r="353">
      <c r="A353" s="64"/>
      <c r="B353" s="56"/>
      <c r="E353" s="56"/>
      <c r="G353" s="56"/>
    </row>
    <row r="354">
      <c r="A354" s="64"/>
      <c r="B354" s="56"/>
      <c r="E354" s="56"/>
      <c r="G354" s="56"/>
    </row>
    <row r="355">
      <c r="A355" s="64"/>
      <c r="B355" s="56"/>
      <c r="E355" s="56"/>
      <c r="G355" s="56"/>
    </row>
    <row r="356">
      <c r="A356" s="64"/>
      <c r="B356" s="56"/>
      <c r="E356" s="56"/>
      <c r="G356" s="56"/>
    </row>
    <row r="357">
      <c r="A357" s="64"/>
      <c r="B357" s="56"/>
      <c r="E357" s="56"/>
      <c r="G357" s="56"/>
    </row>
    <row r="358">
      <c r="A358" s="64"/>
      <c r="B358" s="56"/>
      <c r="E358" s="56"/>
      <c r="G358" s="56"/>
    </row>
    <row r="359">
      <c r="A359" s="64"/>
      <c r="B359" s="56"/>
      <c r="E359" s="56"/>
      <c r="G359" s="56"/>
    </row>
    <row r="360">
      <c r="A360" s="64"/>
      <c r="B360" s="56"/>
      <c r="E360" s="56"/>
      <c r="G360" s="56"/>
    </row>
    <row r="361">
      <c r="A361" s="64"/>
      <c r="B361" s="56"/>
      <c r="E361" s="56"/>
      <c r="G361" s="56"/>
    </row>
    <row r="362">
      <c r="A362" s="64"/>
      <c r="B362" s="56"/>
      <c r="E362" s="56"/>
      <c r="G362" s="56"/>
    </row>
    <row r="363">
      <c r="A363" s="64"/>
      <c r="B363" s="56"/>
      <c r="E363" s="56"/>
      <c r="G363" s="56"/>
    </row>
    <row r="364">
      <c r="A364" s="64"/>
      <c r="B364" s="56"/>
      <c r="E364" s="56"/>
      <c r="G364" s="56"/>
    </row>
    <row r="365">
      <c r="A365" s="64"/>
      <c r="B365" s="56"/>
      <c r="E365" s="56"/>
      <c r="G365" s="56"/>
    </row>
    <row r="366">
      <c r="A366" s="64"/>
      <c r="B366" s="56"/>
      <c r="E366" s="56"/>
      <c r="G366" s="56"/>
    </row>
    <row r="367">
      <c r="A367" s="64"/>
      <c r="B367" s="56"/>
      <c r="E367" s="56"/>
      <c r="G367" s="56"/>
    </row>
    <row r="368">
      <c r="A368" s="64"/>
      <c r="B368" s="56"/>
      <c r="E368" s="56"/>
      <c r="G368" s="56"/>
    </row>
    <row r="369">
      <c r="A369" s="64"/>
      <c r="B369" s="56"/>
      <c r="E369" s="56"/>
      <c r="G369" s="56"/>
    </row>
    <row r="370">
      <c r="A370" s="64"/>
      <c r="B370" s="56"/>
      <c r="E370" s="56"/>
      <c r="G370" s="56"/>
    </row>
    <row r="371">
      <c r="A371" s="64"/>
      <c r="B371" s="56"/>
      <c r="E371" s="56"/>
      <c r="G371" s="56"/>
    </row>
    <row r="372">
      <c r="A372" s="64"/>
      <c r="B372" s="56"/>
      <c r="E372" s="56"/>
      <c r="G372" s="56"/>
    </row>
    <row r="373">
      <c r="A373" s="64"/>
      <c r="B373" s="56"/>
      <c r="E373" s="56"/>
      <c r="G373" s="56"/>
    </row>
    <row r="374">
      <c r="A374" s="64"/>
      <c r="B374" s="56"/>
      <c r="E374" s="56"/>
      <c r="G374" s="56"/>
    </row>
    <row r="375">
      <c r="A375" s="64"/>
      <c r="B375" s="56"/>
      <c r="E375" s="56"/>
      <c r="G375" s="56"/>
    </row>
    <row r="376">
      <c r="A376" s="64"/>
      <c r="B376" s="56"/>
      <c r="E376" s="56"/>
      <c r="G376" s="56"/>
    </row>
    <row r="377">
      <c r="A377" s="64"/>
      <c r="B377" s="56"/>
      <c r="E377" s="56"/>
      <c r="G377" s="56"/>
    </row>
    <row r="378">
      <c r="A378" s="64"/>
      <c r="B378" s="56"/>
      <c r="E378" s="56"/>
      <c r="G378" s="56"/>
    </row>
    <row r="379">
      <c r="A379" s="64"/>
      <c r="B379" s="56"/>
      <c r="E379" s="56"/>
      <c r="G379" s="56"/>
    </row>
    <row r="380">
      <c r="A380" s="64"/>
      <c r="B380" s="56"/>
      <c r="E380" s="56"/>
      <c r="G380" s="56"/>
    </row>
    <row r="381">
      <c r="A381" s="64"/>
      <c r="B381" s="56"/>
      <c r="E381" s="56"/>
      <c r="G381" s="56"/>
    </row>
    <row r="382">
      <c r="A382" s="64"/>
      <c r="B382" s="56"/>
      <c r="E382" s="56"/>
      <c r="G382" s="56"/>
    </row>
    <row r="383">
      <c r="A383" s="64"/>
      <c r="B383" s="56"/>
      <c r="E383" s="56"/>
      <c r="G383" s="56"/>
    </row>
    <row r="384">
      <c r="A384" s="64"/>
      <c r="B384" s="56"/>
      <c r="E384" s="56"/>
      <c r="G384" s="56"/>
    </row>
    <row r="385">
      <c r="A385" s="64"/>
      <c r="B385" s="56"/>
      <c r="E385" s="56"/>
      <c r="G385" s="56"/>
    </row>
    <row r="386">
      <c r="A386" s="64"/>
      <c r="B386" s="56"/>
      <c r="E386" s="56"/>
      <c r="G386" s="56"/>
    </row>
    <row r="387">
      <c r="A387" s="64"/>
      <c r="B387" s="56"/>
      <c r="E387" s="56"/>
      <c r="G387" s="56"/>
    </row>
    <row r="388">
      <c r="A388" s="64"/>
      <c r="B388" s="56"/>
      <c r="E388" s="56"/>
      <c r="G388" s="56"/>
    </row>
    <row r="389">
      <c r="A389" s="64"/>
      <c r="B389" s="56"/>
      <c r="E389" s="56"/>
      <c r="G389" s="56"/>
    </row>
    <row r="390">
      <c r="A390" s="64"/>
      <c r="B390" s="56"/>
      <c r="E390" s="56"/>
      <c r="G390" s="56"/>
    </row>
    <row r="391">
      <c r="A391" s="64"/>
      <c r="B391" s="56"/>
      <c r="E391" s="56"/>
      <c r="G391" s="56"/>
    </row>
    <row r="392">
      <c r="A392" s="64"/>
      <c r="B392" s="56"/>
      <c r="E392" s="56"/>
      <c r="G392" s="56"/>
    </row>
    <row r="393">
      <c r="A393" s="64"/>
      <c r="B393" s="56"/>
      <c r="E393" s="56"/>
      <c r="G393" s="56"/>
    </row>
    <row r="394">
      <c r="A394" s="64"/>
      <c r="B394" s="56"/>
      <c r="E394" s="56"/>
      <c r="G394" s="56"/>
    </row>
    <row r="395">
      <c r="A395" s="64"/>
      <c r="B395" s="56"/>
      <c r="E395" s="56"/>
      <c r="G395" s="56"/>
    </row>
    <row r="396">
      <c r="A396" s="64"/>
      <c r="B396" s="56"/>
      <c r="E396" s="56"/>
      <c r="G396" s="56"/>
    </row>
    <row r="397">
      <c r="A397" s="64"/>
      <c r="B397" s="56"/>
      <c r="E397" s="56"/>
      <c r="G397" s="56"/>
    </row>
    <row r="398">
      <c r="A398" s="64"/>
      <c r="B398" s="56"/>
      <c r="E398" s="56"/>
      <c r="G398" s="56"/>
    </row>
    <row r="399">
      <c r="A399" s="64"/>
      <c r="B399" s="56"/>
      <c r="E399" s="56"/>
      <c r="G399" s="56"/>
    </row>
    <row r="400">
      <c r="A400" s="64"/>
      <c r="B400" s="56"/>
      <c r="E400" s="56"/>
      <c r="G400" s="56"/>
    </row>
    <row r="401">
      <c r="A401" s="64"/>
      <c r="B401" s="56"/>
      <c r="E401" s="56"/>
      <c r="G401" s="56"/>
    </row>
    <row r="402">
      <c r="A402" s="64"/>
      <c r="B402" s="56"/>
      <c r="E402" s="56"/>
      <c r="G402" s="56"/>
    </row>
    <row r="403">
      <c r="A403" s="64"/>
      <c r="B403" s="56"/>
      <c r="E403" s="56"/>
      <c r="G403" s="56"/>
    </row>
    <row r="404">
      <c r="A404" s="64"/>
      <c r="B404" s="56"/>
      <c r="E404" s="56"/>
      <c r="G404" s="56"/>
    </row>
    <row r="405">
      <c r="A405" s="64"/>
      <c r="B405" s="56"/>
      <c r="E405" s="56"/>
      <c r="G405" s="56"/>
    </row>
    <row r="406">
      <c r="A406" s="64"/>
      <c r="B406" s="56"/>
      <c r="E406" s="56"/>
      <c r="G406" s="56"/>
    </row>
    <row r="407">
      <c r="A407" s="64"/>
      <c r="B407" s="56"/>
      <c r="E407" s="56"/>
      <c r="G407" s="56"/>
    </row>
    <row r="408">
      <c r="A408" s="64"/>
      <c r="B408" s="56"/>
      <c r="E408" s="56"/>
      <c r="G408" s="56"/>
    </row>
    <row r="409">
      <c r="A409" s="64"/>
      <c r="B409" s="56"/>
      <c r="E409" s="56"/>
      <c r="G409" s="56"/>
    </row>
    <row r="410">
      <c r="A410" s="64"/>
      <c r="B410" s="56"/>
      <c r="E410" s="56"/>
      <c r="G410" s="56"/>
    </row>
    <row r="411">
      <c r="A411" s="64"/>
      <c r="B411" s="56"/>
      <c r="E411" s="56"/>
      <c r="G411" s="56"/>
    </row>
    <row r="412">
      <c r="A412" s="64"/>
      <c r="B412" s="56"/>
      <c r="E412" s="56"/>
      <c r="G412" s="56"/>
    </row>
    <row r="413">
      <c r="A413" s="64"/>
      <c r="B413" s="56"/>
      <c r="E413" s="56"/>
      <c r="G413" s="56"/>
    </row>
    <row r="414">
      <c r="A414" s="64"/>
      <c r="B414" s="56"/>
      <c r="E414" s="56"/>
      <c r="G414" s="56"/>
    </row>
    <row r="415">
      <c r="A415" s="64"/>
      <c r="B415" s="56"/>
      <c r="E415" s="56"/>
      <c r="G415" s="56"/>
    </row>
    <row r="416">
      <c r="A416" s="64"/>
      <c r="B416" s="56"/>
      <c r="E416" s="56"/>
      <c r="G416" s="56"/>
    </row>
    <row r="417">
      <c r="A417" s="64"/>
      <c r="B417" s="56"/>
      <c r="E417" s="56"/>
      <c r="G417" s="56"/>
    </row>
    <row r="418">
      <c r="A418" s="64"/>
      <c r="B418" s="56"/>
      <c r="E418" s="56"/>
      <c r="G418" s="56"/>
    </row>
    <row r="419">
      <c r="A419" s="64"/>
      <c r="B419" s="56"/>
      <c r="E419" s="56"/>
      <c r="G419" s="56"/>
    </row>
    <row r="420">
      <c r="A420" s="64"/>
      <c r="B420" s="56"/>
      <c r="E420" s="56"/>
      <c r="G420" s="56"/>
    </row>
    <row r="421">
      <c r="A421" s="64"/>
      <c r="B421" s="56"/>
      <c r="E421" s="56"/>
      <c r="G421" s="56"/>
    </row>
    <row r="422">
      <c r="A422" s="64"/>
      <c r="B422" s="56"/>
      <c r="E422" s="56"/>
      <c r="G422" s="56"/>
    </row>
    <row r="423">
      <c r="A423" s="64"/>
      <c r="B423" s="56"/>
      <c r="E423" s="56"/>
      <c r="G423" s="56"/>
    </row>
    <row r="424">
      <c r="A424" s="64"/>
      <c r="B424" s="56"/>
      <c r="E424" s="56"/>
      <c r="G424" s="56"/>
    </row>
    <row r="425">
      <c r="A425" s="64"/>
      <c r="B425" s="56"/>
      <c r="E425" s="56"/>
      <c r="G425" s="56"/>
    </row>
    <row r="426">
      <c r="A426" s="64"/>
      <c r="B426" s="56"/>
      <c r="E426" s="56"/>
      <c r="G426" s="56"/>
    </row>
    <row r="427">
      <c r="A427" s="64"/>
      <c r="B427" s="56"/>
      <c r="E427" s="56"/>
      <c r="G427" s="56"/>
    </row>
    <row r="428">
      <c r="A428" s="64"/>
      <c r="B428" s="56"/>
      <c r="E428" s="56"/>
      <c r="G428" s="56"/>
    </row>
    <row r="429">
      <c r="A429" s="64"/>
      <c r="B429" s="56"/>
      <c r="E429" s="56"/>
      <c r="G429" s="56"/>
    </row>
    <row r="430">
      <c r="A430" s="64"/>
      <c r="B430" s="56"/>
      <c r="E430" s="56"/>
      <c r="G430" s="56"/>
    </row>
    <row r="431">
      <c r="A431" s="64"/>
      <c r="B431" s="56"/>
      <c r="E431" s="56"/>
      <c r="G431" s="56"/>
    </row>
    <row r="432">
      <c r="A432" s="64"/>
      <c r="B432" s="56"/>
      <c r="E432" s="56"/>
      <c r="G432" s="56"/>
    </row>
    <row r="433">
      <c r="A433" s="64"/>
      <c r="B433" s="56"/>
      <c r="E433" s="56"/>
      <c r="G433" s="56"/>
    </row>
    <row r="434">
      <c r="A434" s="64"/>
      <c r="B434" s="56"/>
      <c r="E434" s="56"/>
      <c r="G434" s="56"/>
    </row>
    <row r="435">
      <c r="A435" s="64"/>
      <c r="B435" s="56"/>
      <c r="E435" s="56"/>
      <c r="G435" s="56"/>
    </row>
    <row r="436">
      <c r="A436" s="64"/>
      <c r="B436" s="56"/>
      <c r="E436" s="56"/>
      <c r="G436" s="56"/>
    </row>
    <row r="437">
      <c r="A437" s="64"/>
      <c r="B437" s="56"/>
      <c r="E437" s="56"/>
      <c r="G437" s="56"/>
    </row>
    <row r="438">
      <c r="A438" s="64"/>
      <c r="B438" s="56"/>
      <c r="E438" s="56"/>
      <c r="G438" s="56"/>
    </row>
    <row r="439">
      <c r="A439" s="64"/>
      <c r="B439" s="56"/>
      <c r="E439" s="56"/>
      <c r="G439" s="56"/>
    </row>
    <row r="440">
      <c r="A440" s="64"/>
      <c r="B440" s="56"/>
      <c r="E440" s="56"/>
      <c r="G440" s="56"/>
    </row>
    <row r="441">
      <c r="A441" s="64"/>
      <c r="B441" s="56"/>
      <c r="E441" s="56"/>
      <c r="G441" s="56"/>
    </row>
    <row r="442">
      <c r="A442" s="64"/>
      <c r="B442" s="56"/>
      <c r="E442" s="56"/>
      <c r="G442" s="56"/>
    </row>
    <row r="443">
      <c r="A443" s="64"/>
      <c r="B443" s="56"/>
      <c r="E443" s="56"/>
      <c r="G443" s="56"/>
    </row>
    <row r="444">
      <c r="A444" s="64"/>
      <c r="B444" s="56"/>
      <c r="E444" s="56"/>
      <c r="G444" s="56"/>
    </row>
    <row r="445">
      <c r="A445" s="64"/>
      <c r="B445" s="56"/>
      <c r="E445" s="56"/>
      <c r="G445" s="56"/>
    </row>
    <row r="446">
      <c r="A446" s="64"/>
      <c r="B446" s="56"/>
      <c r="E446" s="56"/>
      <c r="G446" s="56"/>
    </row>
    <row r="447">
      <c r="A447" s="64"/>
      <c r="B447" s="56"/>
      <c r="E447" s="56"/>
      <c r="G447" s="56"/>
    </row>
    <row r="448">
      <c r="A448" s="64"/>
      <c r="B448" s="56"/>
      <c r="E448" s="56"/>
      <c r="G448" s="56"/>
    </row>
    <row r="449">
      <c r="A449" s="64"/>
      <c r="B449" s="56"/>
      <c r="E449" s="56"/>
      <c r="G449" s="56"/>
    </row>
    <row r="450">
      <c r="A450" s="64"/>
      <c r="B450" s="56"/>
      <c r="E450" s="56"/>
      <c r="G450" s="56"/>
    </row>
    <row r="451">
      <c r="A451" s="64"/>
      <c r="B451" s="56"/>
      <c r="E451" s="56"/>
      <c r="G451" s="56"/>
    </row>
    <row r="452">
      <c r="A452" s="64"/>
      <c r="B452" s="56"/>
      <c r="E452" s="56"/>
      <c r="G452" s="56"/>
    </row>
    <row r="453">
      <c r="A453" s="64"/>
      <c r="B453" s="56"/>
      <c r="E453" s="56"/>
      <c r="G453" s="56"/>
    </row>
    <row r="454">
      <c r="A454" s="64"/>
      <c r="B454" s="56"/>
      <c r="E454" s="56"/>
      <c r="G454" s="56"/>
    </row>
    <row r="455">
      <c r="A455" s="64"/>
      <c r="B455" s="56"/>
      <c r="E455" s="56"/>
      <c r="G455" s="56"/>
    </row>
    <row r="456">
      <c r="A456" s="64"/>
      <c r="B456" s="56"/>
      <c r="E456" s="56"/>
      <c r="G456" s="56"/>
    </row>
    <row r="457">
      <c r="A457" s="64"/>
      <c r="B457" s="56"/>
      <c r="E457" s="56"/>
      <c r="G457" s="56"/>
    </row>
    <row r="458">
      <c r="A458" s="64"/>
      <c r="B458" s="56"/>
      <c r="E458" s="56"/>
      <c r="G458" s="56"/>
    </row>
    <row r="459">
      <c r="A459" s="64"/>
      <c r="B459" s="56"/>
      <c r="E459" s="56"/>
      <c r="G459" s="56"/>
    </row>
    <row r="460">
      <c r="A460" s="64"/>
      <c r="B460" s="56"/>
      <c r="E460" s="56"/>
      <c r="G460" s="56"/>
    </row>
    <row r="461">
      <c r="A461" s="64"/>
      <c r="B461" s="56"/>
      <c r="E461" s="56"/>
      <c r="G461" s="56"/>
    </row>
    <row r="462">
      <c r="A462" s="64"/>
      <c r="B462" s="56"/>
      <c r="E462" s="56"/>
      <c r="G462" s="56"/>
    </row>
    <row r="463">
      <c r="A463" s="64"/>
      <c r="B463" s="56"/>
      <c r="E463" s="56"/>
      <c r="G463" s="56"/>
    </row>
    <row r="464">
      <c r="A464" s="64"/>
      <c r="B464" s="56"/>
      <c r="E464" s="56"/>
      <c r="G464" s="56"/>
    </row>
    <row r="465">
      <c r="A465" s="64"/>
      <c r="B465" s="56"/>
      <c r="E465" s="56"/>
      <c r="G465" s="56"/>
    </row>
    <row r="466">
      <c r="A466" s="64"/>
      <c r="B466" s="56"/>
      <c r="E466" s="56"/>
      <c r="G466" s="56"/>
    </row>
    <row r="467">
      <c r="A467" s="64"/>
      <c r="B467" s="56"/>
      <c r="E467" s="56"/>
      <c r="G467" s="56"/>
    </row>
    <row r="468">
      <c r="A468" s="64"/>
      <c r="B468" s="56"/>
      <c r="E468" s="56"/>
      <c r="G468" s="56"/>
    </row>
    <row r="469">
      <c r="A469" s="64"/>
      <c r="B469" s="56"/>
      <c r="E469" s="56"/>
      <c r="G469" s="56"/>
    </row>
    <row r="470">
      <c r="A470" s="64"/>
      <c r="B470" s="56"/>
      <c r="E470" s="56"/>
      <c r="G470" s="56"/>
    </row>
    <row r="471">
      <c r="A471" s="64"/>
      <c r="B471" s="56"/>
      <c r="E471" s="56"/>
      <c r="G471" s="56"/>
    </row>
    <row r="472">
      <c r="A472" s="64"/>
      <c r="B472" s="56"/>
      <c r="E472" s="56"/>
      <c r="G472" s="56"/>
    </row>
    <row r="473">
      <c r="A473" s="64"/>
      <c r="B473" s="56"/>
      <c r="E473" s="56"/>
      <c r="G473" s="56"/>
    </row>
    <row r="474">
      <c r="A474" s="64"/>
      <c r="B474" s="56"/>
      <c r="E474" s="56"/>
      <c r="G474" s="56"/>
    </row>
    <row r="475">
      <c r="A475" s="64"/>
      <c r="B475" s="56"/>
      <c r="E475" s="56"/>
      <c r="G475" s="56"/>
    </row>
    <row r="476">
      <c r="A476" s="64"/>
      <c r="B476" s="56"/>
      <c r="E476" s="56"/>
      <c r="G476" s="56"/>
    </row>
    <row r="477">
      <c r="A477" s="64"/>
      <c r="B477" s="56"/>
      <c r="E477" s="56"/>
      <c r="G477" s="56"/>
    </row>
    <row r="478">
      <c r="A478" s="64"/>
      <c r="B478" s="56"/>
      <c r="E478" s="56"/>
      <c r="G478" s="56"/>
    </row>
    <row r="479">
      <c r="A479" s="64"/>
      <c r="B479" s="56"/>
      <c r="E479" s="56"/>
      <c r="G479" s="56"/>
    </row>
    <row r="480">
      <c r="A480" s="64"/>
      <c r="B480" s="56"/>
      <c r="E480" s="56"/>
      <c r="G480" s="56"/>
    </row>
    <row r="481">
      <c r="A481" s="64"/>
      <c r="B481" s="56"/>
      <c r="E481" s="56"/>
      <c r="G481" s="56"/>
    </row>
    <row r="482">
      <c r="A482" s="64"/>
      <c r="B482" s="56"/>
      <c r="E482" s="56"/>
      <c r="G482" s="56"/>
    </row>
    <row r="483">
      <c r="A483" s="64"/>
      <c r="B483" s="56"/>
      <c r="E483" s="56"/>
      <c r="G483" s="56"/>
    </row>
    <row r="484">
      <c r="A484" s="64"/>
      <c r="B484" s="56"/>
      <c r="E484" s="56"/>
      <c r="G484" s="56"/>
    </row>
    <row r="485">
      <c r="A485" s="64"/>
      <c r="B485" s="56"/>
      <c r="E485" s="56"/>
      <c r="G485" s="56"/>
    </row>
    <row r="486">
      <c r="A486" s="64"/>
      <c r="B486" s="56"/>
      <c r="E486" s="56"/>
      <c r="G486" s="56"/>
    </row>
    <row r="487">
      <c r="A487" s="64"/>
      <c r="B487" s="56"/>
      <c r="E487" s="56"/>
      <c r="G487" s="56"/>
    </row>
    <row r="488">
      <c r="A488" s="64"/>
      <c r="B488" s="56"/>
      <c r="E488" s="56"/>
      <c r="G488" s="56"/>
    </row>
    <row r="489">
      <c r="A489" s="64"/>
      <c r="B489" s="56"/>
      <c r="E489" s="56"/>
      <c r="G489" s="56"/>
    </row>
    <row r="490">
      <c r="A490" s="64"/>
      <c r="B490" s="56"/>
      <c r="E490" s="56"/>
      <c r="G490" s="56"/>
    </row>
    <row r="491">
      <c r="A491" s="64"/>
      <c r="B491" s="56"/>
      <c r="E491" s="56"/>
      <c r="G491" s="56"/>
    </row>
    <row r="492">
      <c r="A492" s="64"/>
      <c r="B492" s="56"/>
      <c r="E492" s="56"/>
      <c r="G492" s="56"/>
    </row>
    <row r="493">
      <c r="A493" s="64"/>
      <c r="B493" s="56"/>
      <c r="E493" s="56"/>
      <c r="G493" s="56"/>
    </row>
    <row r="494">
      <c r="A494" s="64"/>
      <c r="B494" s="56"/>
      <c r="E494" s="56"/>
      <c r="G494" s="56"/>
    </row>
    <row r="495">
      <c r="A495" s="64"/>
      <c r="B495" s="56"/>
      <c r="E495" s="56"/>
      <c r="G495" s="56"/>
    </row>
    <row r="496">
      <c r="A496" s="64"/>
      <c r="B496" s="56"/>
      <c r="E496" s="56"/>
      <c r="G496" s="56"/>
    </row>
    <row r="497">
      <c r="A497" s="64"/>
      <c r="B497" s="56"/>
      <c r="E497" s="56"/>
      <c r="G497" s="56"/>
    </row>
    <row r="498">
      <c r="A498" s="64"/>
      <c r="B498" s="56"/>
      <c r="E498" s="56"/>
      <c r="G498" s="56"/>
    </row>
    <row r="499">
      <c r="A499" s="64"/>
      <c r="B499" s="56"/>
      <c r="E499" s="56"/>
      <c r="G499" s="56"/>
    </row>
    <row r="500">
      <c r="A500" s="64"/>
      <c r="B500" s="56"/>
      <c r="E500" s="56"/>
      <c r="G500" s="56"/>
    </row>
    <row r="501">
      <c r="A501" s="64"/>
      <c r="B501" s="56"/>
      <c r="E501" s="56"/>
      <c r="G501" s="56"/>
    </row>
    <row r="502">
      <c r="A502" s="64"/>
      <c r="B502" s="56"/>
      <c r="E502" s="56"/>
      <c r="G502" s="56"/>
    </row>
    <row r="503">
      <c r="A503" s="64"/>
      <c r="B503" s="56"/>
      <c r="E503" s="56"/>
      <c r="G503" s="56"/>
    </row>
    <row r="504">
      <c r="A504" s="64"/>
      <c r="B504" s="56"/>
      <c r="E504" s="56"/>
      <c r="G504" s="56"/>
    </row>
    <row r="505">
      <c r="A505" s="64"/>
      <c r="B505" s="56"/>
      <c r="E505" s="56"/>
      <c r="G505" s="56"/>
    </row>
    <row r="506">
      <c r="A506" s="64"/>
      <c r="B506" s="56"/>
      <c r="E506" s="56"/>
      <c r="G506" s="56"/>
    </row>
    <row r="507">
      <c r="A507" s="64"/>
      <c r="B507" s="56"/>
      <c r="E507" s="56"/>
      <c r="G507" s="56"/>
    </row>
    <row r="508">
      <c r="A508" s="64"/>
      <c r="B508" s="56"/>
      <c r="E508" s="56"/>
      <c r="G508" s="56"/>
    </row>
    <row r="509">
      <c r="A509" s="64"/>
      <c r="B509" s="56"/>
      <c r="E509" s="56"/>
      <c r="G509" s="56"/>
    </row>
    <row r="510">
      <c r="A510" s="64"/>
      <c r="B510" s="56"/>
      <c r="E510" s="56"/>
      <c r="G510" s="56"/>
    </row>
    <row r="511">
      <c r="A511" s="64"/>
      <c r="B511" s="56"/>
      <c r="E511" s="56"/>
      <c r="G511" s="56"/>
    </row>
    <row r="512">
      <c r="A512" s="64"/>
      <c r="B512" s="56"/>
      <c r="E512" s="56"/>
      <c r="G512" s="56"/>
    </row>
    <row r="513">
      <c r="A513" s="64"/>
      <c r="B513" s="56"/>
      <c r="E513" s="56"/>
      <c r="G513" s="56"/>
    </row>
    <row r="514">
      <c r="A514" s="64"/>
      <c r="B514" s="56"/>
      <c r="E514" s="56"/>
      <c r="G514" s="56"/>
    </row>
    <row r="515">
      <c r="A515" s="64"/>
      <c r="B515" s="56"/>
      <c r="E515" s="56"/>
      <c r="G515" s="56"/>
    </row>
    <row r="516">
      <c r="A516" s="64"/>
      <c r="B516" s="56"/>
      <c r="E516" s="56"/>
      <c r="G516" s="56"/>
    </row>
    <row r="517">
      <c r="A517" s="64"/>
      <c r="B517" s="56"/>
      <c r="E517" s="56"/>
      <c r="G517" s="56"/>
    </row>
    <row r="518">
      <c r="A518" s="64"/>
      <c r="B518" s="56"/>
      <c r="E518" s="56"/>
      <c r="G518" s="56"/>
    </row>
    <row r="519">
      <c r="A519" s="64"/>
      <c r="B519" s="56"/>
      <c r="E519" s="56"/>
      <c r="G519" s="56"/>
    </row>
    <row r="520">
      <c r="A520" s="64"/>
      <c r="B520" s="56"/>
      <c r="E520" s="56"/>
      <c r="G520" s="56"/>
    </row>
    <row r="521">
      <c r="A521" s="64"/>
      <c r="B521" s="56"/>
      <c r="E521" s="56"/>
      <c r="G521" s="56"/>
    </row>
    <row r="522">
      <c r="A522" s="64"/>
      <c r="B522" s="56"/>
      <c r="E522" s="56"/>
      <c r="G522" s="56"/>
    </row>
    <row r="523">
      <c r="A523" s="64"/>
      <c r="B523" s="56"/>
      <c r="E523" s="56"/>
      <c r="G523" s="56"/>
    </row>
    <row r="524">
      <c r="A524" s="64"/>
      <c r="B524" s="56"/>
      <c r="E524" s="56"/>
      <c r="G524" s="56"/>
    </row>
    <row r="525">
      <c r="A525" s="64"/>
      <c r="B525" s="56"/>
      <c r="E525" s="56"/>
      <c r="G525" s="56"/>
    </row>
    <row r="526">
      <c r="A526" s="64"/>
      <c r="B526" s="56"/>
      <c r="E526" s="56"/>
      <c r="G526" s="56"/>
    </row>
    <row r="527">
      <c r="A527" s="64"/>
      <c r="B527" s="56"/>
      <c r="E527" s="56"/>
      <c r="G527" s="56"/>
    </row>
    <row r="528">
      <c r="A528" s="64"/>
      <c r="B528" s="56"/>
      <c r="E528" s="56"/>
      <c r="G528" s="56"/>
    </row>
    <row r="529">
      <c r="A529" s="64"/>
      <c r="B529" s="56"/>
      <c r="E529" s="56"/>
      <c r="G529" s="56"/>
    </row>
    <row r="530">
      <c r="A530" s="64"/>
      <c r="B530" s="56"/>
      <c r="E530" s="56"/>
      <c r="G530" s="56"/>
    </row>
    <row r="531">
      <c r="A531" s="64"/>
      <c r="B531" s="56"/>
      <c r="E531" s="56"/>
      <c r="G531" s="56"/>
    </row>
    <row r="532">
      <c r="A532" s="64"/>
      <c r="B532" s="56"/>
      <c r="E532" s="56"/>
      <c r="G532" s="56"/>
    </row>
    <row r="533">
      <c r="A533" s="64"/>
      <c r="B533" s="56"/>
      <c r="E533" s="56"/>
      <c r="G533" s="56"/>
    </row>
    <row r="534">
      <c r="A534" s="64"/>
      <c r="B534" s="56"/>
      <c r="E534" s="56"/>
      <c r="G534" s="56"/>
    </row>
    <row r="535">
      <c r="A535" s="64"/>
      <c r="B535" s="56"/>
      <c r="E535" s="56"/>
      <c r="G535" s="56"/>
    </row>
    <row r="536">
      <c r="A536" s="64"/>
      <c r="B536" s="56"/>
      <c r="E536" s="56"/>
      <c r="G536" s="56"/>
    </row>
    <row r="537">
      <c r="A537" s="64"/>
      <c r="B537" s="56"/>
      <c r="E537" s="56"/>
      <c r="G537" s="56"/>
    </row>
    <row r="538">
      <c r="A538" s="64"/>
      <c r="B538" s="56"/>
      <c r="E538" s="56"/>
      <c r="G538" s="56"/>
    </row>
    <row r="539">
      <c r="A539" s="64"/>
      <c r="B539" s="56"/>
      <c r="E539" s="56"/>
      <c r="G539" s="56"/>
    </row>
    <row r="540">
      <c r="A540" s="64"/>
      <c r="B540" s="56"/>
      <c r="E540" s="56"/>
      <c r="G540" s="56"/>
    </row>
    <row r="541">
      <c r="A541" s="64"/>
      <c r="B541" s="56"/>
      <c r="E541" s="56"/>
      <c r="G541" s="56"/>
    </row>
    <row r="542">
      <c r="A542" s="64"/>
      <c r="B542" s="56"/>
      <c r="E542" s="56"/>
      <c r="G542" s="56"/>
    </row>
    <row r="543">
      <c r="A543" s="64"/>
      <c r="B543" s="56"/>
      <c r="E543" s="56"/>
      <c r="G543" s="56"/>
    </row>
    <row r="544">
      <c r="A544" s="64"/>
      <c r="B544" s="56"/>
      <c r="E544" s="56"/>
      <c r="G544" s="56"/>
    </row>
    <row r="545">
      <c r="A545" s="64"/>
      <c r="B545" s="56"/>
      <c r="E545" s="56"/>
      <c r="G545" s="56"/>
    </row>
    <row r="546">
      <c r="A546" s="64"/>
      <c r="B546" s="56"/>
      <c r="E546" s="56"/>
      <c r="G546" s="56"/>
    </row>
    <row r="547">
      <c r="A547" s="64"/>
      <c r="B547" s="56"/>
      <c r="E547" s="56"/>
      <c r="G547" s="56"/>
    </row>
    <row r="548">
      <c r="A548" s="64"/>
      <c r="B548" s="56"/>
      <c r="E548" s="56"/>
      <c r="G548" s="56"/>
    </row>
    <row r="549">
      <c r="A549" s="64"/>
      <c r="B549" s="56"/>
      <c r="E549" s="56"/>
      <c r="G549" s="56"/>
    </row>
    <row r="550">
      <c r="A550" s="64"/>
      <c r="B550" s="56"/>
      <c r="E550" s="56"/>
      <c r="G550" s="56"/>
    </row>
    <row r="551">
      <c r="A551" s="64"/>
      <c r="B551" s="56"/>
      <c r="E551" s="56"/>
      <c r="G551" s="56"/>
    </row>
    <row r="552">
      <c r="A552" s="64"/>
      <c r="B552" s="56"/>
      <c r="E552" s="56"/>
      <c r="G552" s="56"/>
    </row>
    <row r="553">
      <c r="A553" s="64"/>
      <c r="B553" s="56"/>
      <c r="E553" s="56"/>
      <c r="G553" s="56"/>
    </row>
    <row r="554">
      <c r="A554" s="64"/>
      <c r="B554" s="56"/>
      <c r="E554" s="56"/>
      <c r="G554" s="56"/>
    </row>
    <row r="555">
      <c r="A555" s="64"/>
      <c r="B555" s="56"/>
      <c r="E555" s="56"/>
      <c r="G555" s="56"/>
    </row>
    <row r="556">
      <c r="A556" s="64"/>
      <c r="B556" s="56"/>
      <c r="E556" s="56"/>
      <c r="G556" s="56"/>
    </row>
    <row r="557">
      <c r="A557" s="64"/>
      <c r="B557" s="56"/>
      <c r="E557" s="56"/>
      <c r="G557" s="56"/>
    </row>
    <row r="558">
      <c r="A558" s="64"/>
      <c r="B558" s="56"/>
      <c r="E558" s="56"/>
      <c r="G558" s="56"/>
    </row>
    <row r="559">
      <c r="A559" s="64"/>
      <c r="B559" s="56"/>
      <c r="E559" s="56"/>
      <c r="G559" s="56"/>
    </row>
    <row r="560">
      <c r="A560" s="64"/>
      <c r="B560" s="56"/>
      <c r="E560" s="56"/>
      <c r="G560" s="56"/>
    </row>
    <row r="561">
      <c r="A561" s="64"/>
      <c r="B561" s="56"/>
      <c r="E561" s="56"/>
      <c r="G561" s="56"/>
    </row>
    <row r="562">
      <c r="A562" s="64"/>
      <c r="B562" s="56"/>
      <c r="E562" s="56"/>
      <c r="G562" s="56"/>
    </row>
    <row r="563">
      <c r="A563" s="64"/>
      <c r="B563" s="56"/>
      <c r="E563" s="56"/>
      <c r="G563" s="56"/>
    </row>
    <row r="564">
      <c r="A564" s="64"/>
      <c r="B564" s="56"/>
      <c r="E564" s="56"/>
      <c r="G564" s="56"/>
    </row>
    <row r="565">
      <c r="A565" s="64"/>
      <c r="B565" s="56"/>
      <c r="E565" s="56"/>
      <c r="G565" s="56"/>
    </row>
    <row r="566">
      <c r="A566" s="64"/>
      <c r="B566" s="56"/>
      <c r="E566" s="56"/>
      <c r="G566" s="56"/>
    </row>
    <row r="567">
      <c r="A567" s="64"/>
      <c r="B567" s="56"/>
      <c r="E567" s="56"/>
      <c r="G567" s="56"/>
    </row>
    <row r="568">
      <c r="A568" s="64"/>
      <c r="B568" s="56"/>
      <c r="E568" s="56"/>
      <c r="G568" s="56"/>
    </row>
    <row r="569">
      <c r="A569" s="64"/>
      <c r="B569" s="56"/>
      <c r="E569" s="56"/>
      <c r="G569" s="56"/>
    </row>
    <row r="570">
      <c r="A570" s="64"/>
      <c r="B570" s="56"/>
      <c r="E570" s="56"/>
      <c r="G570" s="56"/>
    </row>
    <row r="571">
      <c r="A571" s="64"/>
      <c r="B571" s="56"/>
      <c r="E571" s="56"/>
      <c r="G571" s="56"/>
    </row>
    <row r="572">
      <c r="A572" s="64"/>
      <c r="B572" s="56"/>
      <c r="E572" s="56"/>
      <c r="G572" s="56"/>
    </row>
    <row r="573">
      <c r="A573" s="64"/>
      <c r="B573" s="56"/>
      <c r="E573" s="56"/>
      <c r="G573" s="56"/>
    </row>
    <row r="574">
      <c r="A574" s="64"/>
      <c r="B574" s="56"/>
      <c r="E574" s="56"/>
      <c r="G574" s="56"/>
    </row>
    <row r="575">
      <c r="A575" s="64"/>
      <c r="B575" s="56"/>
      <c r="E575" s="56"/>
      <c r="G575" s="56"/>
    </row>
    <row r="576">
      <c r="A576" s="64"/>
      <c r="B576" s="56"/>
      <c r="E576" s="56"/>
      <c r="G576" s="56"/>
    </row>
    <row r="577">
      <c r="A577" s="64"/>
      <c r="B577" s="56"/>
      <c r="E577" s="56"/>
      <c r="G577" s="56"/>
    </row>
    <row r="578">
      <c r="A578" s="64"/>
      <c r="B578" s="56"/>
      <c r="E578" s="56"/>
      <c r="G578" s="56"/>
    </row>
    <row r="579">
      <c r="A579" s="64"/>
      <c r="B579" s="56"/>
      <c r="E579" s="56"/>
      <c r="G579" s="56"/>
    </row>
    <row r="580">
      <c r="A580" s="64"/>
      <c r="B580" s="56"/>
      <c r="E580" s="56"/>
      <c r="G580" s="56"/>
    </row>
    <row r="581">
      <c r="A581" s="64"/>
      <c r="B581" s="56"/>
      <c r="E581" s="56"/>
      <c r="G581" s="56"/>
    </row>
    <row r="582">
      <c r="A582" s="64"/>
      <c r="B582" s="56"/>
      <c r="E582" s="56"/>
      <c r="G582" s="56"/>
    </row>
    <row r="583">
      <c r="A583" s="64"/>
      <c r="B583" s="56"/>
      <c r="E583" s="56"/>
      <c r="G583" s="56"/>
    </row>
    <row r="584">
      <c r="A584" s="64"/>
      <c r="B584" s="56"/>
      <c r="E584" s="56"/>
      <c r="G584" s="56"/>
    </row>
    <row r="585">
      <c r="A585" s="64"/>
      <c r="B585" s="56"/>
      <c r="E585" s="56"/>
      <c r="G585" s="56"/>
    </row>
    <row r="586">
      <c r="A586" s="64"/>
      <c r="B586" s="56"/>
      <c r="E586" s="56"/>
      <c r="G586" s="56"/>
    </row>
    <row r="587">
      <c r="A587" s="64"/>
      <c r="B587" s="56"/>
      <c r="E587" s="56"/>
      <c r="G587" s="56"/>
    </row>
    <row r="588">
      <c r="A588" s="64"/>
      <c r="B588" s="56"/>
      <c r="E588" s="56"/>
      <c r="G588" s="56"/>
    </row>
    <row r="589">
      <c r="A589" s="64"/>
      <c r="B589" s="56"/>
      <c r="E589" s="56"/>
      <c r="G589" s="56"/>
    </row>
    <row r="590">
      <c r="A590" s="64"/>
      <c r="B590" s="56"/>
      <c r="E590" s="56"/>
      <c r="G590" s="56"/>
    </row>
    <row r="591">
      <c r="A591" s="64"/>
      <c r="B591" s="56"/>
      <c r="E591" s="56"/>
      <c r="G591" s="56"/>
    </row>
    <row r="592">
      <c r="A592" s="64"/>
      <c r="B592" s="56"/>
      <c r="E592" s="56"/>
      <c r="G592" s="56"/>
    </row>
    <row r="593">
      <c r="A593" s="64"/>
      <c r="B593" s="56"/>
      <c r="E593" s="56"/>
      <c r="G593" s="56"/>
    </row>
    <row r="594">
      <c r="A594" s="64"/>
      <c r="B594" s="56"/>
      <c r="E594" s="56"/>
      <c r="G594" s="56"/>
    </row>
    <row r="595">
      <c r="A595" s="64"/>
      <c r="B595" s="56"/>
      <c r="E595" s="56"/>
      <c r="G595" s="56"/>
    </row>
    <row r="596">
      <c r="A596" s="64"/>
      <c r="B596" s="56"/>
      <c r="E596" s="56"/>
      <c r="G596" s="56"/>
    </row>
    <row r="597">
      <c r="A597" s="64"/>
      <c r="B597" s="56"/>
      <c r="E597" s="56"/>
      <c r="G597" s="56"/>
    </row>
    <row r="598">
      <c r="A598" s="64"/>
      <c r="B598" s="56"/>
      <c r="E598" s="56"/>
      <c r="G598" s="56"/>
    </row>
    <row r="599">
      <c r="A599" s="64"/>
      <c r="B599" s="56"/>
      <c r="E599" s="56"/>
      <c r="G599" s="56"/>
    </row>
    <row r="600">
      <c r="A600" s="64"/>
      <c r="B600" s="56"/>
      <c r="E600" s="56"/>
      <c r="G600" s="56"/>
    </row>
    <row r="601">
      <c r="A601" s="64"/>
      <c r="B601" s="56"/>
      <c r="E601" s="56"/>
      <c r="G601" s="56"/>
    </row>
    <row r="602">
      <c r="A602" s="64"/>
      <c r="B602" s="56"/>
      <c r="E602" s="56"/>
      <c r="G602" s="56"/>
    </row>
    <row r="603">
      <c r="A603" s="64"/>
      <c r="B603" s="56"/>
      <c r="E603" s="56"/>
      <c r="G603" s="56"/>
    </row>
    <row r="604">
      <c r="A604" s="64"/>
      <c r="B604" s="56"/>
      <c r="E604" s="56"/>
      <c r="G604" s="56"/>
    </row>
    <row r="605">
      <c r="A605" s="64"/>
      <c r="B605" s="56"/>
      <c r="E605" s="56"/>
      <c r="G605" s="56"/>
    </row>
    <row r="606">
      <c r="A606" s="64"/>
      <c r="B606" s="56"/>
      <c r="E606" s="56"/>
      <c r="G606" s="56"/>
    </row>
    <row r="607">
      <c r="A607" s="64"/>
      <c r="B607" s="56"/>
      <c r="E607" s="56"/>
      <c r="G607" s="56"/>
    </row>
    <row r="608">
      <c r="A608" s="64"/>
      <c r="B608" s="56"/>
      <c r="E608" s="56"/>
      <c r="G608" s="56"/>
    </row>
    <row r="609">
      <c r="A609" s="64"/>
      <c r="B609" s="56"/>
      <c r="E609" s="56"/>
      <c r="G609" s="56"/>
    </row>
    <row r="610">
      <c r="A610" s="64"/>
      <c r="B610" s="56"/>
      <c r="E610" s="56"/>
      <c r="G610" s="56"/>
    </row>
    <row r="611">
      <c r="A611" s="64"/>
      <c r="B611" s="56"/>
      <c r="E611" s="56"/>
      <c r="G611" s="56"/>
    </row>
    <row r="612">
      <c r="A612" s="64"/>
      <c r="B612" s="56"/>
      <c r="E612" s="56"/>
      <c r="G612" s="56"/>
    </row>
    <row r="613">
      <c r="A613" s="64"/>
      <c r="B613" s="56"/>
      <c r="E613" s="56"/>
      <c r="G613" s="56"/>
    </row>
    <row r="614">
      <c r="A614" s="64"/>
      <c r="B614" s="56"/>
      <c r="E614" s="56"/>
      <c r="G614" s="56"/>
    </row>
    <row r="615">
      <c r="A615" s="64"/>
      <c r="B615" s="56"/>
      <c r="E615" s="56"/>
      <c r="G615" s="56"/>
    </row>
    <row r="616">
      <c r="A616" s="64"/>
      <c r="B616" s="56"/>
      <c r="E616" s="56"/>
      <c r="G616" s="56"/>
    </row>
    <row r="617">
      <c r="A617" s="64"/>
      <c r="B617" s="56"/>
      <c r="E617" s="56"/>
      <c r="G617" s="56"/>
    </row>
    <row r="618">
      <c r="A618" s="64"/>
      <c r="B618" s="56"/>
      <c r="E618" s="56"/>
      <c r="G618" s="56"/>
    </row>
    <row r="619">
      <c r="A619" s="64"/>
      <c r="B619" s="56"/>
      <c r="E619" s="56"/>
      <c r="G619" s="56"/>
    </row>
    <row r="620">
      <c r="A620" s="64"/>
      <c r="B620" s="56"/>
      <c r="E620" s="56"/>
      <c r="G620" s="56"/>
    </row>
    <row r="621">
      <c r="A621" s="64"/>
      <c r="B621" s="56"/>
      <c r="E621" s="56"/>
      <c r="G621" s="56"/>
    </row>
    <row r="622">
      <c r="A622" s="64"/>
      <c r="B622" s="56"/>
      <c r="E622" s="56"/>
      <c r="G622" s="56"/>
    </row>
    <row r="623">
      <c r="A623" s="64"/>
      <c r="B623" s="56"/>
      <c r="E623" s="56"/>
      <c r="G623" s="56"/>
    </row>
    <row r="624">
      <c r="A624" s="64"/>
      <c r="B624" s="56"/>
      <c r="E624" s="56"/>
      <c r="G624" s="56"/>
    </row>
    <row r="625">
      <c r="A625" s="64"/>
      <c r="B625" s="56"/>
      <c r="E625" s="56"/>
      <c r="G625" s="56"/>
    </row>
    <row r="626">
      <c r="A626" s="64"/>
      <c r="B626" s="56"/>
      <c r="E626" s="56"/>
      <c r="G626" s="56"/>
    </row>
    <row r="627">
      <c r="A627" s="64"/>
      <c r="B627" s="56"/>
      <c r="E627" s="56"/>
      <c r="G627" s="56"/>
    </row>
    <row r="628">
      <c r="A628" s="64"/>
      <c r="B628" s="56"/>
      <c r="E628" s="56"/>
      <c r="G628" s="56"/>
    </row>
    <row r="629">
      <c r="A629" s="64"/>
      <c r="B629" s="56"/>
      <c r="E629" s="56"/>
      <c r="G629" s="56"/>
    </row>
    <row r="630">
      <c r="A630" s="64"/>
      <c r="B630" s="56"/>
      <c r="E630" s="56"/>
      <c r="G630" s="56"/>
    </row>
    <row r="631">
      <c r="A631" s="64"/>
      <c r="B631" s="56"/>
      <c r="E631" s="56"/>
      <c r="G631" s="56"/>
    </row>
    <row r="632">
      <c r="A632" s="64"/>
      <c r="B632" s="56"/>
      <c r="E632" s="56"/>
      <c r="G632" s="56"/>
    </row>
    <row r="633">
      <c r="A633" s="64"/>
      <c r="B633" s="56"/>
      <c r="E633" s="56"/>
      <c r="G633" s="56"/>
    </row>
    <row r="634">
      <c r="A634" s="64"/>
      <c r="B634" s="56"/>
      <c r="E634" s="56"/>
      <c r="G634" s="56"/>
    </row>
    <row r="635">
      <c r="A635" s="64"/>
      <c r="B635" s="56"/>
      <c r="E635" s="56"/>
      <c r="G635" s="56"/>
    </row>
    <row r="636">
      <c r="A636" s="64"/>
      <c r="B636" s="56"/>
      <c r="E636" s="56"/>
      <c r="G636" s="56"/>
    </row>
    <row r="637">
      <c r="A637" s="64"/>
      <c r="B637" s="56"/>
      <c r="E637" s="56"/>
      <c r="G637" s="56"/>
    </row>
    <row r="638">
      <c r="A638" s="64"/>
      <c r="B638" s="56"/>
      <c r="E638" s="56"/>
      <c r="G638" s="56"/>
    </row>
    <row r="639">
      <c r="A639" s="64"/>
      <c r="B639" s="56"/>
      <c r="E639" s="56"/>
      <c r="G639" s="56"/>
    </row>
    <row r="640">
      <c r="A640" s="64"/>
      <c r="B640" s="56"/>
      <c r="E640" s="56"/>
      <c r="G640" s="56"/>
    </row>
    <row r="641">
      <c r="A641" s="64"/>
      <c r="B641" s="56"/>
      <c r="E641" s="56"/>
      <c r="G641" s="56"/>
    </row>
    <row r="642">
      <c r="A642" s="64"/>
      <c r="B642" s="56"/>
      <c r="E642" s="56"/>
      <c r="G642" s="56"/>
    </row>
    <row r="643">
      <c r="A643" s="64"/>
      <c r="B643" s="56"/>
      <c r="E643" s="56"/>
      <c r="G643" s="56"/>
    </row>
    <row r="644">
      <c r="A644" s="64"/>
      <c r="B644" s="56"/>
      <c r="E644" s="56"/>
      <c r="G644" s="56"/>
    </row>
    <row r="645">
      <c r="A645" s="64"/>
      <c r="B645" s="56"/>
      <c r="E645" s="56"/>
      <c r="G645" s="56"/>
    </row>
    <row r="646">
      <c r="A646" s="64"/>
      <c r="B646" s="56"/>
      <c r="E646" s="56"/>
      <c r="G646" s="56"/>
    </row>
    <row r="647">
      <c r="A647" s="64"/>
      <c r="B647" s="56"/>
      <c r="E647" s="56"/>
      <c r="G647" s="56"/>
    </row>
    <row r="648">
      <c r="A648" s="64"/>
      <c r="B648" s="56"/>
      <c r="E648" s="56"/>
      <c r="G648" s="56"/>
    </row>
    <row r="649">
      <c r="A649" s="64"/>
      <c r="B649" s="56"/>
      <c r="E649" s="56"/>
      <c r="G649" s="56"/>
    </row>
    <row r="650">
      <c r="A650" s="64"/>
      <c r="B650" s="56"/>
      <c r="E650" s="56"/>
      <c r="G650" s="56"/>
    </row>
    <row r="651">
      <c r="A651" s="64"/>
      <c r="B651" s="56"/>
      <c r="E651" s="56"/>
      <c r="G651" s="56"/>
    </row>
    <row r="652">
      <c r="A652" s="64"/>
      <c r="B652" s="56"/>
      <c r="E652" s="56"/>
      <c r="G652" s="56"/>
    </row>
    <row r="653">
      <c r="A653" s="64"/>
      <c r="B653" s="56"/>
      <c r="E653" s="56"/>
      <c r="G653" s="56"/>
    </row>
    <row r="654">
      <c r="A654" s="64"/>
      <c r="B654" s="56"/>
      <c r="E654" s="56"/>
      <c r="G654" s="56"/>
    </row>
    <row r="655">
      <c r="A655" s="64"/>
      <c r="B655" s="56"/>
      <c r="E655" s="56"/>
      <c r="G655" s="56"/>
    </row>
    <row r="656">
      <c r="A656" s="64"/>
      <c r="B656" s="56"/>
      <c r="E656" s="56"/>
      <c r="G656" s="56"/>
    </row>
    <row r="657">
      <c r="A657" s="64"/>
      <c r="B657" s="56"/>
      <c r="E657" s="56"/>
      <c r="G657" s="56"/>
    </row>
    <row r="658">
      <c r="A658" s="64"/>
      <c r="B658" s="56"/>
      <c r="E658" s="56"/>
      <c r="G658" s="56"/>
    </row>
    <row r="659">
      <c r="A659" s="64"/>
      <c r="B659" s="56"/>
      <c r="E659" s="56"/>
      <c r="G659" s="56"/>
    </row>
    <row r="660">
      <c r="A660" s="64"/>
      <c r="B660" s="56"/>
      <c r="E660" s="56"/>
      <c r="G660" s="56"/>
    </row>
    <row r="661">
      <c r="A661" s="64"/>
      <c r="B661" s="56"/>
      <c r="E661" s="56"/>
      <c r="G661" s="56"/>
    </row>
    <row r="662">
      <c r="A662" s="64"/>
      <c r="B662" s="56"/>
      <c r="E662" s="56"/>
      <c r="G662" s="56"/>
    </row>
    <row r="663">
      <c r="A663" s="64"/>
      <c r="B663" s="56"/>
      <c r="E663" s="56"/>
      <c r="G663" s="56"/>
    </row>
    <row r="664">
      <c r="A664" s="64"/>
      <c r="B664" s="56"/>
      <c r="E664" s="56"/>
      <c r="G664" s="56"/>
    </row>
    <row r="665">
      <c r="A665" s="64"/>
      <c r="B665" s="56"/>
      <c r="E665" s="56"/>
      <c r="G665" s="56"/>
    </row>
    <row r="666">
      <c r="A666" s="64"/>
      <c r="B666" s="56"/>
      <c r="E666" s="56"/>
      <c r="G666" s="56"/>
    </row>
    <row r="667">
      <c r="A667" s="64"/>
      <c r="B667" s="56"/>
      <c r="E667" s="56"/>
      <c r="G667" s="56"/>
    </row>
    <row r="668">
      <c r="A668" s="64"/>
      <c r="B668" s="56"/>
      <c r="E668" s="56"/>
      <c r="G668" s="56"/>
    </row>
    <row r="669">
      <c r="A669" s="64"/>
      <c r="B669" s="56"/>
      <c r="E669" s="56"/>
      <c r="G669" s="56"/>
    </row>
    <row r="670">
      <c r="A670" s="64"/>
      <c r="B670" s="56"/>
      <c r="E670" s="56"/>
      <c r="G670" s="56"/>
    </row>
    <row r="671">
      <c r="A671" s="64"/>
      <c r="B671" s="56"/>
      <c r="E671" s="56"/>
      <c r="G671" s="56"/>
    </row>
    <row r="672">
      <c r="A672" s="64"/>
      <c r="B672" s="56"/>
      <c r="E672" s="56"/>
      <c r="G672" s="56"/>
    </row>
    <row r="673">
      <c r="A673" s="64"/>
      <c r="B673" s="56"/>
      <c r="E673" s="56"/>
      <c r="G673" s="56"/>
    </row>
    <row r="674">
      <c r="A674" s="64"/>
      <c r="B674" s="56"/>
      <c r="E674" s="56"/>
      <c r="G674" s="56"/>
    </row>
    <row r="675">
      <c r="A675" s="64"/>
      <c r="B675" s="56"/>
      <c r="E675" s="56"/>
      <c r="G675" s="56"/>
    </row>
    <row r="676">
      <c r="A676" s="64"/>
      <c r="B676" s="56"/>
      <c r="E676" s="56"/>
      <c r="G676" s="56"/>
    </row>
    <row r="677">
      <c r="A677" s="64"/>
      <c r="B677" s="56"/>
      <c r="E677" s="56"/>
      <c r="G677" s="56"/>
    </row>
    <row r="678">
      <c r="A678" s="64"/>
      <c r="B678" s="56"/>
      <c r="E678" s="56"/>
      <c r="G678" s="56"/>
    </row>
    <row r="679">
      <c r="A679" s="64"/>
      <c r="B679" s="56"/>
      <c r="E679" s="56"/>
      <c r="G679" s="56"/>
    </row>
    <row r="680">
      <c r="A680" s="64"/>
      <c r="B680" s="56"/>
      <c r="E680" s="56"/>
      <c r="G680" s="56"/>
    </row>
    <row r="681">
      <c r="A681" s="64"/>
      <c r="B681" s="56"/>
      <c r="E681" s="56"/>
      <c r="G681" s="56"/>
    </row>
    <row r="682">
      <c r="A682" s="64"/>
      <c r="B682" s="56"/>
      <c r="E682" s="56"/>
      <c r="G682" s="56"/>
    </row>
    <row r="683">
      <c r="A683" s="64"/>
      <c r="B683" s="56"/>
      <c r="E683" s="56"/>
      <c r="G683" s="56"/>
    </row>
    <row r="684">
      <c r="A684" s="64"/>
      <c r="B684" s="56"/>
      <c r="E684" s="56"/>
      <c r="G684" s="56"/>
    </row>
    <row r="685">
      <c r="A685" s="64"/>
      <c r="B685" s="56"/>
      <c r="E685" s="56"/>
      <c r="G685" s="56"/>
    </row>
    <row r="686">
      <c r="A686" s="64"/>
      <c r="B686" s="56"/>
      <c r="E686" s="56"/>
      <c r="G686" s="56"/>
    </row>
    <row r="687">
      <c r="A687" s="64"/>
      <c r="B687" s="56"/>
      <c r="E687" s="56"/>
      <c r="G687" s="56"/>
    </row>
    <row r="688">
      <c r="A688" s="64"/>
      <c r="B688" s="56"/>
      <c r="E688" s="56"/>
      <c r="G688" s="56"/>
    </row>
    <row r="689">
      <c r="A689" s="64"/>
      <c r="B689" s="56"/>
      <c r="E689" s="56"/>
      <c r="G689" s="56"/>
    </row>
    <row r="690">
      <c r="A690" s="64"/>
      <c r="B690" s="56"/>
      <c r="E690" s="56"/>
      <c r="G690" s="56"/>
    </row>
    <row r="691">
      <c r="A691" s="64"/>
      <c r="B691" s="56"/>
      <c r="E691" s="56"/>
      <c r="G691" s="56"/>
    </row>
    <row r="692">
      <c r="A692" s="64"/>
      <c r="B692" s="56"/>
      <c r="E692" s="56"/>
      <c r="G692" s="56"/>
    </row>
    <row r="693">
      <c r="A693" s="64"/>
      <c r="B693" s="56"/>
      <c r="E693" s="56"/>
      <c r="G693" s="56"/>
    </row>
    <row r="694">
      <c r="A694" s="64"/>
      <c r="B694" s="56"/>
      <c r="E694" s="56"/>
      <c r="G694" s="56"/>
    </row>
    <row r="695">
      <c r="A695" s="64"/>
      <c r="B695" s="56"/>
      <c r="E695" s="56"/>
      <c r="G695" s="56"/>
    </row>
    <row r="696">
      <c r="A696" s="64"/>
      <c r="B696" s="56"/>
      <c r="E696" s="56"/>
      <c r="G696" s="56"/>
    </row>
    <row r="697">
      <c r="A697" s="64"/>
      <c r="B697" s="56"/>
      <c r="E697" s="56"/>
      <c r="G697" s="56"/>
    </row>
    <row r="698">
      <c r="A698" s="64"/>
      <c r="B698" s="56"/>
      <c r="E698" s="56"/>
      <c r="G698" s="56"/>
    </row>
    <row r="699">
      <c r="A699" s="64"/>
      <c r="B699" s="56"/>
      <c r="E699" s="56"/>
      <c r="G699" s="56"/>
    </row>
    <row r="700">
      <c r="A700" s="64"/>
      <c r="B700" s="56"/>
      <c r="E700" s="56"/>
      <c r="G700" s="56"/>
    </row>
    <row r="701">
      <c r="A701" s="64"/>
      <c r="B701" s="56"/>
      <c r="E701" s="56"/>
      <c r="G701" s="56"/>
    </row>
    <row r="702">
      <c r="A702" s="64"/>
      <c r="B702" s="56"/>
      <c r="E702" s="56"/>
      <c r="G702" s="56"/>
    </row>
    <row r="703">
      <c r="A703" s="64"/>
      <c r="B703" s="56"/>
      <c r="E703" s="56"/>
      <c r="G703" s="56"/>
    </row>
    <row r="704">
      <c r="A704" s="64"/>
      <c r="B704" s="56"/>
      <c r="E704" s="56"/>
      <c r="G704" s="56"/>
    </row>
    <row r="705">
      <c r="A705" s="64"/>
      <c r="B705" s="56"/>
      <c r="E705" s="56"/>
      <c r="G705" s="56"/>
    </row>
    <row r="706">
      <c r="A706" s="64"/>
      <c r="B706" s="56"/>
      <c r="E706" s="56"/>
      <c r="G706" s="56"/>
    </row>
    <row r="707">
      <c r="A707" s="64"/>
      <c r="B707" s="56"/>
      <c r="E707" s="56"/>
      <c r="G707" s="56"/>
    </row>
    <row r="708">
      <c r="A708" s="64"/>
      <c r="B708" s="56"/>
      <c r="E708" s="56"/>
      <c r="G708" s="56"/>
    </row>
    <row r="709">
      <c r="A709" s="64"/>
      <c r="B709" s="56"/>
      <c r="E709" s="56"/>
      <c r="G709" s="56"/>
    </row>
    <row r="710">
      <c r="A710" s="64"/>
      <c r="B710" s="56"/>
      <c r="E710" s="56"/>
      <c r="G710" s="56"/>
    </row>
    <row r="711">
      <c r="A711" s="64"/>
      <c r="B711" s="56"/>
      <c r="E711" s="56"/>
      <c r="G711" s="56"/>
    </row>
    <row r="712">
      <c r="A712" s="64"/>
      <c r="B712" s="56"/>
      <c r="E712" s="56"/>
      <c r="G712" s="56"/>
    </row>
    <row r="713">
      <c r="A713" s="64"/>
      <c r="B713" s="56"/>
      <c r="E713" s="56"/>
      <c r="G713" s="56"/>
    </row>
    <row r="714">
      <c r="A714" s="64"/>
      <c r="B714" s="56"/>
      <c r="E714" s="56"/>
      <c r="G714" s="56"/>
    </row>
    <row r="715">
      <c r="A715" s="64"/>
      <c r="B715" s="56"/>
      <c r="E715" s="56"/>
      <c r="G715" s="56"/>
    </row>
    <row r="716">
      <c r="A716" s="64"/>
      <c r="B716" s="56"/>
      <c r="E716" s="56"/>
      <c r="G716" s="56"/>
    </row>
    <row r="717">
      <c r="A717" s="64"/>
      <c r="B717" s="56"/>
      <c r="E717" s="56"/>
      <c r="G717" s="56"/>
    </row>
    <row r="718">
      <c r="A718" s="64"/>
      <c r="B718" s="56"/>
      <c r="E718" s="56"/>
      <c r="G718" s="56"/>
    </row>
    <row r="719">
      <c r="A719" s="64"/>
      <c r="B719" s="56"/>
      <c r="E719" s="56"/>
      <c r="G719" s="56"/>
    </row>
    <row r="720">
      <c r="A720" s="64"/>
      <c r="B720" s="56"/>
      <c r="E720" s="56"/>
      <c r="G720" s="56"/>
    </row>
    <row r="721">
      <c r="A721" s="64"/>
      <c r="B721" s="56"/>
      <c r="E721" s="56"/>
      <c r="G721" s="56"/>
    </row>
    <row r="722">
      <c r="A722" s="64"/>
      <c r="B722" s="56"/>
      <c r="E722" s="56"/>
      <c r="G722" s="56"/>
    </row>
    <row r="723">
      <c r="A723" s="64"/>
      <c r="B723" s="56"/>
      <c r="E723" s="56"/>
      <c r="G723" s="56"/>
    </row>
    <row r="724">
      <c r="A724" s="64"/>
      <c r="B724" s="56"/>
      <c r="E724" s="56"/>
      <c r="G724" s="56"/>
    </row>
    <row r="725">
      <c r="A725" s="64"/>
      <c r="B725" s="56"/>
      <c r="E725" s="56"/>
      <c r="G725" s="56"/>
    </row>
    <row r="726">
      <c r="A726" s="64"/>
      <c r="B726" s="56"/>
      <c r="E726" s="56"/>
      <c r="G726" s="56"/>
    </row>
    <row r="727">
      <c r="A727" s="64"/>
      <c r="B727" s="56"/>
      <c r="E727" s="56"/>
      <c r="G727" s="56"/>
    </row>
    <row r="728">
      <c r="A728" s="64"/>
      <c r="B728" s="56"/>
      <c r="E728" s="56"/>
      <c r="G728" s="56"/>
    </row>
    <row r="729">
      <c r="A729" s="64"/>
      <c r="B729" s="56"/>
      <c r="E729" s="56"/>
      <c r="G729" s="56"/>
    </row>
    <row r="730">
      <c r="A730" s="64"/>
      <c r="B730" s="56"/>
      <c r="E730" s="56"/>
      <c r="G730" s="56"/>
    </row>
    <row r="731">
      <c r="A731" s="64"/>
      <c r="B731" s="56"/>
      <c r="E731" s="56"/>
      <c r="G731" s="56"/>
    </row>
    <row r="732">
      <c r="A732" s="64"/>
      <c r="B732" s="56"/>
      <c r="E732" s="56"/>
      <c r="G732" s="56"/>
    </row>
    <row r="733">
      <c r="A733" s="64"/>
      <c r="B733" s="56"/>
      <c r="E733" s="56"/>
      <c r="G733" s="56"/>
    </row>
    <row r="734">
      <c r="A734" s="64"/>
      <c r="B734" s="56"/>
      <c r="E734" s="56"/>
      <c r="G734" s="56"/>
    </row>
    <row r="735">
      <c r="A735" s="64"/>
      <c r="B735" s="56"/>
      <c r="E735" s="56"/>
      <c r="G735" s="56"/>
    </row>
    <row r="736">
      <c r="A736" s="64"/>
      <c r="B736" s="56"/>
      <c r="E736" s="56"/>
      <c r="G736" s="56"/>
    </row>
    <row r="737">
      <c r="A737" s="64"/>
      <c r="B737" s="56"/>
      <c r="E737" s="56"/>
      <c r="G737" s="56"/>
    </row>
    <row r="738">
      <c r="A738" s="64"/>
      <c r="B738" s="56"/>
      <c r="E738" s="56"/>
      <c r="G738" s="56"/>
    </row>
    <row r="739">
      <c r="A739" s="64"/>
      <c r="B739" s="56"/>
      <c r="E739" s="56"/>
      <c r="G739" s="56"/>
    </row>
    <row r="740">
      <c r="A740" s="64"/>
      <c r="B740" s="56"/>
      <c r="E740" s="56"/>
      <c r="G740" s="56"/>
    </row>
    <row r="741">
      <c r="A741" s="64"/>
      <c r="B741" s="56"/>
      <c r="E741" s="56"/>
      <c r="G741" s="56"/>
    </row>
    <row r="742">
      <c r="A742" s="64"/>
      <c r="B742" s="56"/>
      <c r="E742" s="56"/>
      <c r="G742" s="56"/>
    </row>
    <row r="743">
      <c r="A743" s="64"/>
      <c r="B743" s="56"/>
      <c r="E743" s="56"/>
      <c r="G743" s="56"/>
    </row>
    <row r="744">
      <c r="A744" s="64"/>
      <c r="B744" s="56"/>
      <c r="E744" s="56"/>
      <c r="G744" s="56"/>
    </row>
    <row r="745">
      <c r="A745" s="64"/>
      <c r="B745" s="56"/>
      <c r="E745" s="56"/>
      <c r="G745" s="56"/>
    </row>
    <row r="746">
      <c r="A746" s="64"/>
      <c r="B746" s="56"/>
      <c r="E746" s="56"/>
      <c r="G746" s="56"/>
    </row>
    <row r="747">
      <c r="A747" s="64"/>
      <c r="B747" s="56"/>
      <c r="E747" s="56"/>
      <c r="G747" s="56"/>
    </row>
    <row r="748">
      <c r="A748" s="64"/>
      <c r="B748" s="56"/>
      <c r="E748" s="56"/>
      <c r="G748" s="56"/>
    </row>
    <row r="749">
      <c r="A749" s="64"/>
      <c r="B749" s="56"/>
      <c r="E749" s="56"/>
      <c r="G749" s="56"/>
    </row>
    <row r="750">
      <c r="A750" s="64"/>
      <c r="B750" s="56"/>
      <c r="E750" s="56"/>
      <c r="G750" s="56"/>
    </row>
    <row r="751">
      <c r="A751" s="64"/>
      <c r="B751" s="56"/>
      <c r="E751" s="56"/>
      <c r="G751" s="56"/>
    </row>
    <row r="752">
      <c r="A752" s="64"/>
      <c r="B752" s="56"/>
      <c r="E752" s="56"/>
      <c r="G752" s="56"/>
    </row>
    <row r="753">
      <c r="A753" s="64"/>
      <c r="B753" s="56"/>
      <c r="E753" s="56"/>
      <c r="G753" s="56"/>
    </row>
    <row r="754">
      <c r="A754" s="64"/>
      <c r="B754" s="56"/>
      <c r="E754" s="56"/>
      <c r="G754" s="56"/>
    </row>
    <row r="755">
      <c r="A755" s="64"/>
      <c r="B755" s="56"/>
      <c r="E755" s="56"/>
      <c r="G755" s="56"/>
    </row>
    <row r="756">
      <c r="A756" s="64"/>
      <c r="B756" s="56"/>
      <c r="E756" s="56"/>
      <c r="G756" s="56"/>
    </row>
    <row r="757">
      <c r="A757" s="64"/>
      <c r="B757" s="56"/>
      <c r="E757" s="56"/>
      <c r="G757" s="56"/>
    </row>
    <row r="758">
      <c r="A758" s="64"/>
      <c r="B758" s="56"/>
      <c r="E758" s="56"/>
      <c r="G758" s="56"/>
    </row>
    <row r="759">
      <c r="A759" s="64"/>
      <c r="B759" s="56"/>
      <c r="E759" s="56"/>
      <c r="G759" s="56"/>
    </row>
    <row r="760">
      <c r="A760" s="64"/>
      <c r="B760" s="56"/>
      <c r="E760" s="56"/>
      <c r="G760" s="56"/>
    </row>
    <row r="761">
      <c r="A761" s="64"/>
      <c r="B761" s="56"/>
      <c r="E761" s="56"/>
      <c r="G761" s="56"/>
    </row>
    <row r="762">
      <c r="A762" s="64"/>
      <c r="B762" s="56"/>
      <c r="E762" s="56"/>
      <c r="G762" s="56"/>
    </row>
    <row r="763">
      <c r="A763" s="64"/>
      <c r="B763" s="56"/>
      <c r="E763" s="56"/>
      <c r="G763" s="56"/>
    </row>
    <row r="764">
      <c r="A764" s="64"/>
      <c r="B764" s="56"/>
      <c r="E764" s="56"/>
      <c r="G764" s="56"/>
    </row>
    <row r="765">
      <c r="A765" s="64"/>
      <c r="B765" s="56"/>
      <c r="E765" s="56"/>
      <c r="G765" s="56"/>
    </row>
    <row r="766">
      <c r="A766" s="64"/>
      <c r="B766" s="56"/>
      <c r="E766" s="56"/>
      <c r="G766" s="56"/>
    </row>
    <row r="767">
      <c r="A767" s="64"/>
      <c r="B767" s="56"/>
      <c r="E767" s="56"/>
      <c r="G767" s="56"/>
    </row>
    <row r="768">
      <c r="A768" s="64"/>
      <c r="B768" s="56"/>
      <c r="E768" s="56"/>
      <c r="G768" s="56"/>
    </row>
    <row r="769">
      <c r="A769" s="64"/>
      <c r="B769" s="56"/>
      <c r="E769" s="56"/>
      <c r="G769" s="56"/>
    </row>
    <row r="770">
      <c r="A770" s="64"/>
      <c r="B770" s="56"/>
      <c r="E770" s="56"/>
      <c r="G770" s="56"/>
    </row>
    <row r="771">
      <c r="A771" s="64"/>
      <c r="B771" s="56"/>
      <c r="E771" s="56"/>
      <c r="G771" s="56"/>
    </row>
    <row r="772">
      <c r="A772" s="64"/>
      <c r="B772" s="56"/>
      <c r="E772" s="56"/>
      <c r="G772" s="56"/>
    </row>
    <row r="773">
      <c r="A773" s="64"/>
      <c r="B773" s="56"/>
      <c r="E773" s="56"/>
      <c r="G773" s="56"/>
    </row>
    <row r="774">
      <c r="A774" s="64"/>
      <c r="B774" s="56"/>
      <c r="E774" s="56"/>
      <c r="G774" s="56"/>
    </row>
    <row r="775">
      <c r="A775" s="64"/>
      <c r="B775" s="56"/>
      <c r="E775" s="56"/>
      <c r="G775" s="56"/>
    </row>
    <row r="776">
      <c r="A776" s="64"/>
      <c r="B776" s="56"/>
      <c r="E776" s="56"/>
      <c r="G776" s="56"/>
    </row>
    <row r="777">
      <c r="A777" s="64"/>
      <c r="B777" s="56"/>
      <c r="E777" s="56"/>
      <c r="G777" s="56"/>
    </row>
    <row r="778">
      <c r="A778" s="64"/>
      <c r="B778" s="56"/>
      <c r="E778" s="56"/>
      <c r="G778" s="56"/>
    </row>
    <row r="779">
      <c r="A779" s="64"/>
      <c r="B779" s="56"/>
      <c r="E779" s="56"/>
      <c r="G779" s="56"/>
    </row>
    <row r="780">
      <c r="A780" s="64"/>
      <c r="B780" s="56"/>
      <c r="E780" s="56"/>
      <c r="G780" s="56"/>
    </row>
    <row r="781">
      <c r="A781" s="64"/>
      <c r="B781" s="56"/>
      <c r="E781" s="56"/>
      <c r="G781" s="56"/>
    </row>
    <row r="782">
      <c r="A782" s="64"/>
      <c r="B782" s="56"/>
      <c r="E782" s="56"/>
      <c r="G782" s="56"/>
    </row>
    <row r="783">
      <c r="A783" s="64"/>
      <c r="B783" s="56"/>
      <c r="E783" s="56"/>
      <c r="G783" s="56"/>
    </row>
    <row r="784">
      <c r="A784" s="64"/>
      <c r="B784" s="56"/>
      <c r="E784" s="56"/>
      <c r="G784" s="56"/>
    </row>
    <row r="785">
      <c r="A785" s="64"/>
      <c r="B785" s="56"/>
      <c r="E785" s="56"/>
      <c r="G785" s="56"/>
    </row>
    <row r="786">
      <c r="A786" s="64"/>
      <c r="B786" s="56"/>
      <c r="E786" s="56"/>
      <c r="G786" s="56"/>
    </row>
    <row r="787">
      <c r="A787" s="64"/>
      <c r="B787" s="56"/>
      <c r="E787" s="56"/>
      <c r="G787" s="56"/>
    </row>
    <row r="788">
      <c r="A788" s="64"/>
      <c r="B788" s="56"/>
      <c r="E788" s="56"/>
      <c r="G788" s="56"/>
    </row>
    <row r="789">
      <c r="A789" s="64"/>
      <c r="B789" s="56"/>
      <c r="E789" s="56"/>
      <c r="G789" s="56"/>
    </row>
    <row r="790">
      <c r="A790" s="64"/>
      <c r="B790" s="56"/>
      <c r="E790" s="56"/>
      <c r="G790" s="56"/>
    </row>
    <row r="791">
      <c r="A791" s="64"/>
      <c r="B791" s="56"/>
      <c r="E791" s="56"/>
      <c r="G791" s="56"/>
    </row>
    <row r="792">
      <c r="A792" s="64"/>
      <c r="B792" s="56"/>
      <c r="E792" s="56"/>
      <c r="G792" s="56"/>
    </row>
    <row r="793">
      <c r="A793" s="64"/>
      <c r="B793" s="56"/>
      <c r="E793" s="56"/>
      <c r="G793" s="56"/>
    </row>
    <row r="794">
      <c r="A794" s="64"/>
      <c r="B794" s="56"/>
      <c r="E794" s="56"/>
      <c r="G794" s="56"/>
    </row>
    <row r="795">
      <c r="A795" s="64"/>
      <c r="B795" s="56"/>
      <c r="E795" s="56"/>
      <c r="G795" s="56"/>
    </row>
    <row r="796">
      <c r="A796" s="64"/>
      <c r="B796" s="56"/>
      <c r="E796" s="56"/>
      <c r="G796" s="56"/>
    </row>
    <row r="797">
      <c r="A797" s="64"/>
      <c r="B797" s="56"/>
      <c r="E797" s="56"/>
      <c r="G797" s="56"/>
    </row>
    <row r="798">
      <c r="A798" s="64"/>
      <c r="B798" s="56"/>
      <c r="E798" s="56"/>
      <c r="G798" s="56"/>
    </row>
    <row r="799">
      <c r="A799" s="64"/>
      <c r="B799" s="56"/>
      <c r="E799" s="56"/>
      <c r="G799" s="56"/>
    </row>
    <row r="800">
      <c r="A800" s="64"/>
      <c r="B800" s="56"/>
      <c r="E800" s="56"/>
      <c r="G800" s="56"/>
    </row>
    <row r="801">
      <c r="A801" s="64"/>
      <c r="B801" s="56"/>
      <c r="E801" s="56"/>
      <c r="G801" s="56"/>
    </row>
    <row r="802">
      <c r="A802" s="64"/>
      <c r="B802" s="56"/>
      <c r="E802" s="56"/>
      <c r="G802" s="56"/>
    </row>
    <row r="803">
      <c r="A803" s="64"/>
      <c r="B803" s="56"/>
      <c r="E803" s="56"/>
      <c r="G803" s="56"/>
    </row>
    <row r="804">
      <c r="A804" s="64"/>
      <c r="B804" s="56"/>
      <c r="E804" s="56"/>
      <c r="G804" s="56"/>
    </row>
    <row r="805">
      <c r="A805" s="64"/>
      <c r="B805" s="56"/>
      <c r="E805" s="56"/>
      <c r="G805" s="56"/>
    </row>
    <row r="806">
      <c r="A806" s="64"/>
      <c r="B806" s="56"/>
      <c r="E806" s="56"/>
      <c r="G806" s="56"/>
    </row>
    <row r="807">
      <c r="A807" s="64"/>
      <c r="B807" s="56"/>
      <c r="E807" s="56"/>
      <c r="G807" s="56"/>
    </row>
    <row r="808">
      <c r="A808" s="64"/>
      <c r="B808" s="56"/>
      <c r="E808" s="56"/>
      <c r="G808" s="56"/>
    </row>
    <row r="809">
      <c r="A809" s="64"/>
      <c r="B809" s="56"/>
      <c r="E809" s="56"/>
      <c r="G809" s="56"/>
    </row>
    <row r="810">
      <c r="A810" s="64"/>
      <c r="B810" s="56"/>
      <c r="E810" s="56"/>
      <c r="G810" s="56"/>
    </row>
    <row r="811">
      <c r="A811" s="64"/>
      <c r="B811" s="56"/>
      <c r="E811" s="56"/>
      <c r="G811" s="56"/>
    </row>
    <row r="812">
      <c r="A812" s="64"/>
      <c r="B812" s="56"/>
      <c r="E812" s="56"/>
      <c r="G812" s="56"/>
    </row>
    <row r="813">
      <c r="A813" s="64"/>
      <c r="B813" s="56"/>
      <c r="E813" s="56"/>
      <c r="G813" s="56"/>
    </row>
    <row r="814">
      <c r="A814" s="64"/>
      <c r="B814" s="56"/>
      <c r="E814" s="56"/>
      <c r="G814" s="56"/>
    </row>
    <row r="815">
      <c r="A815" s="64"/>
      <c r="B815" s="56"/>
      <c r="E815" s="56"/>
      <c r="G815" s="56"/>
    </row>
    <row r="816">
      <c r="A816" s="64"/>
      <c r="B816" s="56"/>
      <c r="E816" s="56"/>
      <c r="G816" s="56"/>
    </row>
    <row r="817">
      <c r="A817" s="64"/>
      <c r="B817" s="56"/>
      <c r="E817" s="56"/>
      <c r="G817" s="56"/>
    </row>
    <row r="818">
      <c r="A818" s="64"/>
      <c r="B818" s="56"/>
      <c r="E818" s="56"/>
      <c r="G818" s="56"/>
    </row>
    <row r="819">
      <c r="A819" s="64"/>
      <c r="B819" s="56"/>
      <c r="E819" s="56"/>
      <c r="G819" s="56"/>
    </row>
    <row r="820">
      <c r="A820" s="64"/>
      <c r="B820" s="56"/>
      <c r="E820" s="56"/>
      <c r="G820" s="56"/>
    </row>
    <row r="821">
      <c r="A821" s="64"/>
      <c r="B821" s="56"/>
      <c r="E821" s="56"/>
      <c r="G821" s="56"/>
    </row>
    <row r="822">
      <c r="A822" s="64"/>
      <c r="B822" s="56"/>
      <c r="E822" s="56"/>
      <c r="G822" s="56"/>
    </row>
    <row r="823">
      <c r="A823" s="64"/>
      <c r="B823" s="56"/>
      <c r="E823" s="56"/>
      <c r="G823" s="56"/>
    </row>
    <row r="824">
      <c r="A824" s="64"/>
      <c r="B824" s="56"/>
      <c r="E824" s="56"/>
      <c r="G824" s="56"/>
    </row>
    <row r="825">
      <c r="A825" s="64"/>
      <c r="B825" s="56"/>
      <c r="E825" s="56"/>
      <c r="G825" s="56"/>
    </row>
    <row r="826">
      <c r="A826" s="64"/>
      <c r="B826" s="56"/>
      <c r="E826" s="56"/>
      <c r="G826" s="56"/>
    </row>
    <row r="827">
      <c r="A827" s="64"/>
      <c r="B827" s="56"/>
      <c r="E827" s="56"/>
      <c r="G827" s="56"/>
    </row>
    <row r="828">
      <c r="A828" s="64"/>
      <c r="B828" s="56"/>
      <c r="E828" s="56"/>
      <c r="G828" s="56"/>
    </row>
    <row r="829">
      <c r="A829" s="64"/>
      <c r="B829" s="56"/>
      <c r="E829" s="56"/>
      <c r="G829" s="56"/>
    </row>
    <row r="830">
      <c r="A830" s="64"/>
      <c r="B830" s="56"/>
      <c r="E830" s="56"/>
      <c r="G830" s="56"/>
    </row>
    <row r="831">
      <c r="A831" s="64"/>
      <c r="B831" s="56"/>
      <c r="E831" s="56"/>
      <c r="G831" s="56"/>
    </row>
    <row r="832">
      <c r="A832" s="64"/>
      <c r="B832" s="56"/>
      <c r="E832" s="56"/>
      <c r="G832" s="56"/>
    </row>
    <row r="833">
      <c r="A833" s="64"/>
      <c r="B833" s="56"/>
      <c r="E833" s="56"/>
      <c r="G833" s="56"/>
    </row>
    <row r="834">
      <c r="A834" s="64"/>
      <c r="B834" s="56"/>
      <c r="E834" s="56"/>
      <c r="G834" s="56"/>
    </row>
    <row r="835">
      <c r="A835" s="64"/>
      <c r="B835" s="56"/>
      <c r="E835" s="56"/>
      <c r="G835" s="56"/>
    </row>
    <row r="836">
      <c r="A836" s="64"/>
      <c r="B836" s="56"/>
      <c r="E836" s="56"/>
      <c r="G836" s="56"/>
    </row>
    <row r="837">
      <c r="A837" s="64"/>
      <c r="B837" s="56"/>
      <c r="E837" s="56"/>
      <c r="G837" s="56"/>
    </row>
    <row r="838">
      <c r="A838" s="64"/>
      <c r="B838" s="56"/>
      <c r="E838" s="56"/>
      <c r="G838" s="56"/>
    </row>
    <row r="839">
      <c r="A839" s="64"/>
      <c r="B839" s="56"/>
      <c r="E839" s="56"/>
      <c r="G839" s="56"/>
    </row>
    <row r="840">
      <c r="A840" s="64"/>
      <c r="B840" s="56"/>
      <c r="E840" s="56"/>
      <c r="G840" s="56"/>
    </row>
    <row r="841">
      <c r="A841" s="64"/>
      <c r="B841" s="56"/>
      <c r="E841" s="56"/>
      <c r="G841" s="56"/>
    </row>
    <row r="842">
      <c r="A842" s="64"/>
      <c r="B842" s="56"/>
      <c r="E842" s="56"/>
      <c r="G842" s="56"/>
    </row>
    <row r="843">
      <c r="A843" s="64"/>
      <c r="B843" s="56"/>
      <c r="E843" s="56"/>
      <c r="G843" s="56"/>
    </row>
    <row r="844">
      <c r="A844" s="64"/>
      <c r="B844" s="56"/>
      <c r="E844" s="56"/>
      <c r="G844" s="56"/>
    </row>
    <row r="845">
      <c r="A845" s="64"/>
      <c r="B845" s="56"/>
      <c r="E845" s="56"/>
      <c r="G845" s="56"/>
    </row>
    <row r="846">
      <c r="A846" s="64"/>
      <c r="B846" s="56"/>
      <c r="E846" s="56"/>
      <c r="G846" s="56"/>
    </row>
    <row r="847">
      <c r="A847" s="64"/>
      <c r="B847" s="56"/>
      <c r="E847" s="56"/>
      <c r="G847" s="56"/>
    </row>
    <row r="848">
      <c r="A848" s="64"/>
      <c r="B848" s="56"/>
      <c r="E848" s="56"/>
      <c r="G848" s="56"/>
    </row>
    <row r="849">
      <c r="A849" s="64"/>
      <c r="B849" s="56"/>
      <c r="E849" s="56"/>
      <c r="G849" s="56"/>
    </row>
    <row r="850">
      <c r="A850" s="64"/>
      <c r="B850" s="56"/>
      <c r="E850" s="56"/>
      <c r="G850" s="56"/>
    </row>
    <row r="851">
      <c r="A851" s="64"/>
      <c r="B851" s="56"/>
      <c r="E851" s="56"/>
      <c r="G851" s="56"/>
    </row>
    <row r="852">
      <c r="A852" s="64"/>
      <c r="B852" s="56"/>
      <c r="E852" s="56"/>
      <c r="G852" s="56"/>
    </row>
    <row r="853">
      <c r="A853" s="64"/>
      <c r="B853" s="56"/>
      <c r="E853" s="56"/>
      <c r="G853" s="56"/>
    </row>
    <row r="854">
      <c r="A854" s="64"/>
      <c r="B854" s="56"/>
      <c r="E854" s="56"/>
      <c r="G854" s="56"/>
    </row>
    <row r="855">
      <c r="A855" s="64"/>
      <c r="B855" s="56"/>
      <c r="E855" s="56"/>
      <c r="G855" s="56"/>
    </row>
    <row r="856">
      <c r="A856" s="64"/>
      <c r="B856" s="56"/>
      <c r="E856" s="56"/>
      <c r="G856" s="56"/>
    </row>
    <row r="857">
      <c r="A857" s="64"/>
      <c r="B857" s="56"/>
      <c r="E857" s="56"/>
      <c r="G857" s="56"/>
    </row>
    <row r="858">
      <c r="A858" s="64"/>
      <c r="B858" s="56"/>
      <c r="E858" s="56"/>
      <c r="G858" s="56"/>
    </row>
    <row r="859">
      <c r="A859" s="64"/>
      <c r="B859" s="56"/>
      <c r="E859" s="56"/>
      <c r="G859" s="56"/>
    </row>
    <row r="860">
      <c r="A860" s="64"/>
      <c r="B860" s="56"/>
      <c r="E860" s="56"/>
      <c r="G860" s="56"/>
    </row>
    <row r="861">
      <c r="A861" s="64"/>
      <c r="B861" s="56"/>
      <c r="E861" s="56"/>
      <c r="G861" s="56"/>
    </row>
    <row r="862">
      <c r="A862" s="64"/>
      <c r="B862" s="56"/>
      <c r="E862" s="56"/>
      <c r="G862" s="56"/>
    </row>
    <row r="863">
      <c r="A863" s="64"/>
      <c r="B863" s="56"/>
      <c r="E863" s="56"/>
      <c r="G863" s="56"/>
    </row>
    <row r="864">
      <c r="A864" s="64"/>
      <c r="B864" s="56"/>
      <c r="E864" s="56"/>
      <c r="G864" s="56"/>
    </row>
    <row r="865">
      <c r="A865" s="64"/>
      <c r="B865" s="56"/>
      <c r="E865" s="56"/>
      <c r="G865" s="56"/>
    </row>
    <row r="866">
      <c r="A866" s="64"/>
      <c r="B866" s="56"/>
      <c r="E866" s="56"/>
      <c r="G866" s="56"/>
    </row>
    <row r="867">
      <c r="A867" s="64"/>
      <c r="B867" s="56"/>
      <c r="E867" s="56"/>
      <c r="G867" s="56"/>
    </row>
    <row r="868">
      <c r="A868" s="64"/>
      <c r="B868" s="56"/>
      <c r="E868" s="56"/>
      <c r="G868" s="56"/>
    </row>
    <row r="869">
      <c r="A869" s="64"/>
      <c r="B869" s="56"/>
      <c r="E869" s="56"/>
      <c r="G869" s="56"/>
    </row>
    <row r="870">
      <c r="A870" s="64"/>
      <c r="B870" s="56"/>
      <c r="E870" s="56"/>
      <c r="G870" s="56"/>
    </row>
    <row r="871">
      <c r="A871" s="64"/>
      <c r="B871" s="56"/>
      <c r="E871" s="56"/>
      <c r="G871" s="56"/>
    </row>
    <row r="872">
      <c r="A872" s="64"/>
      <c r="B872" s="56"/>
      <c r="E872" s="56"/>
      <c r="G872" s="56"/>
    </row>
    <row r="873">
      <c r="A873" s="64"/>
      <c r="B873" s="56"/>
      <c r="E873" s="56"/>
      <c r="G873" s="56"/>
    </row>
    <row r="874">
      <c r="A874" s="64"/>
      <c r="B874" s="56"/>
      <c r="E874" s="56"/>
      <c r="G874" s="56"/>
    </row>
    <row r="875">
      <c r="A875" s="64"/>
      <c r="B875" s="56"/>
      <c r="E875" s="56"/>
      <c r="G875" s="56"/>
    </row>
    <row r="876">
      <c r="A876" s="64"/>
      <c r="B876" s="56"/>
      <c r="E876" s="56"/>
      <c r="G876" s="56"/>
    </row>
    <row r="877">
      <c r="A877" s="64"/>
      <c r="B877" s="56"/>
      <c r="E877" s="56"/>
      <c r="G877" s="56"/>
    </row>
    <row r="878">
      <c r="A878" s="64"/>
      <c r="B878" s="56"/>
      <c r="E878" s="56"/>
      <c r="G878" s="56"/>
    </row>
    <row r="879">
      <c r="A879" s="64"/>
      <c r="B879" s="56"/>
      <c r="E879" s="56"/>
      <c r="G879" s="56"/>
    </row>
    <row r="880">
      <c r="A880" s="64"/>
      <c r="B880" s="56"/>
      <c r="E880" s="56"/>
      <c r="G880" s="56"/>
    </row>
    <row r="881">
      <c r="A881" s="64"/>
      <c r="B881" s="56"/>
      <c r="E881" s="56"/>
      <c r="G881" s="56"/>
    </row>
    <row r="882">
      <c r="A882" s="64"/>
      <c r="B882" s="56"/>
      <c r="E882" s="56"/>
      <c r="G882" s="56"/>
    </row>
    <row r="883">
      <c r="A883" s="64"/>
      <c r="B883" s="56"/>
      <c r="E883" s="56"/>
      <c r="G883" s="56"/>
    </row>
    <row r="884">
      <c r="A884" s="64"/>
      <c r="B884" s="56"/>
      <c r="E884" s="56"/>
      <c r="G884" s="56"/>
    </row>
    <row r="885">
      <c r="A885" s="64"/>
      <c r="B885" s="56"/>
      <c r="E885" s="56"/>
      <c r="G885" s="56"/>
    </row>
    <row r="886">
      <c r="A886" s="64"/>
      <c r="B886" s="56"/>
      <c r="E886" s="56"/>
      <c r="G886" s="56"/>
    </row>
    <row r="887">
      <c r="A887" s="64"/>
      <c r="B887" s="56"/>
      <c r="E887" s="56"/>
      <c r="G887" s="56"/>
    </row>
    <row r="888">
      <c r="A888" s="64"/>
      <c r="B888" s="56"/>
      <c r="E888" s="56"/>
      <c r="G888" s="56"/>
    </row>
    <row r="889">
      <c r="A889" s="64"/>
      <c r="B889" s="56"/>
      <c r="E889" s="56"/>
      <c r="G889" s="56"/>
    </row>
    <row r="890">
      <c r="A890" s="64"/>
      <c r="B890" s="56"/>
      <c r="E890" s="56"/>
      <c r="G890" s="56"/>
    </row>
    <row r="891">
      <c r="A891" s="64"/>
      <c r="B891" s="56"/>
      <c r="E891" s="56"/>
      <c r="G891" s="56"/>
    </row>
    <row r="892">
      <c r="A892" s="64"/>
      <c r="B892" s="56"/>
      <c r="E892" s="56"/>
      <c r="G892" s="56"/>
    </row>
    <row r="893">
      <c r="A893" s="64"/>
      <c r="B893" s="56"/>
      <c r="E893" s="56"/>
      <c r="G893" s="56"/>
    </row>
    <row r="894">
      <c r="A894" s="64"/>
      <c r="B894" s="56"/>
      <c r="E894" s="56"/>
      <c r="G894" s="56"/>
    </row>
    <row r="895">
      <c r="A895" s="64"/>
      <c r="B895" s="56"/>
      <c r="E895" s="56"/>
      <c r="G895" s="56"/>
    </row>
    <row r="896">
      <c r="A896" s="64"/>
      <c r="B896" s="56"/>
      <c r="E896" s="56"/>
      <c r="G896" s="56"/>
    </row>
    <row r="897">
      <c r="A897" s="64"/>
      <c r="B897" s="56"/>
      <c r="E897" s="56"/>
      <c r="G897" s="56"/>
    </row>
    <row r="898">
      <c r="A898" s="64"/>
      <c r="B898" s="56"/>
      <c r="E898" s="56"/>
      <c r="G898" s="56"/>
    </row>
    <row r="899">
      <c r="A899" s="64"/>
      <c r="B899" s="56"/>
      <c r="E899" s="56"/>
      <c r="G899" s="56"/>
    </row>
    <row r="900">
      <c r="A900" s="64"/>
      <c r="B900" s="56"/>
      <c r="E900" s="56"/>
      <c r="G900" s="56"/>
    </row>
    <row r="901">
      <c r="A901" s="64"/>
      <c r="B901" s="56"/>
      <c r="E901" s="56"/>
      <c r="G901" s="56"/>
    </row>
    <row r="902">
      <c r="A902" s="64"/>
      <c r="B902" s="56"/>
      <c r="E902" s="56"/>
      <c r="G902" s="56"/>
    </row>
    <row r="903">
      <c r="A903" s="64"/>
      <c r="B903" s="56"/>
      <c r="E903" s="56"/>
      <c r="G903" s="56"/>
    </row>
    <row r="904">
      <c r="A904" s="64"/>
      <c r="B904" s="56"/>
      <c r="E904" s="56"/>
      <c r="G904" s="56"/>
    </row>
    <row r="905">
      <c r="A905" s="64"/>
      <c r="B905" s="56"/>
      <c r="E905" s="56"/>
      <c r="G905" s="56"/>
    </row>
    <row r="906">
      <c r="A906" s="64"/>
      <c r="B906" s="56"/>
      <c r="E906" s="56"/>
      <c r="G906" s="56"/>
    </row>
    <row r="907">
      <c r="A907" s="64"/>
      <c r="B907" s="56"/>
      <c r="E907" s="56"/>
      <c r="G907" s="56"/>
    </row>
    <row r="908">
      <c r="A908" s="64"/>
      <c r="B908" s="56"/>
      <c r="E908" s="56"/>
      <c r="G908" s="56"/>
    </row>
    <row r="909">
      <c r="A909" s="64"/>
      <c r="B909" s="56"/>
      <c r="E909" s="56"/>
      <c r="G909" s="56"/>
    </row>
    <row r="910">
      <c r="A910" s="64"/>
      <c r="B910" s="56"/>
      <c r="E910" s="56"/>
      <c r="G910" s="56"/>
    </row>
    <row r="911">
      <c r="A911" s="64"/>
      <c r="B911" s="56"/>
      <c r="E911" s="56"/>
      <c r="G911" s="56"/>
    </row>
    <row r="912">
      <c r="A912" s="64"/>
      <c r="B912" s="56"/>
      <c r="E912" s="56"/>
      <c r="G912" s="56"/>
    </row>
    <row r="913">
      <c r="A913" s="64"/>
      <c r="B913" s="56"/>
      <c r="E913" s="56"/>
      <c r="G913" s="56"/>
    </row>
    <row r="914">
      <c r="A914" s="64"/>
      <c r="B914" s="56"/>
      <c r="E914" s="56"/>
      <c r="G914" s="56"/>
    </row>
    <row r="915">
      <c r="A915" s="64"/>
      <c r="B915" s="56"/>
      <c r="E915" s="56"/>
      <c r="G915" s="56"/>
    </row>
    <row r="916">
      <c r="A916" s="64"/>
      <c r="B916" s="56"/>
      <c r="E916" s="56"/>
      <c r="G916" s="56"/>
    </row>
    <row r="917">
      <c r="A917" s="64"/>
      <c r="B917" s="56"/>
      <c r="E917" s="56"/>
      <c r="G917" s="56"/>
    </row>
    <row r="918">
      <c r="A918" s="64"/>
      <c r="B918" s="56"/>
      <c r="E918" s="56"/>
      <c r="G918" s="56"/>
    </row>
    <row r="919">
      <c r="A919" s="64"/>
      <c r="B919" s="56"/>
      <c r="E919" s="56"/>
      <c r="G919" s="56"/>
    </row>
    <row r="920">
      <c r="A920" s="64"/>
      <c r="B920" s="56"/>
      <c r="E920" s="56"/>
      <c r="G920" s="56"/>
    </row>
    <row r="921">
      <c r="A921" s="64"/>
      <c r="B921" s="56"/>
      <c r="E921" s="56"/>
      <c r="G921" s="56"/>
    </row>
    <row r="922">
      <c r="A922" s="64"/>
      <c r="B922" s="56"/>
      <c r="E922" s="56"/>
      <c r="G922" s="56"/>
    </row>
    <row r="923">
      <c r="A923" s="64"/>
      <c r="B923" s="56"/>
      <c r="E923" s="56"/>
      <c r="G923" s="56"/>
    </row>
    <row r="924">
      <c r="A924" s="64"/>
      <c r="B924" s="56"/>
      <c r="E924" s="56"/>
      <c r="G924" s="56"/>
    </row>
    <row r="925">
      <c r="A925" s="64"/>
      <c r="B925" s="56"/>
      <c r="E925" s="56"/>
      <c r="G925" s="56"/>
    </row>
    <row r="926">
      <c r="A926" s="64"/>
      <c r="B926" s="56"/>
      <c r="E926" s="56"/>
      <c r="G926" s="56"/>
    </row>
    <row r="927">
      <c r="A927" s="64"/>
      <c r="B927" s="56"/>
      <c r="E927" s="56"/>
      <c r="G927" s="56"/>
    </row>
    <row r="928">
      <c r="A928" s="64"/>
      <c r="B928" s="56"/>
      <c r="E928" s="56"/>
      <c r="G928" s="56"/>
    </row>
    <row r="929">
      <c r="A929" s="64"/>
      <c r="B929" s="56"/>
      <c r="E929" s="56"/>
      <c r="G929" s="56"/>
    </row>
    <row r="930">
      <c r="A930" s="64"/>
      <c r="B930" s="56"/>
      <c r="E930" s="56"/>
      <c r="G930" s="56"/>
    </row>
    <row r="931">
      <c r="A931" s="64"/>
      <c r="B931" s="56"/>
      <c r="E931" s="56"/>
      <c r="G931" s="56"/>
    </row>
    <row r="932">
      <c r="A932" s="64"/>
      <c r="B932" s="56"/>
      <c r="E932" s="56"/>
      <c r="G932" s="56"/>
    </row>
    <row r="933">
      <c r="A933" s="64"/>
      <c r="B933" s="56"/>
      <c r="E933" s="56"/>
      <c r="G933" s="56"/>
    </row>
    <row r="934">
      <c r="A934" s="64"/>
      <c r="B934" s="56"/>
      <c r="E934" s="56"/>
      <c r="G934" s="56"/>
    </row>
    <row r="935">
      <c r="A935" s="64"/>
      <c r="B935" s="56"/>
      <c r="E935" s="56"/>
      <c r="G935" s="56"/>
    </row>
    <row r="936">
      <c r="A936" s="64"/>
      <c r="B936" s="56"/>
      <c r="E936" s="56"/>
      <c r="G936" s="56"/>
    </row>
    <row r="937">
      <c r="A937" s="64"/>
      <c r="B937" s="56"/>
      <c r="E937" s="56"/>
      <c r="G937" s="56"/>
    </row>
    <row r="938">
      <c r="A938" s="64"/>
      <c r="B938" s="56"/>
      <c r="E938" s="56"/>
      <c r="G938" s="56"/>
    </row>
    <row r="939">
      <c r="A939" s="64"/>
      <c r="B939" s="56"/>
      <c r="E939" s="56"/>
      <c r="G939" s="56"/>
    </row>
    <row r="940">
      <c r="A940" s="64"/>
      <c r="B940" s="56"/>
      <c r="E940" s="56"/>
      <c r="G940" s="56"/>
    </row>
    <row r="941">
      <c r="A941" s="64"/>
      <c r="B941" s="56"/>
      <c r="E941" s="56"/>
      <c r="G941" s="56"/>
    </row>
    <row r="942">
      <c r="A942" s="64"/>
      <c r="B942" s="56"/>
      <c r="E942" s="56"/>
      <c r="G942" s="56"/>
    </row>
    <row r="943">
      <c r="A943" s="64"/>
      <c r="B943" s="56"/>
      <c r="E943" s="56"/>
      <c r="G943" s="56"/>
    </row>
    <row r="944">
      <c r="A944" s="64"/>
      <c r="B944" s="56"/>
      <c r="E944" s="56"/>
      <c r="G944" s="56"/>
    </row>
    <row r="945">
      <c r="A945" s="64"/>
      <c r="B945" s="56"/>
      <c r="E945" s="56"/>
      <c r="G945" s="56"/>
    </row>
    <row r="946">
      <c r="A946" s="64"/>
      <c r="B946" s="56"/>
      <c r="E946" s="56"/>
      <c r="G946" s="56"/>
    </row>
    <row r="947">
      <c r="A947" s="64"/>
      <c r="B947" s="56"/>
      <c r="E947" s="56"/>
      <c r="G947" s="56"/>
    </row>
    <row r="948">
      <c r="A948" s="64"/>
      <c r="B948" s="56"/>
      <c r="E948" s="56"/>
      <c r="G948" s="56"/>
    </row>
    <row r="949">
      <c r="A949" s="64"/>
      <c r="B949" s="56"/>
      <c r="E949" s="56"/>
      <c r="G949" s="56"/>
    </row>
    <row r="950">
      <c r="A950" s="64"/>
      <c r="B950" s="56"/>
      <c r="E950" s="56"/>
      <c r="G950" s="56"/>
    </row>
    <row r="951">
      <c r="A951" s="64"/>
      <c r="B951" s="56"/>
      <c r="E951" s="56"/>
      <c r="G951" s="56"/>
    </row>
    <row r="952">
      <c r="A952" s="64"/>
      <c r="B952" s="56"/>
      <c r="E952" s="56"/>
      <c r="G952" s="56"/>
    </row>
    <row r="953">
      <c r="A953" s="64"/>
      <c r="B953" s="56"/>
      <c r="E953" s="56"/>
      <c r="G953" s="56"/>
    </row>
    <row r="954">
      <c r="A954" s="64"/>
      <c r="B954" s="56"/>
      <c r="E954" s="56"/>
      <c r="G954" s="56"/>
    </row>
    <row r="955">
      <c r="A955" s="64"/>
      <c r="B955" s="56"/>
      <c r="E955" s="56"/>
      <c r="G955" s="56"/>
    </row>
    <row r="956">
      <c r="A956" s="64"/>
      <c r="B956" s="56"/>
      <c r="E956" s="56"/>
      <c r="G956" s="56"/>
    </row>
    <row r="957">
      <c r="A957" s="64"/>
      <c r="B957" s="56"/>
      <c r="E957" s="56"/>
      <c r="G957" s="56"/>
    </row>
    <row r="958">
      <c r="A958" s="64"/>
      <c r="B958" s="56"/>
      <c r="E958" s="56"/>
      <c r="G958" s="56"/>
    </row>
    <row r="959">
      <c r="A959" s="64"/>
      <c r="B959" s="56"/>
      <c r="E959" s="56"/>
      <c r="G959" s="56"/>
    </row>
    <row r="960">
      <c r="A960" s="64"/>
      <c r="B960" s="56"/>
      <c r="E960" s="56"/>
      <c r="G960" s="56"/>
    </row>
    <row r="961">
      <c r="A961" s="64"/>
      <c r="B961" s="56"/>
      <c r="E961" s="56"/>
      <c r="G961" s="56"/>
    </row>
    <row r="962">
      <c r="A962" s="64"/>
      <c r="B962" s="56"/>
      <c r="E962" s="56"/>
      <c r="G962" s="56"/>
    </row>
    <row r="963">
      <c r="A963" s="64"/>
      <c r="B963" s="56"/>
      <c r="E963" s="56"/>
      <c r="G963" s="56"/>
    </row>
    <row r="964">
      <c r="A964" s="64"/>
      <c r="B964" s="56"/>
      <c r="E964" s="56"/>
      <c r="G964" s="56"/>
    </row>
    <row r="965">
      <c r="A965" s="64"/>
      <c r="B965" s="56"/>
      <c r="E965" s="56"/>
      <c r="G965" s="56"/>
    </row>
    <row r="966">
      <c r="A966" s="64"/>
      <c r="B966" s="56"/>
      <c r="E966" s="56"/>
      <c r="G966" s="56"/>
    </row>
    <row r="967">
      <c r="A967" s="64"/>
      <c r="B967" s="56"/>
      <c r="E967" s="56"/>
      <c r="G967" s="56"/>
    </row>
    <row r="968">
      <c r="A968" s="64"/>
      <c r="B968" s="56"/>
      <c r="E968" s="56"/>
      <c r="G968" s="56"/>
    </row>
    <row r="969">
      <c r="A969" s="64"/>
      <c r="B969" s="56"/>
      <c r="E969" s="56"/>
      <c r="G969" s="56"/>
    </row>
    <row r="970">
      <c r="A970" s="64"/>
      <c r="B970" s="56"/>
      <c r="E970" s="56"/>
      <c r="G970" s="56"/>
    </row>
    <row r="971">
      <c r="A971" s="64"/>
      <c r="B971" s="56"/>
      <c r="E971" s="56"/>
      <c r="G971" s="56"/>
    </row>
    <row r="972">
      <c r="A972" s="64"/>
      <c r="B972" s="56"/>
      <c r="E972" s="56"/>
      <c r="G972" s="56"/>
    </row>
    <row r="973">
      <c r="A973" s="64"/>
      <c r="B973" s="56"/>
      <c r="E973" s="56"/>
      <c r="G973" s="56"/>
    </row>
    <row r="974">
      <c r="A974" s="64"/>
      <c r="B974" s="56"/>
      <c r="E974" s="56"/>
      <c r="G974" s="56"/>
    </row>
    <row r="975">
      <c r="A975" s="64"/>
      <c r="B975" s="56"/>
      <c r="E975" s="56"/>
      <c r="G975" s="56"/>
    </row>
    <row r="976">
      <c r="A976" s="64"/>
      <c r="B976" s="56"/>
      <c r="E976" s="56"/>
      <c r="G976" s="56"/>
    </row>
    <row r="977">
      <c r="A977" s="64"/>
      <c r="B977" s="56"/>
      <c r="E977" s="56"/>
      <c r="G977" s="56"/>
    </row>
    <row r="978">
      <c r="A978" s="64"/>
      <c r="B978" s="56"/>
      <c r="E978" s="56"/>
      <c r="G978" s="56"/>
    </row>
    <row r="979">
      <c r="A979" s="64"/>
      <c r="B979" s="56"/>
      <c r="E979" s="56"/>
      <c r="G979" s="56"/>
    </row>
    <row r="980">
      <c r="A980" s="64"/>
      <c r="B980" s="56"/>
      <c r="E980" s="56"/>
      <c r="G980" s="56"/>
    </row>
    <row r="981">
      <c r="A981" s="64"/>
      <c r="B981" s="56"/>
      <c r="E981" s="56"/>
      <c r="G981" s="56"/>
    </row>
    <row r="982">
      <c r="A982" s="64"/>
      <c r="B982" s="56"/>
      <c r="E982" s="56"/>
      <c r="G982" s="56"/>
    </row>
    <row r="983">
      <c r="A983" s="64"/>
      <c r="B983" s="56"/>
      <c r="E983" s="56"/>
      <c r="G983" s="56"/>
    </row>
    <row r="984">
      <c r="A984" s="64"/>
      <c r="B984" s="56"/>
      <c r="E984" s="56"/>
      <c r="G984" s="56"/>
    </row>
    <row r="985">
      <c r="A985" s="64"/>
      <c r="B985" s="56"/>
      <c r="E985" s="56"/>
      <c r="G985" s="56"/>
    </row>
    <row r="986">
      <c r="A986" s="64"/>
      <c r="B986" s="56"/>
      <c r="E986" s="56"/>
      <c r="G986" s="56"/>
    </row>
    <row r="987">
      <c r="A987" s="64"/>
      <c r="B987" s="56"/>
      <c r="E987" s="56"/>
      <c r="G987" s="56"/>
    </row>
    <row r="988">
      <c r="A988" s="64"/>
      <c r="B988" s="56"/>
      <c r="E988" s="56"/>
      <c r="G988" s="56"/>
    </row>
    <row r="989">
      <c r="A989" s="64"/>
      <c r="B989" s="56"/>
      <c r="E989" s="56"/>
      <c r="G989" s="56"/>
    </row>
    <row r="990">
      <c r="A990" s="64"/>
      <c r="B990" s="56"/>
      <c r="E990" s="56"/>
      <c r="G990" s="56"/>
    </row>
    <row r="991">
      <c r="A991" s="64"/>
      <c r="B991" s="56"/>
      <c r="E991" s="56"/>
      <c r="G991" s="56"/>
    </row>
    <row r="992">
      <c r="A992" s="64"/>
      <c r="B992" s="56"/>
      <c r="E992" s="56"/>
      <c r="G992" s="56"/>
    </row>
    <row r="993">
      <c r="A993" s="64"/>
      <c r="B993" s="56"/>
      <c r="E993" s="56"/>
      <c r="G993" s="56"/>
    </row>
    <row r="994">
      <c r="A994" s="64"/>
      <c r="B994" s="56"/>
      <c r="E994" s="56"/>
      <c r="G994" s="56"/>
    </row>
    <row r="995">
      <c r="A995" s="64"/>
      <c r="B995" s="56"/>
      <c r="E995" s="56"/>
      <c r="G995" s="56"/>
    </row>
    <row r="996">
      <c r="A996" s="64"/>
      <c r="B996" s="56"/>
      <c r="E996" s="56"/>
      <c r="G996" s="56"/>
    </row>
    <row r="997">
      <c r="A997" s="64"/>
      <c r="B997" s="56"/>
      <c r="E997" s="56"/>
      <c r="G997" s="56"/>
    </row>
    <row r="998">
      <c r="A998" s="64"/>
      <c r="B998" s="56"/>
      <c r="E998" s="56"/>
      <c r="G998" s="56"/>
    </row>
    <row r="999">
      <c r="A999" s="64"/>
      <c r="B999" s="56"/>
      <c r="E999" s="56"/>
      <c r="G999" s="56"/>
    </row>
    <row r="1000">
      <c r="A1000" s="64"/>
      <c r="B1000" s="56"/>
      <c r="E1000" s="56"/>
      <c r="G1000" s="56"/>
    </row>
    <row r="1001">
      <c r="A1001" s="64"/>
      <c r="B1001" s="56"/>
      <c r="E1001" s="56"/>
      <c r="G1001" s="56"/>
    </row>
    <row r="1002">
      <c r="A1002" s="64"/>
      <c r="B1002" s="56"/>
      <c r="E1002" s="56"/>
      <c r="G1002" s="56"/>
    </row>
    <row r="1003">
      <c r="A1003" s="64"/>
      <c r="B1003" s="56"/>
      <c r="E1003" s="56"/>
      <c r="G1003" s="56"/>
    </row>
    <row r="1004">
      <c r="A1004" s="64"/>
      <c r="B1004" s="56"/>
      <c r="E1004" s="56"/>
      <c r="G1004" s="56"/>
    </row>
    <row r="1005">
      <c r="A1005" s="64"/>
      <c r="B1005" s="56"/>
      <c r="E1005" s="56"/>
      <c r="G1005" s="56"/>
    </row>
    <row r="1006">
      <c r="A1006" s="64"/>
      <c r="B1006" s="56"/>
      <c r="E1006" s="56"/>
      <c r="G1006" s="56"/>
    </row>
    <row r="1007">
      <c r="A1007" s="64"/>
      <c r="B1007" s="56"/>
      <c r="E1007" s="56"/>
      <c r="G1007" s="56"/>
    </row>
    <row r="1008">
      <c r="A1008" s="64"/>
      <c r="B1008" s="56"/>
      <c r="E1008" s="56"/>
      <c r="G1008" s="56"/>
    </row>
    <row r="1009">
      <c r="A1009" s="64"/>
      <c r="B1009" s="56"/>
      <c r="E1009" s="56"/>
      <c r="G1009" s="56"/>
    </row>
    <row r="1010">
      <c r="A1010" s="64"/>
      <c r="B1010" s="56"/>
      <c r="E1010" s="56"/>
      <c r="G1010" s="56"/>
    </row>
    <row r="1011">
      <c r="A1011" s="64"/>
      <c r="B1011" s="56"/>
      <c r="E1011" s="56"/>
      <c r="G1011" s="56"/>
    </row>
    <row r="1012">
      <c r="A1012" s="64"/>
      <c r="B1012" s="56"/>
      <c r="E1012" s="56"/>
      <c r="G1012" s="56"/>
    </row>
    <row r="1013">
      <c r="A1013" s="64"/>
      <c r="B1013" s="56"/>
      <c r="E1013" s="56"/>
      <c r="G1013" s="56"/>
    </row>
    <row r="1014">
      <c r="A1014" s="64"/>
      <c r="B1014" s="56"/>
      <c r="E1014" s="56"/>
      <c r="G1014" s="56"/>
    </row>
    <row r="1015">
      <c r="A1015" s="64"/>
      <c r="B1015" s="56"/>
      <c r="E1015" s="56"/>
      <c r="G1015" s="56"/>
    </row>
    <row r="1016">
      <c r="A1016" s="64"/>
      <c r="B1016" s="56"/>
      <c r="E1016" s="56"/>
      <c r="G1016" s="56"/>
    </row>
    <row r="1017">
      <c r="A1017" s="64"/>
      <c r="B1017" s="56"/>
      <c r="E1017" s="56"/>
      <c r="G1017" s="56"/>
    </row>
    <row r="1018">
      <c r="A1018" s="64"/>
      <c r="B1018" s="56"/>
      <c r="E1018" s="56"/>
      <c r="G1018" s="56"/>
    </row>
  </sheetData>
  <mergeCells count="3">
    <mergeCell ref="C2:D2"/>
    <mergeCell ref="E2:F2"/>
    <mergeCell ref="G2:H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</cols>
  <sheetData>
    <row r="1">
      <c r="A1" s="4" t="s">
        <v>126</v>
      </c>
      <c r="B1" s="4" t="s">
        <v>127</v>
      </c>
      <c r="C1" s="4" t="s">
        <v>128</v>
      </c>
    </row>
    <row r="2">
      <c r="A2" s="4" t="s">
        <v>129</v>
      </c>
      <c r="B2" s="4" t="s">
        <v>61</v>
      </c>
      <c r="C2" s="4">
        <v>0.631787462260468</v>
      </c>
    </row>
    <row r="3">
      <c r="A3" s="4" t="s">
        <v>130</v>
      </c>
      <c r="B3" s="4" t="s">
        <v>61</v>
      </c>
      <c r="C3" s="4">
        <v>0.632355163340107</v>
      </c>
    </row>
    <row r="4">
      <c r="A4" s="4" t="s">
        <v>131</v>
      </c>
      <c r="B4" s="4" t="s">
        <v>61</v>
      </c>
      <c r="C4" s="4">
        <v>0.623665130624197</v>
      </c>
    </row>
    <row r="5">
      <c r="A5" s="4" t="s">
        <v>132</v>
      </c>
      <c r="B5" s="4" t="s">
        <v>61</v>
      </c>
      <c r="C5" s="4">
        <v>0.632205916810062</v>
      </c>
    </row>
    <row r="6">
      <c r="A6" s="4" t="s">
        <v>133</v>
      </c>
      <c r="B6" s="4" t="s">
        <v>61</v>
      </c>
      <c r="C6" s="4">
        <v>0.619132771075762</v>
      </c>
    </row>
    <row r="7">
      <c r="A7" s="4" t="s">
        <v>134</v>
      </c>
      <c r="B7" s="4" t="s">
        <v>61</v>
      </c>
      <c r="C7" s="4">
        <v>0.633863956317775</v>
      </c>
    </row>
    <row r="8">
      <c r="A8" s="4" t="s">
        <v>135</v>
      </c>
      <c r="B8" s="4" t="s">
        <v>61</v>
      </c>
      <c r="C8" s="4">
        <v>0.621040280030557</v>
      </c>
    </row>
    <row r="9">
      <c r="A9" s="4" t="s">
        <v>136</v>
      </c>
      <c r="B9" s="4" t="s">
        <v>61</v>
      </c>
      <c r="C9" s="4">
        <v>0.599118413697072</v>
      </c>
    </row>
    <row r="10">
      <c r="A10" s="4" t="s">
        <v>137</v>
      </c>
      <c r="B10" s="4" t="s">
        <v>61</v>
      </c>
      <c r="C10" s="4">
        <v>0.624855407556112</v>
      </c>
    </row>
    <row r="11">
      <c r="A11" s="4" t="s">
        <v>138</v>
      </c>
      <c r="B11" s="4" t="s">
        <v>61</v>
      </c>
      <c r="C11" s="4">
        <v>0.640317661477475</v>
      </c>
    </row>
    <row r="12">
      <c r="A12" s="4" t="s">
        <v>139</v>
      </c>
      <c r="B12" s="4" t="s">
        <v>61</v>
      </c>
      <c r="C12" s="4">
        <v>0.626620634285161</v>
      </c>
    </row>
    <row r="13">
      <c r="A13" s="4" t="s">
        <v>140</v>
      </c>
      <c r="B13" s="4" t="s">
        <v>61</v>
      </c>
      <c r="C13" s="4">
        <v>0.611749663625608</v>
      </c>
    </row>
    <row r="14">
      <c r="A14" s="4" t="s">
        <v>141</v>
      </c>
      <c r="B14" s="4" t="s">
        <v>61</v>
      </c>
      <c r="C14" s="4">
        <v>0.637043794593181</v>
      </c>
    </row>
    <row r="15">
      <c r="A15" s="4" t="s">
        <v>142</v>
      </c>
      <c r="B15" s="4" t="s">
        <v>61</v>
      </c>
      <c r="C15" s="4">
        <v>0.63096464489449</v>
      </c>
    </row>
    <row r="16">
      <c r="A16" s="4" t="s">
        <v>143</v>
      </c>
      <c r="B16" s="4" t="s">
        <v>61</v>
      </c>
      <c r="C16" s="4">
        <v>0.64151186537621</v>
      </c>
    </row>
    <row r="17">
      <c r="A17" s="4" t="s">
        <v>144</v>
      </c>
      <c r="B17" s="4" t="s">
        <v>61</v>
      </c>
      <c r="C17" s="4">
        <v>0.608500522443986</v>
      </c>
    </row>
    <row r="18">
      <c r="A18" s="4" t="s">
        <v>145</v>
      </c>
      <c r="B18" s="4" t="s">
        <v>61</v>
      </c>
      <c r="C18" s="4">
        <v>0.592810008534732</v>
      </c>
    </row>
    <row r="19">
      <c r="A19" s="4" t="s">
        <v>146</v>
      </c>
      <c r="B19" s="4" t="s">
        <v>61</v>
      </c>
      <c r="C19" s="4">
        <v>0.611137434520519</v>
      </c>
    </row>
    <row r="20">
      <c r="A20" s="4" t="s">
        <v>147</v>
      </c>
      <c r="B20" s="4" t="s">
        <v>61</v>
      </c>
      <c r="C20" s="4">
        <v>0.634504615288617</v>
      </c>
    </row>
    <row r="21">
      <c r="A21" s="4" t="s">
        <v>148</v>
      </c>
      <c r="B21" s="4" t="s">
        <v>61</v>
      </c>
      <c r="C21" s="4">
        <v>0.615371009437579</v>
      </c>
    </row>
    <row r="22">
      <c r="A22" s="4" t="s">
        <v>149</v>
      </c>
      <c r="B22" s="4" t="s">
        <v>61</v>
      </c>
      <c r="C22" s="4">
        <v>0.639468108366998</v>
      </c>
    </row>
    <row r="23">
      <c r="A23" s="4" t="s">
        <v>150</v>
      </c>
      <c r="B23" s="4" t="s">
        <v>61</v>
      </c>
      <c r="C23" s="4">
        <v>0.638654812715595</v>
      </c>
    </row>
    <row r="24">
      <c r="A24" s="4" t="s">
        <v>151</v>
      </c>
      <c r="B24" s="4" t="s">
        <v>61</v>
      </c>
      <c r="C24" s="4">
        <v>0.621561027511779</v>
      </c>
    </row>
    <row r="25">
      <c r="A25" s="4" t="s">
        <v>152</v>
      </c>
      <c r="B25" s="4" t="s">
        <v>61</v>
      </c>
      <c r="C25" s="4">
        <v>0.639646077436995</v>
      </c>
    </row>
    <row r="26">
      <c r="A26" s="4" t="s">
        <v>153</v>
      </c>
      <c r="B26" s="4" t="s">
        <v>61</v>
      </c>
      <c r="C26" s="4">
        <v>0.546258468663482</v>
      </c>
    </row>
    <row r="27">
      <c r="A27" s="4" t="s">
        <v>154</v>
      </c>
      <c r="B27" s="4" t="s">
        <v>61</v>
      </c>
      <c r="C27" s="4">
        <v>0.457442229094388</v>
      </c>
    </row>
    <row r="28">
      <c r="A28" s="4" t="s">
        <v>155</v>
      </c>
      <c r="B28" s="4" t="s">
        <v>61</v>
      </c>
      <c r="C28" s="4">
        <v>0.420755678424062</v>
      </c>
    </row>
    <row r="29">
      <c r="A29" s="4" t="s">
        <v>156</v>
      </c>
      <c r="B29" s="4" t="s">
        <v>61</v>
      </c>
      <c r="C29" s="4">
        <v>0.50020370939895</v>
      </c>
    </row>
    <row r="30">
      <c r="A30" s="4" t="s">
        <v>157</v>
      </c>
      <c r="B30" s="4" t="s">
        <v>61</v>
      </c>
      <c r="C30" s="4">
        <v>0.505656304289516</v>
      </c>
    </row>
    <row r="31">
      <c r="A31" s="4" t="s">
        <v>158</v>
      </c>
      <c r="B31" s="4" t="s">
        <v>61</v>
      </c>
      <c r="C31" s="4">
        <v>0.574595032322791</v>
      </c>
    </row>
    <row r="32">
      <c r="A32" s="4" t="s">
        <v>159</v>
      </c>
      <c r="B32" s="4" t="s">
        <v>61</v>
      </c>
      <c r="C32" s="4">
        <v>0.506150051999198</v>
      </c>
    </row>
    <row r="33">
      <c r="A33" s="4" t="s">
        <v>160</v>
      </c>
      <c r="B33" s="4" t="s">
        <v>61</v>
      </c>
      <c r="C33" s="4">
        <v>0.475889580830867</v>
      </c>
    </row>
    <row r="34">
      <c r="A34" s="4" t="s">
        <v>161</v>
      </c>
      <c r="B34" s="4" t="s">
        <v>61</v>
      </c>
      <c r="C34" s="4">
        <v>0.537368496679701</v>
      </c>
    </row>
    <row r="35">
      <c r="A35" s="4" t="s">
        <v>162</v>
      </c>
      <c r="B35" s="4" t="s">
        <v>61</v>
      </c>
      <c r="C35" s="4">
        <v>0.545763744390765</v>
      </c>
    </row>
    <row r="36">
      <c r="A36" s="4" t="s">
        <v>163</v>
      </c>
      <c r="B36" s="4" t="s">
        <v>61</v>
      </c>
      <c r="C36" s="4">
        <v>0.484593915089339</v>
      </c>
    </row>
    <row r="37">
      <c r="A37" s="4" t="s">
        <v>164</v>
      </c>
      <c r="B37" s="4" t="s">
        <v>61</v>
      </c>
      <c r="C37" s="4">
        <v>0.448670629551751</v>
      </c>
    </row>
    <row r="38">
      <c r="A38" s="4" t="s">
        <v>165</v>
      </c>
      <c r="B38" s="4" t="s">
        <v>61</v>
      </c>
      <c r="C38" s="4">
        <v>0.525659575124815</v>
      </c>
    </row>
    <row r="39">
      <c r="A39" s="4" t="s">
        <v>166</v>
      </c>
      <c r="B39" s="4" t="s">
        <v>61</v>
      </c>
      <c r="C39" s="4">
        <v>0.504744781778472</v>
      </c>
    </row>
    <row r="40">
      <c r="A40" s="4" t="s">
        <v>167</v>
      </c>
      <c r="B40" s="4" t="s">
        <v>61</v>
      </c>
      <c r="C40" s="4">
        <v>0.566473395147322</v>
      </c>
    </row>
    <row r="41">
      <c r="A41" s="4" t="s">
        <v>168</v>
      </c>
      <c r="B41" s="4" t="s">
        <v>61</v>
      </c>
      <c r="C41" s="4">
        <v>0.524902705155418</v>
      </c>
    </row>
    <row r="42">
      <c r="A42" s="4" t="s">
        <v>169</v>
      </c>
      <c r="B42" s="4" t="s">
        <v>61</v>
      </c>
      <c r="C42" s="4">
        <v>0.484365260002208</v>
      </c>
    </row>
    <row r="43">
      <c r="A43" s="4" t="s">
        <v>170</v>
      </c>
      <c r="B43" s="4" t="s">
        <v>61</v>
      </c>
      <c r="C43" s="4">
        <v>0.558510124726803</v>
      </c>
    </row>
    <row r="44">
      <c r="A44" s="4" t="s">
        <v>171</v>
      </c>
      <c r="B44" s="4" t="s">
        <v>61</v>
      </c>
      <c r="C44" s="4">
        <v>0.551936514723647</v>
      </c>
    </row>
    <row r="45">
      <c r="A45" s="4" t="s">
        <v>172</v>
      </c>
      <c r="B45" s="4" t="s">
        <v>61</v>
      </c>
      <c r="C45" s="4">
        <v>0.524160111536237</v>
      </c>
    </row>
    <row r="46">
      <c r="A46" s="4" t="s">
        <v>173</v>
      </c>
      <c r="B46" s="4" t="s">
        <v>61</v>
      </c>
      <c r="C46" s="4">
        <v>0.56244898871882</v>
      </c>
    </row>
    <row r="47">
      <c r="A47" s="4" t="s">
        <v>174</v>
      </c>
      <c r="B47" s="4" t="s">
        <v>61</v>
      </c>
      <c r="C47" s="4">
        <v>0.572478446675392</v>
      </c>
    </row>
    <row r="48">
      <c r="A48" s="4" t="s">
        <v>175</v>
      </c>
      <c r="B48" s="4" t="s">
        <v>61</v>
      </c>
      <c r="C48" s="4">
        <v>0.54878835786238</v>
      </c>
    </row>
    <row r="49">
      <c r="A49" s="4" t="s">
        <v>176</v>
      </c>
      <c r="B49" s="4" t="s">
        <v>61</v>
      </c>
      <c r="C49" s="4">
        <v>0.589474431948378</v>
      </c>
    </row>
    <row r="50">
      <c r="A50" s="4" t="s">
        <v>177</v>
      </c>
      <c r="B50" s="4" t="s">
        <v>61</v>
      </c>
      <c r="C50" s="4">
        <v>0.586439666342686</v>
      </c>
    </row>
    <row r="51">
      <c r="A51" s="4" t="s">
        <v>178</v>
      </c>
      <c r="B51" s="4" t="s">
        <v>61</v>
      </c>
      <c r="C51" s="4">
        <v>0.535090217689681</v>
      </c>
    </row>
    <row r="52">
      <c r="A52" s="4" t="s">
        <v>179</v>
      </c>
      <c r="B52" s="4" t="s">
        <v>61</v>
      </c>
      <c r="C52" s="4">
        <v>0.529201648845143</v>
      </c>
    </row>
    <row r="53">
      <c r="A53" s="4" t="s">
        <v>180</v>
      </c>
      <c r="B53" s="4" t="s">
        <v>61</v>
      </c>
      <c r="C53" s="4">
        <v>0.53406959490258</v>
      </c>
    </row>
    <row r="54">
      <c r="A54" s="4" t="s">
        <v>181</v>
      </c>
      <c r="B54" s="4" t="s">
        <v>61</v>
      </c>
      <c r="C54" s="4">
        <v>0.575989677858439</v>
      </c>
    </row>
    <row r="55">
      <c r="A55" s="4" t="s">
        <v>182</v>
      </c>
      <c r="B55" s="4" t="s">
        <v>61</v>
      </c>
      <c r="C55" s="4">
        <v>0.587539094270107</v>
      </c>
    </row>
    <row r="56">
      <c r="A56" s="4" t="s">
        <v>183</v>
      </c>
      <c r="B56" s="4" t="s">
        <v>61</v>
      </c>
      <c r="C56" s="4">
        <v>0.57620875615112</v>
      </c>
    </row>
    <row r="57">
      <c r="A57" s="4" t="s">
        <v>184</v>
      </c>
      <c r="B57" s="4" t="s">
        <v>61</v>
      </c>
      <c r="C57" s="4">
        <v>0.565967515491866</v>
      </c>
    </row>
    <row r="58">
      <c r="A58" s="4" t="s">
        <v>185</v>
      </c>
      <c r="B58" s="4" t="s">
        <v>61</v>
      </c>
      <c r="C58" s="4">
        <v>0.577055105263409</v>
      </c>
    </row>
    <row r="59">
      <c r="A59" s="4" t="s">
        <v>186</v>
      </c>
      <c r="B59" s="4" t="s">
        <v>61</v>
      </c>
      <c r="C59" s="4">
        <v>0.613750839783722</v>
      </c>
    </row>
    <row r="60">
      <c r="A60" s="4" t="s">
        <v>187</v>
      </c>
      <c r="B60" s="4" t="s">
        <v>61</v>
      </c>
      <c r="C60" s="4">
        <v>0.274748595417237</v>
      </c>
    </row>
    <row r="61">
      <c r="A61" s="4" t="s">
        <v>188</v>
      </c>
      <c r="B61" s="4" t="s">
        <v>61</v>
      </c>
      <c r="C61" s="4">
        <v>0.308453277816885</v>
      </c>
    </row>
    <row r="62">
      <c r="A62" s="4" t="s">
        <v>189</v>
      </c>
      <c r="B62" s="4" t="s">
        <v>61</v>
      </c>
      <c r="C62" s="4">
        <v>0.275567673878061</v>
      </c>
    </row>
    <row r="63">
      <c r="A63" s="4" t="s">
        <v>190</v>
      </c>
      <c r="B63" s="4" t="s">
        <v>61</v>
      </c>
      <c r="C63" s="4">
        <v>0.603423837159287</v>
      </c>
    </row>
    <row r="64">
      <c r="A64" s="4" t="s">
        <v>191</v>
      </c>
      <c r="B64" s="4" t="s">
        <v>61</v>
      </c>
      <c r="C64" s="4">
        <v>0.613783712375261</v>
      </c>
    </row>
    <row r="65">
      <c r="A65" s="4" t="s">
        <v>192</v>
      </c>
      <c r="B65" s="4" t="s">
        <v>61</v>
      </c>
      <c r="C65" s="4">
        <v>0.583927636565709</v>
      </c>
    </row>
    <row r="66">
      <c r="A66" s="4" t="s">
        <v>193</v>
      </c>
      <c r="B66" s="4" t="s">
        <v>61</v>
      </c>
      <c r="C66" s="4">
        <v>0.575833883301639</v>
      </c>
    </row>
    <row r="67">
      <c r="A67" s="4" t="s">
        <v>194</v>
      </c>
      <c r="B67" s="4" t="s">
        <v>61</v>
      </c>
      <c r="C67" s="4">
        <v>0.582732347904307</v>
      </c>
    </row>
    <row r="68">
      <c r="A68" s="4" t="s">
        <v>195</v>
      </c>
      <c r="B68" s="4" t="s">
        <v>61</v>
      </c>
      <c r="C68" s="4">
        <v>0.612546907727468</v>
      </c>
    </row>
    <row r="69">
      <c r="A69" s="4" t="s">
        <v>196</v>
      </c>
      <c r="B69" s="4" t="s">
        <v>61</v>
      </c>
      <c r="C69" s="4">
        <v>0.608184915595477</v>
      </c>
    </row>
    <row r="70">
      <c r="A70" s="4" t="s">
        <v>197</v>
      </c>
      <c r="B70" s="4" t="s">
        <v>61</v>
      </c>
      <c r="C70" s="4">
        <v>0.614143324352865</v>
      </c>
    </row>
    <row r="71">
      <c r="A71" s="4" t="s">
        <v>198</v>
      </c>
      <c r="B71" s="4" t="s">
        <v>61</v>
      </c>
      <c r="C71" s="4">
        <v>0.624175131263906</v>
      </c>
    </row>
    <row r="72">
      <c r="A72" s="4" t="s">
        <v>199</v>
      </c>
      <c r="B72" s="4" t="s">
        <v>61</v>
      </c>
      <c r="C72" s="4">
        <v>0.62506442721654</v>
      </c>
    </row>
    <row r="73">
      <c r="A73" s="4" t="s">
        <v>200</v>
      </c>
      <c r="B73" s="4" t="s">
        <v>61</v>
      </c>
      <c r="C73" s="4">
        <v>0.626618245702897</v>
      </c>
    </row>
    <row r="74">
      <c r="A74" s="4" t="s">
        <v>201</v>
      </c>
      <c r="B74" s="4" t="s">
        <v>61</v>
      </c>
      <c r="C74" s="4">
        <v>0.284838731621514</v>
      </c>
    </row>
    <row r="75">
      <c r="A75" s="4" t="s">
        <v>202</v>
      </c>
      <c r="B75" s="4" t="s">
        <v>61</v>
      </c>
      <c r="C75" s="4">
        <v>0.220620940157727</v>
      </c>
    </row>
    <row r="76">
      <c r="A76" s="4" t="s">
        <v>203</v>
      </c>
      <c r="B76" s="4" t="s">
        <v>61</v>
      </c>
      <c r="C76" s="4">
        <v>0.276071165635297</v>
      </c>
    </row>
    <row r="77">
      <c r="A77" s="4" t="s">
        <v>204</v>
      </c>
      <c r="B77" s="4" t="s">
        <v>61</v>
      </c>
      <c r="C77" s="4">
        <v>0.205454448370073</v>
      </c>
    </row>
    <row r="78">
      <c r="A78" s="4" t="s">
        <v>205</v>
      </c>
      <c r="B78" s="4" t="s">
        <v>61</v>
      </c>
      <c r="C78" s="4">
        <v>0.321366270176905</v>
      </c>
    </row>
    <row r="79">
      <c r="A79" s="4" t="s">
        <v>206</v>
      </c>
      <c r="B79" s="4" t="s">
        <v>61</v>
      </c>
      <c r="C79" s="4">
        <v>0.289452980117563</v>
      </c>
    </row>
    <row r="80">
      <c r="A80" s="4" t="s">
        <v>207</v>
      </c>
      <c r="B80" s="4" t="s">
        <v>61</v>
      </c>
      <c r="C80" s="4">
        <v>0.267289569310955</v>
      </c>
    </row>
    <row r="81">
      <c r="A81" s="4" t="s">
        <v>208</v>
      </c>
      <c r="B81" s="4" t="s">
        <v>61</v>
      </c>
      <c r="C81" s="4">
        <v>0.321813202069703</v>
      </c>
    </row>
    <row r="82">
      <c r="A82" s="4" t="s">
        <v>209</v>
      </c>
      <c r="B82" s="4" t="s">
        <v>61</v>
      </c>
      <c r="C82" s="4">
        <v>0.256873382313824</v>
      </c>
    </row>
    <row r="83">
      <c r="A83" s="4" t="s">
        <v>210</v>
      </c>
      <c r="B83" s="4" t="s">
        <v>61</v>
      </c>
      <c r="C83" s="4">
        <v>0.288938661231155</v>
      </c>
    </row>
    <row r="84">
      <c r="A84" s="4" t="s">
        <v>211</v>
      </c>
      <c r="B84" s="4" t="s">
        <v>61</v>
      </c>
      <c r="C84" s="4">
        <v>0.245367655632764</v>
      </c>
    </row>
    <row r="85">
      <c r="A85" s="4" t="s">
        <v>212</v>
      </c>
      <c r="B85" s="4" t="s">
        <v>61</v>
      </c>
      <c r="C85" s="4">
        <v>0.304614647958481</v>
      </c>
    </row>
    <row r="86">
      <c r="A86" s="4" t="s">
        <v>213</v>
      </c>
      <c r="B86" s="4" t="s">
        <v>61</v>
      </c>
      <c r="C86" s="4">
        <v>0.217503977970605</v>
      </c>
    </row>
    <row r="87">
      <c r="A87" s="4" t="s">
        <v>214</v>
      </c>
      <c r="B87" s="4" t="s">
        <v>61</v>
      </c>
      <c r="C87" s="4">
        <v>0.32708042578216</v>
      </c>
    </row>
    <row r="88">
      <c r="A88" s="4" t="s">
        <v>215</v>
      </c>
      <c r="B88" s="4" t="s">
        <v>61</v>
      </c>
      <c r="C88" s="4">
        <v>0.279935338785395</v>
      </c>
    </row>
    <row r="89">
      <c r="A89" s="4" t="s">
        <v>216</v>
      </c>
      <c r="B89" s="4" t="s">
        <v>61</v>
      </c>
      <c r="C89" s="4">
        <v>0.286129356930116</v>
      </c>
    </row>
    <row r="90">
      <c r="A90" s="4" t="s">
        <v>217</v>
      </c>
      <c r="B90" s="4" t="s">
        <v>61</v>
      </c>
      <c r="C90" s="4">
        <v>0.319578444985835</v>
      </c>
    </row>
    <row r="91">
      <c r="A91" s="4" t="s">
        <v>218</v>
      </c>
      <c r="B91" s="4" t="s">
        <v>61</v>
      </c>
      <c r="C91" s="4">
        <v>0.276068224253389</v>
      </c>
    </row>
    <row r="92">
      <c r="A92" s="4" t="s">
        <v>219</v>
      </c>
      <c r="B92" s="4" t="s">
        <v>61</v>
      </c>
      <c r="C92" s="4">
        <v>0.333605146281453</v>
      </c>
    </row>
    <row r="93">
      <c r="A93" s="4" t="s">
        <v>220</v>
      </c>
      <c r="B93" s="4" t="s">
        <v>61</v>
      </c>
      <c r="C93" s="4">
        <v>0.346718828537844</v>
      </c>
    </row>
    <row r="94">
      <c r="A94" s="4" t="s">
        <v>221</v>
      </c>
      <c r="B94" s="4" t="s">
        <v>61</v>
      </c>
      <c r="C94" s="4">
        <v>0.351693551112462</v>
      </c>
    </row>
    <row r="95">
      <c r="A95" s="4" t="s">
        <v>222</v>
      </c>
      <c r="B95" s="4" t="s">
        <v>61</v>
      </c>
      <c r="C95" s="4">
        <v>0.335225441305954</v>
      </c>
    </row>
    <row r="96">
      <c r="A96" s="4" t="s">
        <v>223</v>
      </c>
      <c r="B96" s="4" t="s">
        <v>61</v>
      </c>
      <c r="C96" s="4">
        <v>0.355719655045194</v>
      </c>
    </row>
    <row r="97">
      <c r="A97" s="4" t="s">
        <v>224</v>
      </c>
      <c r="B97" s="4" t="s">
        <v>61</v>
      </c>
      <c r="C97" s="4">
        <v>0.335136725244928</v>
      </c>
    </row>
    <row r="98">
      <c r="A98" s="4" t="s">
        <v>129</v>
      </c>
      <c r="B98" s="4" t="s">
        <v>62</v>
      </c>
      <c r="C98" s="4">
        <v>0.618216042484733</v>
      </c>
    </row>
    <row r="99">
      <c r="A99" s="4" t="s">
        <v>130</v>
      </c>
      <c r="B99" s="4" t="s">
        <v>62</v>
      </c>
      <c r="C99" s="4">
        <v>0.606225827187698</v>
      </c>
    </row>
    <row r="100">
      <c r="A100" s="4" t="s">
        <v>131</v>
      </c>
      <c r="B100" s="4" t="s">
        <v>62</v>
      </c>
      <c r="C100" s="4">
        <v>0.593928228651202</v>
      </c>
    </row>
    <row r="101">
      <c r="A101" s="4" t="s">
        <v>132</v>
      </c>
      <c r="B101" s="4" t="s">
        <v>62</v>
      </c>
      <c r="C101" s="4">
        <v>0.608399101396975</v>
      </c>
    </row>
    <row r="102">
      <c r="A102" s="4" t="s">
        <v>133</v>
      </c>
      <c r="B102" s="4" t="s">
        <v>62</v>
      </c>
      <c r="C102" s="4">
        <v>0.609825794098951</v>
      </c>
    </row>
    <row r="103">
      <c r="A103" s="4" t="s">
        <v>134</v>
      </c>
      <c r="B103" s="4" t="s">
        <v>62</v>
      </c>
      <c r="C103" s="4">
        <v>0.620327525532822</v>
      </c>
    </row>
    <row r="104">
      <c r="A104" s="4" t="s">
        <v>135</v>
      </c>
      <c r="B104" s="4" t="s">
        <v>62</v>
      </c>
      <c r="C104" s="4">
        <v>0.571358654012934</v>
      </c>
    </row>
    <row r="105">
      <c r="A105" s="4" t="s">
        <v>136</v>
      </c>
      <c r="B105" s="4" t="s">
        <v>62</v>
      </c>
      <c r="C105" s="4">
        <v>0.556089368232305</v>
      </c>
    </row>
    <row r="106">
      <c r="A106" s="4" t="s">
        <v>137</v>
      </c>
      <c r="B106" s="4" t="s">
        <v>62</v>
      </c>
      <c r="C106" s="4">
        <v>0.575399237958114</v>
      </c>
    </row>
    <row r="107">
      <c r="A107" s="4" t="s">
        <v>138</v>
      </c>
      <c r="B107" s="4" t="s">
        <v>62</v>
      </c>
      <c r="C107" s="4">
        <v>0.61354665612827</v>
      </c>
    </row>
    <row r="108">
      <c r="A108" s="4" t="s">
        <v>139</v>
      </c>
      <c r="B108" s="4" t="s">
        <v>62</v>
      </c>
      <c r="C108" s="4">
        <v>0.604801060798369</v>
      </c>
    </row>
    <row r="109">
      <c r="A109" s="4" t="s">
        <v>140</v>
      </c>
      <c r="B109" s="4" t="s">
        <v>62</v>
      </c>
      <c r="C109" s="4">
        <v>0.593068381381541</v>
      </c>
    </row>
    <row r="110">
      <c r="A110" s="4" t="s">
        <v>141</v>
      </c>
      <c r="B110" s="4" t="s">
        <v>62</v>
      </c>
      <c r="C110" s="4">
        <v>0.613377070073474</v>
      </c>
    </row>
    <row r="111">
      <c r="A111" s="4" t="s">
        <v>142</v>
      </c>
      <c r="B111" s="4" t="s">
        <v>62</v>
      </c>
      <c r="C111" s="4">
        <v>0.600610954953905</v>
      </c>
    </row>
    <row r="112">
      <c r="A112" s="4" t="s">
        <v>143</v>
      </c>
      <c r="B112" s="4" t="s">
        <v>62</v>
      </c>
      <c r="C112" s="4">
        <v>0.616926537922996</v>
      </c>
    </row>
    <row r="113">
      <c r="A113" s="4" t="s">
        <v>144</v>
      </c>
      <c r="B113" s="4" t="s">
        <v>62</v>
      </c>
      <c r="C113" s="4">
        <v>0.565727300132339</v>
      </c>
    </row>
    <row r="114">
      <c r="A114" s="4" t="s">
        <v>145</v>
      </c>
      <c r="B114" s="4" t="s">
        <v>62</v>
      </c>
      <c r="C114" s="4">
        <v>0.546164199804987</v>
      </c>
    </row>
    <row r="115">
      <c r="A115" s="4" t="s">
        <v>146</v>
      </c>
      <c r="B115" s="4" t="s">
        <v>62</v>
      </c>
      <c r="C115" s="4">
        <v>0.572886646676726</v>
      </c>
    </row>
    <row r="116">
      <c r="A116" s="4" t="s">
        <v>147</v>
      </c>
      <c r="B116" s="4" t="s">
        <v>62</v>
      </c>
      <c r="C116" s="4">
        <v>0.583394320061881</v>
      </c>
    </row>
    <row r="117">
      <c r="A117" s="4" t="s">
        <v>148</v>
      </c>
      <c r="B117" s="4" t="s">
        <v>62</v>
      </c>
      <c r="C117" s="4">
        <v>0.567564024262873</v>
      </c>
    </row>
    <row r="118">
      <c r="A118" s="4" t="s">
        <v>149</v>
      </c>
      <c r="B118" s="4" t="s">
        <v>62</v>
      </c>
      <c r="C118" s="4">
        <v>0.586910136857187</v>
      </c>
    </row>
    <row r="119">
      <c r="A119" s="4" t="s">
        <v>150</v>
      </c>
      <c r="B119" s="4" t="s">
        <v>62</v>
      </c>
      <c r="C119" s="4">
        <v>0.613462791622532</v>
      </c>
    </row>
    <row r="120">
      <c r="A120" s="4" t="s">
        <v>151</v>
      </c>
      <c r="B120" s="4" t="s">
        <v>62</v>
      </c>
      <c r="C120" s="4">
        <v>0.593407423447775</v>
      </c>
    </row>
    <row r="121">
      <c r="A121" s="4" t="s">
        <v>152</v>
      </c>
      <c r="B121" s="4" t="s">
        <v>62</v>
      </c>
      <c r="C121" s="4">
        <v>0.614953029601582</v>
      </c>
    </row>
    <row r="122">
      <c r="A122" s="4" t="s">
        <v>153</v>
      </c>
      <c r="B122" s="4" t="s">
        <v>62</v>
      </c>
      <c r="C122" s="4">
        <v>0.512012998082786</v>
      </c>
    </row>
    <row r="123">
      <c r="A123" s="4" t="s">
        <v>154</v>
      </c>
      <c r="B123" s="4" t="s">
        <v>62</v>
      </c>
      <c r="C123" s="4">
        <v>0.427462251024684</v>
      </c>
    </row>
    <row r="124">
      <c r="A124" s="4" t="s">
        <v>155</v>
      </c>
      <c r="B124" s="4" t="s">
        <v>62</v>
      </c>
      <c r="C124" s="4">
        <v>0.406669665894335</v>
      </c>
    </row>
    <row r="125">
      <c r="A125" s="4" t="s">
        <v>156</v>
      </c>
      <c r="B125" s="4" t="s">
        <v>62</v>
      </c>
      <c r="C125" s="4">
        <v>0.455431772223906</v>
      </c>
    </row>
    <row r="126">
      <c r="A126" s="4" t="s">
        <v>157</v>
      </c>
      <c r="B126" s="4" t="s">
        <v>62</v>
      </c>
      <c r="C126" s="4">
        <v>0.477122368956368</v>
      </c>
    </row>
    <row r="127">
      <c r="A127" s="4" t="s">
        <v>158</v>
      </c>
      <c r="B127" s="4" t="s">
        <v>62</v>
      </c>
      <c r="C127" s="4">
        <v>0.536730815284441</v>
      </c>
    </row>
    <row r="128">
      <c r="A128" s="4" t="s">
        <v>159</v>
      </c>
      <c r="B128" s="4" t="s">
        <v>62</v>
      </c>
      <c r="C128" s="4">
        <v>0.483697863941618</v>
      </c>
    </row>
    <row r="129">
      <c r="A129" s="4" t="s">
        <v>160</v>
      </c>
      <c r="B129" s="4" t="s">
        <v>62</v>
      </c>
      <c r="C129" s="4">
        <v>0.458674843698748</v>
      </c>
    </row>
    <row r="130">
      <c r="A130" s="4" t="s">
        <v>161</v>
      </c>
      <c r="B130" s="4" t="s">
        <v>62</v>
      </c>
      <c r="C130" s="4">
        <v>0.501922622275995</v>
      </c>
    </row>
    <row r="131">
      <c r="A131" s="4" t="s">
        <v>162</v>
      </c>
      <c r="B131" s="4" t="s">
        <v>62</v>
      </c>
      <c r="C131" s="4">
        <v>0.524262991587101</v>
      </c>
    </row>
    <row r="132">
      <c r="A132" s="4" t="s">
        <v>163</v>
      </c>
      <c r="B132" s="4" t="s">
        <v>62</v>
      </c>
      <c r="C132" s="4">
        <v>0.437797137788191</v>
      </c>
    </row>
    <row r="133">
      <c r="A133" s="4" t="s">
        <v>164</v>
      </c>
      <c r="B133" s="4" t="s">
        <v>62</v>
      </c>
      <c r="C133" s="4">
        <v>0.425797961990857</v>
      </c>
    </row>
    <row r="134">
      <c r="A134" s="4" t="s">
        <v>165</v>
      </c>
      <c r="B134" s="4" t="s">
        <v>62</v>
      </c>
      <c r="C134" s="4">
        <v>0.461380199716629</v>
      </c>
    </row>
    <row r="135">
      <c r="A135" s="4" t="s">
        <v>166</v>
      </c>
      <c r="B135" s="4" t="s">
        <v>62</v>
      </c>
      <c r="C135" s="4">
        <v>0.473406233934218</v>
      </c>
    </row>
    <row r="136">
      <c r="A136" s="4" t="s">
        <v>167</v>
      </c>
      <c r="B136" s="4" t="s">
        <v>62</v>
      </c>
      <c r="C136" s="4">
        <v>0.553100031612457</v>
      </c>
    </row>
    <row r="137">
      <c r="A137" s="4" t="s">
        <v>168</v>
      </c>
      <c r="B137" s="4" t="s">
        <v>62</v>
      </c>
      <c r="C137" s="4">
        <v>0.490732657736496</v>
      </c>
    </row>
    <row r="138">
      <c r="A138" s="4" t="s">
        <v>169</v>
      </c>
      <c r="B138" s="4" t="s">
        <v>62</v>
      </c>
      <c r="C138" s="4">
        <v>0.462912409254871</v>
      </c>
    </row>
    <row r="139">
      <c r="A139" s="4" t="s">
        <v>170</v>
      </c>
      <c r="B139" s="4" t="s">
        <v>62</v>
      </c>
      <c r="C139" s="4">
        <v>0.517676976323592</v>
      </c>
    </row>
    <row r="140">
      <c r="A140" s="4" t="s">
        <v>171</v>
      </c>
      <c r="B140" s="4" t="s">
        <v>62</v>
      </c>
      <c r="C140" s="4">
        <v>0.498994997427713</v>
      </c>
    </row>
    <row r="141">
      <c r="A141" s="4" t="s">
        <v>172</v>
      </c>
      <c r="B141" s="4" t="s">
        <v>62</v>
      </c>
      <c r="C141" s="4">
        <v>0.470635859098293</v>
      </c>
    </row>
    <row r="142">
      <c r="A142" s="4" t="s">
        <v>173</v>
      </c>
      <c r="B142" s="4" t="s">
        <v>62</v>
      </c>
      <c r="C142" s="4">
        <v>0.51522089820367</v>
      </c>
    </row>
    <row r="143">
      <c r="A143" s="4" t="s">
        <v>174</v>
      </c>
      <c r="B143" s="4" t="s">
        <v>62</v>
      </c>
      <c r="C143" s="4">
        <v>0.534765902917699</v>
      </c>
    </row>
    <row r="144">
      <c r="A144" s="4" t="s">
        <v>175</v>
      </c>
      <c r="B144" s="4" t="s">
        <v>62</v>
      </c>
      <c r="C144" s="4">
        <v>0.505572999105003</v>
      </c>
    </row>
    <row r="145">
      <c r="A145" s="4" t="s">
        <v>176</v>
      </c>
      <c r="B145" s="4" t="s">
        <v>62</v>
      </c>
      <c r="C145" s="4">
        <v>0.549558592400209</v>
      </c>
    </row>
    <row r="146">
      <c r="A146" s="4" t="s">
        <v>177</v>
      </c>
      <c r="B146" s="4" t="s">
        <v>62</v>
      </c>
      <c r="C146" s="4">
        <v>0.569895182181278</v>
      </c>
    </row>
    <row r="147">
      <c r="A147" s="4" t="s">
        <v>178</v>
      </c>
      <c r="B147" s="4" t="s">
        <v>62</v>
      </c>
      <c r="C147" s="4">
        <v>0.477750371254548</v>
      </c>
    </row>
    <row r="148">
      <c r="A148" s="4" t="s">
        <v>179</v>
      </c>
      <c r="B148" s="4" t="s">
        <v>62</v>
      </c>
      <c r="C148" s="4">
        <v>0.483904295812941</v>
      </c>
    </row>
    <row r="149">
      <c r="A149" s="4" t="s">
        <v>180</v>
      </c>
      <c r="B149" s="4" t="s">
        <v>62</v>
      </c>
      <c r="C149" s="4">
        <v>0.475719536119595</v>
      </c>
    </row>
    <row r="150">
      <c r="A150" s="4" t="s">
        <v>181</v>
      </c>
      <c r="B150" s="4" t="s">
        <v>62</v>
      </c>
      <c r="C150" s="4">
        <v>0.559368804437415</v>
      </c>
    </row>
    <row r="151">
      <c r="A151" s="4" t="s">
        <v>182</v>
      </c>
      <c r="B151" s="4" t="s">
        <v>62</v>
      </c>
      <c r="C151" s="4">
        <v>0.57206098369349</v>
      </c>
    </row>
    <row r="152">
      <c r="A152" s="4" t="s">
        <v>183</v>
      </c>
      <c r="B152" s="4" t="s">
        <v>62</v>
      </c>
      <c r="C152" s="4">
        <v>0.531274741257453</v>
      </c>
    </row>
    <row r="153">
      <c r="A153" s="4" t="s">
        <v>184</v>
      </c>
      <c r="B153" s="4" t="s">
        <v>62</v>
      </c>
      <c r="C153" s="4">
        <v>0.52126123955447</v>
      </c>
    </row>
    <row r="154">
      <c r="A154" s="4" t="s">
        <v>185</v>
      </c>
      <c r="B154" s="4" t="s">
        <v>62</v>
      </c>
      <c r="C154" s="4">
        <v>0.533034058413912</v>
      </c>
    </row>
    <row r="155">
      <c r="A155" s="4" t="s">
        <v>186</v>
      </c>
      <c r="B155" s="4" t="s">
        <v>62</v>
      </c>
      <c r="C155" s="4">
        <v>0.578681917130575</v>
      </c>
    </row>
    <row r="156">
      <c r="A156" s="4" t="s">
        <v>187</v>
      </c>
      <c r="B156" s="4" t="s">
        <v>62</v>
      </c>
      <c r="C156" s="4">
        <v>0.380177808740426</v>
      </c>
    </row>
    <row r="157">
      <c r="A157" s="4" t="s">
        <v>188</v>
      </c>
      <c r="B157" s="4" t="s">
        <v>62</v>
      </c>
      <c r="C157" s="4">
        <v>0.392648747715705</v>
      </c>
    </row>
    <row r="158">
      <c r="A158" s="4" t="s">
        <v>189</v>
      </c>
      <c r="B158" s="4" t="s">
        <v>62</v>
      </c>
      <c r="C158" s="4">
        <v>0.385180794814941</v>
      </c>
    </row>
    <row r="159">
      <c r="A159" s="4" t="s">
        <v>190</v>
      </c>
      <c r="B159" s="4" t="s">
        <v>62</v>
      </c>
      <c r="C159" s="4">
        <v>0.569305363972466</v>
      </c>
    </row>
    <row r="160">
      <c r="A160" s="4" t="s">
        <v>191</v>
      </c>
      <c r="B160" s="4" t="s">
        <v>62</v>
      </c>
      <c r="C160" s="4">
        <v>0.578299727991019</v>
      </c>
    </row>
    <row r="161">
      <c r="A161" s="4" t="s">
        <v>192</v>
      </c>
      <c r="B161" s="4" t="s">
        <v>62</v>
      </c>
      <c r="C161" s="4">
        <v>0.523712547832867</v>
      </c>
    </row>
    <row r="162">
      <c r="A162" s="4" t="s">
        <v>193</v>
      </c>
      <c r="B162" s="4" t="s">
        <v>62</v>
      </c>
      <c r="C162" s="4">
        <v>0.516232610256394</v>
      </c>
    </row>
    <row r="163">
      <c r="A163" s="4" t="s">
        <v>194</v>
      </c>
      <c r="B163" s="4" t="s">
        <v>62</v>
      </c>
      <c r="C163" s="4">
        <v>0.52420000773874</v>
      </c>
    </row>
    <row r="164">
      <c r="A164" s="4" t="s">
        <v>195</v>
      </c>
      <c r="B164" s="4" t="s">
        <v>62</v>
      </c>
      <c r="C164" s="4">
        <v>0.564694414756619</v>
      </c>
    </row>
    <row r="165">
      <c r="A165" s="4" t="s">
        <v>196</v>
      </c>
      <c r="B165" s="4" t="s">
        <v>62</v>
      </c>
      <c r="C165" s="4">
        <v>0.558082339274077</v>
      </c>
    </row>
    <row r="166">
      <c r="A166" s="4" t="s">
        <v>197</v>
      </c>
      <c r="B166" s="4" t="s">
        <v>62</v>
      </c>
      <c r="C166" s="4">
        <v>0.567494699039484</v>
      </c>
    </row>
    <row r="167">
      <c r="A167" s="4" t="s">
        <v>198</v>
      </c>
      <c r="B167" s="4" t="s">
        <v>62</v>
      </c>
      <c r="C167" s="4">
        <v>0.593223331315557</v>
      </c>
    </row>
    <row r="168">
      <c r="A168" s="4" t="s">
        <v>199</v>
      </c>
      <c r="B168" s="4" t="s">
        <v>62</v>
      </c>
      <c r="C168" s="4">
        <v>0.585483853546534</v>
      </c>
    </row>
    <row r="169">
      <c r="A169" s="4" t="s">
        <v>200</v>
      </c>
      <c r="B169" s="4" t="s">
        <v>62</v>
      </c>
      <c r="C169" s="4">
        <v>0.593678659817672</v>
      </c>
    </row>
    <row r="170">
      <c r="A170" s="4" t="s">
        <v>201</v>
      </c>
      <c r="B170" s="4" t="s">
        <v>62</v>
      </c>
      <c r="C170" s="4">
        <v>0.300772443809359</v>
      </c>
    </row>
    <row r="171">
      <c r="A171" s="4" t="s">
        <v>202</v>
      </c>
      <c r="B171" s="4" t="s">
        <v>62</v>
      </c>
      <c r="C171" s="4">
        <v>0.271705614091627</v>
      </c>
    </row>
    <row r="172">
      <c r="A172" s="4" t="s">
        <v>203</v>
      </c>
      <c r="B172" s="4" t="s">
        <v>62</v>
      </c>
      <c r="C172" s="4">
        <v>0.323864119495523</v>
      </c>
    </row>
    <row r="173">
      <c r="A173" s="4" t="s">
        <v>204</v>
      </c>
      <c r="B173" s="4" t="s">
        <v>62</v>
      </c>
      <c r="C173" s="4">
        <v>0.262286754789654</v>
      </c>
    </row>
    <row r="174">
      <c r="A174" s="4" t="s">
        <v>205</v>
      </c>
      <c r="B174" s="4" t="s">
        <v>62</v>
      </c>
      <c r="C174" s="4">
        <v>0.337895196907243</v>
      </c>
    </row>
    <row r="175">
      <c r="A175" s="4" t="s">
        <v>206</v>
      </c>
      <c r="B175" s="4" t="s">
        <v>62</v>
      </c>
      <c r="C175" s="4">
        <v>0.297157219809452</v>
      </c>
    </row>
    <row r="176">
      <c r="A176" s="4" t="s">
        <v>207</v>
      </c>
      <c r="B176" s="4" t="s">
        <v>62</v>
      </c>
      <c r="C176" s="4">
        <v>0.297865824391553</v>
      </c>
    </row>
    <row r="177">
      <c r="A177" s="4" t="s">
        <v>208</v>
      </c>
      <c r="B177" s="4" t="s">
        <v>62</v>
      </c>
      <c r="C177" s="4">
        <v>0.332658030355304</v>
      </c>
    </row>
    <row r="178">
      <c r="A178" s="4" t="s">
        <v>209</v>
      </c>
      <c r="B178" s="4" t="s">
        <v>62</v>
      </c>
      <c r="C178" s="4">
        <v>0.287239204804064</v>
      </c>
    </row>
    <row r="179">
      <c r="A179" s="4" t="s">
        <v>210</v>
      </c>
      <c r="B179" s="4" t="s">
        <v>62</v>
      </c>
      <c r="C179" s="4">
        <v>0.329512617172151</v>
      </c>
    </row>
    <row r="180">
      <c r="A180" s="4" t="s">
        <v>211</v>
      </c>
      <c r="B180" s="4" t="s">
        <v>62</v>
      </c>
      <c r="C180" s="4">
        <v>0.282654794342775</v>
      </c>
    </row>
    <row r="181">
      <c r="A181" s="4" t="s">
        <v>212</v>
      </c>
      <c r="B181" s="4" t="s">
        <v>62</v>
      </c>
      <c r="C181" s="4">
        <v>0.322799422799422</v>
      </c>
    </row>
    <row r="182">
      <c r="A182" s="4" t="s">
        <v>213</v>
      </c>
      <c r="B182" s="4" t="s">
        <v>62</v>
      </c>
      <c r="C182" s="4">
        <v>0.276049449100619</v>
      </c>
    </row>
    <row r="183">
      <c r="A183" s="4" t="s">
        <v>214</v>
      </c>
      <c r="B183" s="4" t="s">
        <v>62</v>
      </c>
      <c r="C183" s="4">
        <v>0.34934492666203</v>
      </c>
    </row>
    <row r="184">
      <c r="A184" s="4" t="s">
        <v>215</v>
      </c>
      <c r="B184" s="4" t="s">
        <v>62</v>
      </c>
      <c r="C184" s="4">
        <v>0.338554835651074</v>
      </c>
    </row>
    <row r="185">
      <c r="A185" s="4" t="s">
        <v>216</v>
      </c>
      <c r="B185" s="4" t="s">
        <v>62</v>
      </c>
      <c r="C185" s="4">
        <v>0.29837198245895</v>
      </c>
    </row>
    <row r="186">
      <c r="A186" s="4" t="s">
        <v>217</v>
      </c>
      <c r="B186" s="4" t="s">
        <v>62</v>
      </c>
      <c r="C186" s="4">
        <v>0.335193350072418</v>
      </c>
    </row>
    <row r="187">
      <c r="A187" s="4" t="s">
        <v>218</v>
      </c>
      <c r="B187" s="4" t="s">
        <v>62</v>
      </c>
      <c r="C187" s="4">
        <v>0.292476913292134</v>
      </c>
    </row>
    <row r="188">
      <c r="A188" s="4" t="s">
        <v>219</v>
      </c>
      <c r="B188" s="4" t="s">
        <v>62</v>
      </c>
      <c r="C188" s="4">
        <v>0.367508834746624</v>
      </c>
    </row>
    <row r="189">
      <c r="A189" s="4" t="s">
        <v>220</v>
      </c>
      <c r="B189" s="4" t="s">
        <v>62</v>
      </c>
      <c r="C189" s="4">
        <v>0.381074015796232</v>
      </c>
    </row>
    <row r="190">
      <c r="A190" s="4" t="s">
        <v>221</v>
      </c>
      <c r="B190" s="4" t="s">
        <v>62</v>
      </c>
      <c r="C190" s="4">
        <v>0.377300609507907</v>
      </c>
    </row>
    <row r="191">
      <c r="A191" s="4" t="s">
        <v>222</v>
      </c>
      <c r="B191" s="4" t="s">
        <v>62</v>
      </c>
      <c r="C191" s="4">
        <v>0.352567599779278</v>
      </c>
    </row>
    <row r="192">
      <c r="A192" s="4" t="s">
        <v>223</v>
      </c>
      <c r="B192" s="4" t="s">
        <v>62</v>
      </c>
      <c r="C192" s="4">
        <v>0.368290508649231</v>
      </c>
    </row>
    <row r="193">
      <c r="A193" s="4" t="s">
        <v>224</v>
      </c>
      <c r="B193" s="4" t="s">
        <v>62</v>
      </c>
      <c r="C193" s="4">
        <v>0.358964749724122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13"/>
  </cols>
  <sheetData>
    <row r="1">
      <c r="A1" s="4" t="s">
        <v>225</v>
      </c>
      <c r="B1" s="4" t="s">
        <v>61</v>
      </c>
      <c r="C1" s="4">
        <v>0.400107417157464</v>
      </c>
    </row>
    <row r="2">
      <c r="A2" s="4" t="s">
        <v>226</v>
      </c>
      <c r="B2" s="4" t="s">
        <v>61</v>
      </c>
      <c r="C2" s="4">
        <v>0.642831750679554</v>
      </c>
    </row>
    <row r="3">
      <c r="A3" s="4" t="s">
        <v>227</v>
      </c>
      <c r="B3" s="4" t="s">
        <v>61</v>
      </c>
      <c r="C3" s="4">
        <v>0.517640159750091</v>
      </c>
    </row>
    <row r="4">
      <c r="A4" s="4" t="s">
        <v>228</v>
      </c>
      <c r="B4" s="4" t="s">
        <v>61</v>
      </c>
      <c r="C4" s="4">
        <v>0.641372813923377</v>
      </c>
    </row>
    <row r="5">
      <c r="A5" s="4" t="s">
        <v>225</v>
      </c>
      <c r="B5" s="4" t="s">
        <v>62</v>
      </c>
      <c r="C5" s="4">
        <v>0.393652929014778</v>
      </c>
    </row>
    <row r="6">
      <c r="A6" s="4" t="s">
        <v>226</v>
      </c>
      <c r="B6" s="4" t="s">
        <v>62</v>
      </c>
      <c r="C6" s="4">
        <v>0.597702377854602</v>
      </c>
    </row>
    <row r="7">
      <c r="A7" s="4" t="s">
        <v>227</v>
      </c>
      <c r="B7" s="4" t="s">
        <v>62</v>
      </c>
      <c r="C7" s="4">
        <v>0.466203934203608</v>
      </c>
    </row>
    <row r="8">
      <c r="A8" s="4" t="s">
        <v>228</v>
      </c>
      <c r="B8" s="4" t="s">
        <v>62</v>
      </c>
      <c r="C8" s="4">
        <v>0.586918258059075</v>
      </c>
    </row>
    <row r="9">
      <c r="A9" s="4" t="s">
        <v>229</v>
      </c>
      <c r="B9" s="4" t="s">
        <v>61</v>
      </c>
      <c r="C9" s="4">
        <v>0.404810754696845</v>
      </c>
    </row>
    <row r="10">
      <c r="A10" s="4" t="s">
        <v>230</v>
      </c>
      <c r="B10" s="4" t="s">
        <v>61</v>
      </c>
      <c r="C10" s="4">
        <v>0.634072891433604</v>
      </c>
    </row>
    <row r="11">
      <c r="A11" s="4" t="s">
        <v>231</v>
      </c>
      <c r="B11" s="4" t="s">
        <v>61</v>
      </c>
      <c r="C11" s="4">
        <v>0.537523492086359</v>
      </c>
    </row>
    <row r="12">
      <c r="A12" s="4" t="s">
        <v>232</v>
      </c>
      <c r="B12" s="4" t="s">
        <v>61</v>
      </c>
      <c r="C12" s="4">
        <v>0.641745007342877</v>
      </c>
    </row>
    <row r="13">
      <c r="A13" s="4" t="s">
        <v>229</v>
      </c>
      <c r="B13" s="4" t="s">
        <v>62</v>
      </c>
      <c r="C13" s="4">
        <v>0.397469270497135</v>
      </c>
    </row>
    <row r="14">
      <c r="A14" s="4" t="s">
        <v>230</v>
      </c>
      <c r="B14" s="4" t="s">
        <v>62</v>
      </c>
      <c r="C14" s="4">
        <v>0.604647253792606</v>
      </c>
    </row>
    <row r="15">
      <c r="A15" s="4" t="s">
        <v>231</v>
      </c>
      <c r="B15" s="4" t="s">
        <v>62</v>
      </c>
      <c r="C15" s="4">
        <v>0.496005447230576</v>
      </c>
    </row>
    <row r="16">
      <c r="A16" s="4" t="s">
        <v>232</v>
      </c>
      <c r="B16" s="4" t="s">
        <v>62</v>
      </c>
      <c r="C16" s="4">
        <v>0.621603952821018</v>
      </c>
    </row>
    <row r="17">
      <c r="A17" s="4" t="s">
        <v>233</v>
      </c>
      <c r="C17" s="4">
        <v>0.391</v>
      </c>
      <c r="D17" s="4">
        <v>0.241</v>
      </c>
    </row>
    <row r="18">
      <c r="A18" s="4" t="s">
        <v>234</v>
      </c>
      <c r="C18" s="4">
        <v>0.328</v>
      </c>
      <c r="D18" s="4">
        <v>0.193</v>
      </c>
    </row>
    <row r="19">
      <c r="A19" s="4" t="s">
        <v>235</v>
      </c>
      <c r="C19" s="4">
        <v>0.372</v>
      </c>
      <c r="D19" s="4">
        <v>0.232</v>
      </c>
    </row>
    <row r="20">
      <c r="A20" s="4" t="s">
        <v>236</v>
      </c>
      <c r="C20" s="4">
        <v>0.32</v>
      </c>
      <c r="D20" s="4">
        <v>0.184</v>
      </c>
    </row>
    <row r="21">
      <c r="A21" s="4" t="s">
        <v>237</v>
      </c>
      <c r="C21" s="4">
        <v>0.3</v>
      </c>
      <c r="D21" s="4">
        <v>0.3</v>
      </c>
    </row>
    <row r="22">
      <c r="A22" s="4" t="s">
        <v>238</v>
      </c>
      <c r="C22" s="4">
        <v>0.287</v>
      </c>
      <c r="D22" s="4">
        <v>0.287</v>
      </c>
    </row>
    <row r="23">
      <c r="A23" s="4" t="s">
        <v>239</v>
      </c>
      <c r="C23" s="4">
        <v>0.328</v>
      </c>
      <c r="D23" s="4">
        <v>0.326</v>
      </c>
    </row>
    <row r="24">
      <c r="A24" s="4" t="s">
        <v>240</v>
      </c>
      <c r="C24" s="4">
        <v>0.299</v>
      </c>
      <c r="D24" s="4">
        <v>0.296</v>
      </c>
    </row>
    <row r="25">
      <c r="A25" s="4" t="s">
        <v>241</v>
      </c>
      <c r="C25" s="4">
        <v>0.396</v>
      </c>
      <c r="D25" s="4">
        <v>0.261</v>
      </c>
    </row>
    <row r="26">
      <c r="A26" s="4" t="s">
        <v>242</v>
      </c>
      <c r="C26" s="4">
        <v>0.31</v>
      </c>
      <c r="D26" s="4">
        <v>0.199</v>
      </c>
    </row>
    <row r="27">
      <c r="A27" s="4" t="s">
        <v>243</v>
      </c>
      <c r="C27" s="4">
        <v>0.417</v>
      </c>
      <c r="D27" s="4">
        <v>0.28</v>
      </c>
    </row>
    <row r="28">
      <c r="A28" s="4" t="s">
        <v>244</v>
      </c>
      <c r="C28" s="4">
        <v>0.303</v>
      </c>
      <c r="D28" s="4">
        <v>0.196</v>
      </c>
    </row>
    <row r="29">
      <c r="A29" s="4" t="s">
        <v>245</v>
      </c>
      <c r="C29" s="4">
        <v>0.447</v>
      </c>
      <c r="D29" s="4">
        <v>0.293</v>
      </c>
    </row>
    <row r="30">
      <c r="A30" s="4" t="s">
        <v>246</v>
      </c>
      <c r="C30" s="4">
        <v>0.489</v>
      </c>
      <c r="D30" s="4">
        <v>0.378</v>
      </c>
    </row>
    <row r="31">
      <c r="A31" s="4" t="s">
        <v>247</v>
      </c>
      <c r="C31" s="4">
        <v>0.556</v>
      </c>
      <c r="D31" s="4">
        <v>0.39</v>
      </c>
    </row>
    <row r="32">
      <c r="A32" s="4" t="s">
        <v>248</v>
      </c>
      <c r="C32" s="4">
        <v>0.509</v>
      </c>
      <c r="D32" s="4">
        <v>0.4</v>
      </c>
    </row>
    <row r="33">
      <c r="A33" s="4" t="s">
        <v>249</v>
      </c>
      <c r="C33" s="4">
        <v>0.38</v>
      </c>
      <c r="D33" s="4">
        <v>0.231</v>
      </c>
    </row>
    <row r="34">
      <c r="A34" s="4" t="s">
        <v>250</v>
      </c>
      <c r="C34" s="4">
        <v>0.327</v>
      </c>
      <c r="D34" s="4">
        <v>0.177</v>
      </c>
    </row>
    <row r="35">
      <c r="A35" s="4" t="s">
        <v>251</v>
      </c>
      <c r="C35" s="4">
        <v>0.281</v>
      </c>
      <c r="D35" s="4">
        <v>0.161</v>
      </c>
    </row>
    <row r="36">
      <c r="A36" s="4" t="s">
        <v>252</v>
      </c>
      <c r="C36" s="4">
        <v>0.264</v>
      </c>
      <c r="D36" s="4">
        <v>0.138</v>
      </c>
    </row>
    <row r="37">
      <c r="A37" s="4" t="s">
        <v>253</v>
      </c>
      <c r="C37" s="4">
        <v>0.312</v>
      </c>
      <c r="D37" s="4">
        <v>0.297</v>
      </c>
    </row>
    <row r="38">
      <c r="A38" s="4" t="s">
        <v>254</v>
      </c>
      <c r="C38" s="4">
        <v>0.29</v>
      </c>
      <c r="D38" s="4">
        <v>0.289</v>
      </c>
    </row>
    <row r="39">
      <c r="A39" s="4" t="s">
        <v>255</v>
      </c>
      <c r="C39" s="4">
        <v>0.149</v>
      </c>
      <c r="D39" s="4">
        <v>0.149</v>
      </c>
    </row>
    <row r="40">
      <c r="A40" s="4" t="s">
        <v>256</v>
      </c>
      <c r="C40" s="4">
        <v>0.228</v>
      </c>
      <c r="D40" s="4">
        <v>0.228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5"/>
  </cols>
  <sheetData>
    <row r="1">
      <c r="A1" s="4" t="s">
        <v>126</v>
      </c>
      <c r="B1" s="4" t="s">
        <v>257</v>
      </c>
      <c r="C1" s="4" t="s">
        <v>258</v>
      </c>
      <c r="D1" s="4" t="s">
        <v>259</v>
      </c>
      <c r="E1" s="4" t="s">
        <v>260</v>
      </c>
      <c r="F1" s="4" t="s">
        <v>261</v>
      </c>
      <c r="G1" s="4" t="s">
        <v>262</v>
      </c>
      <c r="H1" s="4" t="s">
        <v>263</v>
      </c>
      <c r="I1" s="4" t="s">
        <v>264</v>
      </c>
    </row>
    <row r="2">
      <c r="A2" s="4" t="s">
        <v>265</v>
      </c>
      <c r="B2" s="4">
        <v>0.4362</v>
      </c>
      <c r="C2" s="4">
        <v>0.0230802946255025</v>
      </c>
      <c r="D2" s="4">
        <v>0.371</v>
      </c>
      <c r="E2" s="4">
        <v>0.00803118920210451</v>
      </c>
      <c r="F2" s="4">
        <v>0.3042</v>
      </c>
      <c r="G2" s="4">
        <v>0.0224321198284959</v>
      </c>
      <c r="H2" s="4">
        <v>0.3292</v>
      </c>
      <c r="I2" s="4">
        <v>0.0134052228627501</v>
      </c>
    </row>
    <row r="3">
      <c r="A3" s="4" t="s">
        <v>266</v>
      </c>
      <c r="B3" s="4">
        <v>0.499</v>
      </c>
      <c r="C3" s="4">
        <v>0.0</v>
      </c>
      <c r="D3" s="4">
        <v>0.317</v>
      </c>
      <c r="E3" s="4">
        <v>0.0</v>
      </c>
      <c r="F3" s="4">
        <v>0.35</v>
      </c>
      <c r="G3" s="4">
        <v>0.0</v>
      </c>
      <c r="H3" s="4">
        <v>0.285</v>
      </c>
      <c r="I3" s="4">
        <v>0.0</v>
      </c>
    </row>
    <row r="4">
      <c r="A4" s="4" t="s">
        <v>267</v>
      </c>
      <c r="B4" s="4">
        <v>0.449</v>
      </c>
      <c r="C4" s="4">
        <v>0.0</v>
      </c>
      <c r="D4" s="4">
        <v>0.385</v>
      </c>
      <c r="E4" s="4">
        <v>0.0</v>
      </c>
      <c r="F4" s="4">
        <v>0.323</v>
      </c>
      <c r="G4" s="4">
        <v>0.0</v>
      </c>
      <c r="H4" s="4">
        <v>0.348</v>
      </c>
      <c r="I4" s="4">
        <v>0.0</v>
      </c>
    </row>
    <row r="5">
      <c r="A5" s="4" t="s">
        <v>268</v>
      </c>
      <c r="B5" s="4">
        <v>0.4852</v>
      </c>
      <c r="C5" s="4">
        <v>0.0237002109695251</v>
      </c>
      <c r="D5" s="4">
        <v>0.3656</v>
      </c>
      <c r="E5" s="4">
        <v>0.00950263121456368</v>
      </c>
      <c r="F5" s="4">
        <v>0.3286</v>
      </c>
      <c r="G5" s="4">
        <v>0.0178549712965325</v>
      </c>
      <c r="H5" s="4">
        <v>0.3292</v>
      </c>
      <c r="I5" s="4">
        <v>0.00978263768111648</v>
      </c>
    </row>
    <row r="6">
      <c r="A6" s="4" t="s">
        <v>269</v>
      </c>
      <c r="B6" s="4">
        <v>0.504</v>
      </c>
      <c r="C6" s="4">
        <v>0.0</v>
      </c>
      <c r="D6" s="4">
        <v>0.321</v>
      </c>
      <c r="E6" s="4">
        <v>0.0</v>
      </c>
      <c r="F6" s="4">
        <v>0.352</v>
      </c>
      <c r="G6" s="4">
        <v>0.0</v>
      </c>
      <c r="H6" s="4">
        <v>0.293</v>
      </c>
      <c r="I6" s="4">
        <v>0.0</v>
      </c>
    </row>
    <row r="7">
      <c r="A7" s="4" t="s">
        <v>270</v>
      </c>
      <c r="B7" s="4">
        <v>0.516</v>
      </c>
      <c r="C7" s="4">
        <v>0.0</v>
      </c>
      <c r="D7" s="4">
        <v>0.358</v>
      </c>
      <c r="E7" s="4">
        <v>0.0</v>
      </c>
      <c r="F7" s="4">
        <v>0.356</v>
      </c>
      <c r="G7" s="4">
        <v>0.0</v>
      </c>
      <c r="H7" s="4">
        <v>0.338</v>
      </c>
      <c r="I7" s="4">
        <v>0.0</v>
      </c>
    </row>
    <row r="8">
      <c r="A8" s="4" t="s">
        <v>271</v>
      </c>
      <c r="B8" s="4">
        <v>0.4522</v>
      </c>
      <c r="C8" s="4">
        <v>0.0183766155752358</v>
      </c>
      <c r="D8" s="4">
        <v>0.382599999999999</v>
      </c>
      <c r="E8" s="4">
        <v>0.0085615419172016</v>
      </c>
      <c r="F8" s="4">
        <v>0.3188</v>
      </c>
      <c r="G8" s="4">
        <v>0.0203519040878243</v>
      </c>
      <c r="H8" s="4">
        <v>0.3394</v>
      </c>
      <c r="I8" s="4">
        <v>0.0130115333454593</v>
      </c>
    </row>
    <row r="9">
      <c r="A9" s="4" t="s">
        <v>272</v>
      </c>
      <c r="B9" s="4">
        <v>0.508</v>
      </c>
      <c r="C9" s="4">
        <v>0.0</v>
      </c>
      <c r="D9" s="4">
        <v>0.345</v>
      </c>
      <c r="E9" s="4">
        <v>0.0</v>
      </c>
      <c r="F9" s="4">
        <v>0.347</v>
      </c>
      <c r="G9" s="4">
        <v>0.0</v>
      </c>
      <c r="H9" s="4">
        <v>0.293</v>
      </c>
      <c r="I9" s="4">
        <v>0.0</v>
      </c>
    </row>
    <row r="10">
      <c r="A10" s="4" t="s">
        <v>273</v>
      </c>
      <c r="B10" s="4">
        <v>0.455</v>
      </c>
      <c r="C10" s="4">
        <v>0.0</v>
      </c>
      <c r="D10" s="4">
        <v>0.384</v>
      </c>
      <c r="E10" s="4">
        <v>0.0</v>
      </c>
      <c r="F10" s="4">
        <v>0.324</v>
      </c>
      <c r="G10" s="4">
        <v>0.0</v>
      </c>
      <c r="H10" s="4">
        <v>0.352</v>
      </c>
      <c r="I10" s="4">
        <v>0.0</v>
      </c>
    </row>
    <row r="11">
      <c r="A11" s="4" t="s">
        <v>274</v>
      </c>
      <c r="B11" s="4">
        <v>0.444199999999999</v>
      </c>
      <c r="C11" s="4">
        <v>0.0202163300329214</v>
      </c>
      <c r="D11" s="4">
        <v>0.366</v>
      </c>
      <c r="E11" s="4">
        <v>0.00447213595499958</v>
      </c>
      <c r="F11" s="4">
        <v>0.281</v>
      </c>
      <c r="G11" s="4">
        <v>0.0200249843945007</v>
      </c>
      <c r="H11" s="4">
        <v>0.3148</v>
      </c>
      <c r="I11" s="4">
        <v>0.00909395403551173</v>
      </c>
    </row>
    <row r="12">
      <c r="A12" s="4" t="s">
        <v>275</v>
      </c>
      <c r="B12" s="4">
        <v>0.494</v>
      </c>
      <c r="C12" s="4">
        <v>0.0</v>
      </c>
      <c r="D12" s="4">
        <v>0.322</v>
      </c>
      <c r="E12" s="4">
        <v>0.0</v>
      </c>
      <c r="F12" s="4">
        <v>0.333</v>
      </c>
      <c r="G12" s="4">
        <v>0.0</v>
      </c>
      <c r="H12" s="4">
        <v>0.283</v>
      </c>
      <c r="I12" s="4">
        <v>0.0</v>
      </c>
    </row>
    <row r="13">
      <c r="A13" s="4" t="s">
        <v>276</v>
      </c>
      <c r="B13" s="4">
        <v>0.459</v>
      </c>
      <c r="C13" s="4">
        <v>0.0</v>
      </c>
      <c r="D13" s="4">
        <v>0.371</v>
      </c>
      <c r="E13" s="4">
        <v>0.0</v>
      </c>
      <c r="F13" s="4">
        <v>0.281</v>
      </c>
      <c r="G13" s="4">
        <v>0.0</v>
      </c>
      <c r="H13" s="4">
        <v>0.323</v>
      </c>
      <c r="I13" s="4">
        <v>0.0</v>
      </c>
    </row>
    <row r="14">
      <c r="A14" s="4" t="s">
        <v>277</v>
      </c>
      <c r="B14" s="4">
        <v>0.4684</v>
      </c>
      <c r="C14" s="4">
        <v>0.024774987386475</v>
      </c>
      <c r="D14" s="4">
        <v>0.3738</v>
      </c>
      <c r="E14" s="4">
        <v>0.00535723809439155</v>
      </c>
      <c r="F14" s="4">
        <v>0.3222</v>
      </c>
      <c r="G14" s="4">
        <v>0.026920252599112</v>
      </c>
      <c r="H14" s="4">
        <v>0.3418</v>
      </c>
      <c r="I14" s="4">
        <v>0.0151558569536664</v>
      </c>
    </row>
    <row r="15">
      <c r="A15" s="4" t="s">
        <v>278</v>
      </c>
      <c r="B15" s="4">
        <v>0.517</v>
      </c>
      <c r="C15" s="4">
        <v>0.0</v>
      </c>
      <c r="D15" s="4">
        <v>0.326</v>
      </c>
      <c r="E15" s="4">
        <v>0.0</v>
      </c>
      <c r="F15" s="4">
        <v>0.363</v>
      </c>
      <c r="G15" s="4">
        <v>0.0</v>
      </c>
      <c r="H15" s="4">
        <v>0.297</v>
      </c>
      <c r="I15" s="4">
        <v>0.0</v>
      </c>
    </row>
    <row r="16">
      <c r="A16" s="4" t="s">
        <v>279</v>
      </c>
      <c r="B16" s="4">
        <v>0.475</v>
      </c>
      <c r="C16" s="4">
        <v>0.0</v>
      </c>
      <c r="D16" s="4">
        <v>0.378</v>
      </c>
      <c r="E16" s="4">
        <v>0.0</v>
      </c>
      <c r="F16" s="4">
        <v>0.325</v>
      </c>
      <c r="G16" s="4">
        <v>0.0</v>
      </c>
      <c r="H16" s="4">
        <v>0.35</v>
      </c>
      <c r="I16" s="4">
        <v>0.0</v>
      </c>
    </row>
    <row r="17">
      <c r="A17" s="4" t="s">
        <v>280</v>
      </c>
      <c r="B17" s="4">
        <v>0.453</v>
      </c>
      <c r="C17" s="4">
        <v>0.0209523268397569</v>
      </c>
      <c r="D17" s="4">
        <v>0.3744</v>
      </c>
      <c r="E17" s="4">
        <v>0.00907193474403338</v>
      </c>
      <c r="F17" s="4">
        <v>0.3236</v>
      </c>
      <c r="G17" s="4">
        <v>0.0135203550249244</v>
      </c>
      <c r="H17" s="4">
        <v>0.3432</v>
      </c>
      <c r="I17" s="4">
        <v>0.00540370243444249</v>
      </c>
    </row>
    <row r="18">
      <c r="A18" s="4" t="s">
        <v>281</v>
      </c>
      <c r="B18" s="4">
        <v>0.491</v>
      </c>
      <c r="C18" s="4">
        <v>0.0</v>
      </c>
      <c r="D18" s="4">
        <v>0.332</v>
      </c>
      <c r="E18" s="4">
        <v>0.0</v>
      </c>
      <c r="F18" s="4">
        <v>0.348</v>
      </c>
      <c r="G18" s="4">
        <v>0.0</v>
      </c>
      <c r="H18" s="4">
        <v>0.311</v>
      </c>
      <c r="I18" s="4">
        <v>0.0</v>
      </c>
    </row>
    <row r="19">
      <c r="A19" s="4" t="s">
        <v>282</v>
      </c>
      <c r="B19" s="4">
        <v>0.454</v>
      </c>
      <c r="C19" s="4">
        <v>0.0</v>
      </c>
      <c r="D19" s="4">
        <v>0.37</v>
      </c>
      <c r="E19" s="4">
        <v>0.0</v>
      </c>
      <c r="F19" s="4">
        <v>0.33</v>
      </c>
      <c r="G19" s="4">
        <v>0.0</v>
      </c>
      <c r="H19" s="4">
        <v>0.345</v>
      </c>
      <c r="I19" s="4">
        <v>0.0</v>
      </c>
    </row>
    <row r="20">
      <c r="A20" s="4" t="s">
        <v>283</v>
      </c>
      <c r="B20" s="4">
        <v>0.4296</v>
      </c>
      <c r="C20" s="4">
        <v>0.0227002202632485</v>
      </c>
      <c r="D20" s="4">
        <v>0.3694</v>
      </c>
      <c r="E20" s="4">
        <v>0.00594138031100518</v>
      </c>
      <c r="F20" s="4">
        <v>0.2824</v>
      </c>
      <c r="G20" s="4">
        <v>0.0194370779696949</v>
      </c>
      <c r="H20" s="4">
        <v>0.3248</v>
      </c>
      <c r="I20" s="4">
        <v>0.0144118007202431</v>
      </c>
    </row>
    <row r="21">
      <c r="A21" s="4" t="s">
        <v>284</v>
      </c>
      <c r="B21" s="4">
        <v>0.456</v>
      </c>
      <c r="C21" s="4">
        <v>0.0</v>
      </c>
      <c r="D21" s="4">
        <v>0.324</v>
      </c>
      <c r="E21" s="4">
        <v>0.0</v>
      </c>
      <c r="F21" s="4">
        <v>0.3</v>
      </c>
      <c r="G21" s="4">
        <v>0.0</v>
      </c>
      <c r="H21" s="4">
        <v>0.277</v>
      </c>
      <c r="I21" s="4">
        <v>0.0</v>
      </c>
    </row>
    <row r="22">
      <c r="A22" s="4" t="s">
        <v>285</v>
      </c>
      <c r="B22" s="4">
        <v>0.442</v>
      </c>
      <c r="C22" s="4">
        <v>0.0</v>
      </c>
      <c r="D22" s="4">
        <v>0.368</v>
      </c>
      <c r="E22" s="4">
        <v>0.0</v>
      </c>
      <c r="F22" s="4">
        <v>0.286</v>
      </c>
      <c r="G22" s="4">
        <v>0.0</v>
      </c>
      <c r="H22" s="4">
        <v>0.326</v>
      </c>
      <c r="I22" s="4">
        <v>0.0</v>
      </c>
    </row>
    <row r="23">
      <c r="A23" s="4" t="s">
        <v>286</v>
      </c>
      <c r="B23" s="4">
        <v>0.4884</v>
      </c>
      <c r="C23" s="4">
        <v>0.0160872620417521</v>
      </c>
      <c r="D23" s="4">
        <v>0.363</v>
      </c>
      <c r="E23" s="4">
        <v>0.00509901951359279</v>
      </c>
      <c r="F23" s="4">
        <v>0.309799999999999</v>
      </c>
      <c r="G23" s="4">
        <v>0.0149063744753712</v>
      </c>
      <c r="H23" s="4">
        <v>0.328</v>
      </c>
      <c r="I23" s="4">
        <v>0.00833666600026654</v>
      </c>
    </row>
    <row r="24">
      <c r="A24" s="4" t="s">
        <v>287</v>
      </c>
      <c r="B24" s="4">
        <v>0.508</v>
      </c>
      <c r="C24" s="4">
        <v>0.0</v>
      </c>
      <c r="D24" s="4">
        <v>0.32</v>
      </c>
      <c r="E24" s="4">
        <v>0.0</v>
      </c>
      <c r="F24" s="4">
        <v>0.325</v>
      </c>
      <c r="G24" s="4">
        <v>0.0</v>
      </c>
      <c r="H24" s="4">
        <v>0.284</v>
      </c>
      <c r="I24" s="4">
        <v>0.0</v>
      </c>
    </row>
    <row r="25">
      <c r="A25" s="4" t="s">
        <v>288</v>
      </c>
      <c r="B25" s="4">
        <v>0.498</v>
      </c>
      <c r="C25" s="4">
        <v>0.0</v>
      </c>
      <c r="D25" s="4">
        <v>0.369</v>
      </c>
      <c r="E25" s="4">
        <v>0.0</v>
      </c>
      <c r="F25" s="4">
        <v>0.308</v>
      </c>
      <c r="G25" s="4">
        <v>0.0</v>
      </c>
      <c r="H25" s="4">
        <v>0.34</v>
      </c>
      <c r="I25" s="4">
        <v>0.0</v>
      </c>
    </row>
    <row r="26">
      <c r="A26" s="4" t="s">
        <v>289</v>
      </c>
      <c r="B26" s="4">
        <v>0.3016</v>
      </c>
      <c r="C26" s="4">
        <v>0.0172278843738864</v>
      </c>
      <c r="D26" s="4">
        <v>0.337999999999999</v>
      </c>
      <c r="E26" s="4">
        <v>0.00587367006223535</v>
      </c>
      <c r="F26" s="4">
        <v>0.1792</v>
      </c>
      <c r="G26" s="4">
        <v>0.0134981480211175</v>
      </c>
      <c r="H26" s="4">
        <v>0.2692</v>
      </c>
      <c r="I26" s="4">
        <v>0.00746324326281812</v>
      </c>
    </row>
    <row r="27">
      <c r="A27" s="4" t="s">
        <v>290</v>
      </c>
      <c r="B27" s="4">
        <v>0.357</v>
      </c>
      <c r="C27" s="4">
        <v>0.0</v>
      </c>
      <c r="D27" s="4">
        <v>0.28</v>
      </c>
      <c r="E27" s="4">
        <v>0.0</v>
      </c>
      <c r="F27" s="4">
        <v>0.233</v>
      </c>
      <c r="G27" s="4">
        <v>0.0</v>
      </c>
      <c r="H27" s="4">
        <v>0.234</v>
      </c>
      <c r="I27" s="4">
        <v>0.0</v>
      </c>
    </row>
    <row r="28">
      <c r="A28" s="4" t="s">
        <v>291</v>
      </c>
      <c r="B28" s="4">
        <v>0.295</v>
      </c>
      <c r="C28" s="4">
        <v>0.0</v>
      </c>
      <c r="D28" s="4">
        <v>0.347</v>
      </c>
      <c r="E28" s="4">
        <v>0.0</v>
      </c>
      <c r="F28" s="4">
        <v>0.178</v>
      </c>
      <c r="G28" s="4">
        <v>0.0</v>
      </c>
      <c r="H28" s="4">
        <v>0.294</v>
      </c>
      <c r="I28" s="4">
        <v>0.0</v>
      </c>
    </row>
    <row r="29">
      <c r="A29" s="4" t="s">
        <v>292</v>
      </c>
      <c r="B29" s="4">
        <v>0.3106</v>
      </c>
      <c r="C29" s="4">
        <v>0.0226119437466132</v>
      </c>
      <c r="D29" s="4">
        <v>0.327</v>
      </c>
      <c r="E29" s="4">
        <v>0.0159843673631457</v>
      </c>
      <c r="F29" s="4">
        <v>0.1764</v>
      </c>
      <c r="G29" s="4">
        <v>0.0188494031735755</v>
      </c>
      <c r="H29" s="4">
        <v>0.257</v>
      </c>
      <c r="I29" s="4">
        <v>0.022237355957937</v>
      </c>
    </row>
    <row r="30">
      <c r="A30" s="4" t="s">
        <v>293</v>
      </c>
      <c r="B30" s="4">
        <v>0.399</v>
      </c>
      <c r="C30" s="4">
        <v>0.0</v>
      </c>
      <c r="D30" s="4">
        <v>0.259</v>
      </c>
      <c r="E30" s="4">
        <v>0.0</v>
      </c>
      <c r="F30" s="4">
        <v>0.227</v>
      </c>
      <c r="G30" s="4">
        <v>0.0</v>
      </c>
      <c r="H30" s="4">
        <v>0.206</v>
      </c>
      <c r="I30" s="4">
        <v>0.0</v>
      </c>
    </row>
    <row r="31">
      <c r="A31" s="4" t="s">
        <v>294</v>
      </c>
      <c r="B31" s="4">
        <v>0.277</v>
      </c>
      <c r="C31" s="4">
        <v>0.0</v>
      </c>
      <c r="D31" s="4">
        <v>0.309</v>
      </c>
      <c r="E31" s="4">
        <v>0.0</v>
      </c>
      <c r="F31" s="4">
        <v>0.157</v>
      </c>
      <c r="G31" s="4">
        <v>0.0</v>
      </c>
      <c r="H31" s="4">
        <v>0.247</v>
      </c>
      <c r="I31" s="4">
        <v>0.0</v>
      </c>
    </row>
    <row r="32">
      <c r="A32" s="4" t="s">
        <v>295</v>
      </c>
      <c r="B32" s="4">
        <v>0.2836</v>
      </c>
      <c r="C32" s="4">
        <v>0.024110163831878</v>
      </c>
      <c r="D32" s="4">
        <v>0.3288</v>
      </c>
      <c r="E32" s="4">
        <v>0.0108489630840924</v>
      </c>
      <c r="F32" s="4">
        <v>0.189</v>
      </c>
      <c r="G32" s="4">
        <v>0.0132098448136229</v>
      </c>
      <c r="H32" s="4">
        <v>0.29</v>
      </c>
      <c r="I32" s="4">
        <v>0.0104163333279998</v>
      </c>
    </row>
    <row r="33">
      <c r="A33" s="4" t="s">
        <v>296</v>
      </c>
      <c r="B33" s="4">
        <v>0.36</v>
      </c>
      <c r="C33" s="4">
        <v>0.0</v>
      </c>
      <c r="D33" s="4">
        <v>0.228</v>
      </c>
      <c r="E33" s="4">
        <v>0.0</v>
      </c>
      <c r="F33" s="4">
        <v>0.234</v>
      </c>
      <c r="G33" s="4">
        <v>0.0</v>
      </c>
      <c r="H33" s="4">
        <v>0.214</v>
      </c>
      <c r="I33" s="4">
        <v>0.0</v>
      </c>
    </row>
    <row r="34">
      <c r="A34" s="4" t="s">
        <v>297</v>
      </c>
      <c r="B34" s="4">
        <v>0.276</v>
      </c>
      <c r="C34" s="4">
        <v>0.0</v>
      </c>
      <c r="D34" s="4">
        <v>0.351</v>
      </c>
      <c r="E34" s="4">
        <v>0.0</v>
      </c>
      <c r="F34" s="4">
        <v>0.199</v>
      </c>
      <c r="G34" s="4">
        <v>0.0</v>
      </c>
      <c r="H34" s="4">
        <v>0.319</v>
      </c>
      <c r="I34" s="4">
        <v>0.0</v>
      </c>
    </row>
    <row r="35">
      <c r="A35" s="4" t="s">
        <v>298</v>
      </c>
      <c r="B35" s="4">
        <v>0.2892</v>
      </c>
      <c r="C35" s="4">
        <v>0.0117770964163498</v>
      </c>
      <c r="D35" s="4">
        <v>0.3316</v>
      </c>
      <c r="E35" s="4">
        <v>0.0161956784359285</v>
      </c>
      <c r="F35" s="4">
        <v>0.16</v>
      </c>
      <c r="G35" s="4">
        <v>0.0198871818013513</v>
      </c>
      <c r="H35" s="4">
        <v>0.2648</v>
      </c>
      <c r="I35" s="4">
        <v>0.0200922870773836</v>
      </c>
    </row>
    <row r="36">
      <c r="A36" s="4" t="s">
        <v>299</v>
      </c>
      <c r="B36" s="4">
        <v>0.352</v>
      </c>
      <c r="C36" s="4">
        <v>0.0</v>
      </c>
      <c r="D36" s="4">
        <v>0.274</v>
      </c>
      <c r="E36" s="4">
        <v>0.0</v>
      </c>
      <c r="F36" s="4">
        <v>0.212</v>
      </c>
      <c r="G36" s="4">
        <v>0.0</v>
      </c>
      <c r="H36" s="4">
        <v>0.228</v>
      </c>
      <c r="I36" s="4">
        <v>0.0</v>
      </c>
    </row>
    <row r="37">
      <c r="A37" s="4" t="s">
        <v>300</v>
      </c>
      <c r="B37" s="4">
        <v>0.278</v>
      </c>
      <c r="C37" s="4">
        <v>0.0</v>
      </c>
      <c r="D37" s="4">
        <v>0.331</v>
      </c>
      <c r="E37" s="4">
        <v>0.0</v>
      </c>
      <c r="F37" s="4">
        <v>0.15</v>
      </c>
      <c r="G37" s="4">
        <v>0.0</v>
      </c>
      <c r="H37" s="4">
        <v>0.272</v>
      </c>
      <c r="I37" s="4">
        <v>0.0</v>
      </c>
    </row>
    <row r="38">
      <c r="A38" s="4" t="s">
        <v>301</v>
      </c>
      <c r="B38" s="4">
        <v>0.3124</v>
      </c>
      <c r="C38" s="4">
        <v>0.0228429420171745</v>
      </c>
      <c r="D38" s="4">
        <v>0.3248</v>
      </c>
      <c r="E38" s="4">
        <v>0.0110770032048384</v>
      </c>
      <c r="F38" s="4">
        <v>0.177</v>
      </c>
      <c r="G38" s="4">
        <v>0.0236431808350737</v>
      </c>
      <c r="H38" s="4">
        <v>0.253799999999999</v>
      </c>
      <c r="I38" s="4">
        <v>0.0211352785645233</v>
      </c>
    </row>
    <row r="39">
      <c r="A39" s="4" t="s">
        <v>302</v>
      </c>
      <c r="B39" s="4">
        <v>0.355</v>
      </c>
      <c r="C39" s="4">
        <v>0.0</v>
      </c>
      <c r="D39" s="4">
        <v>0.281</v>
      </c>
      <c r="E39" s="4">
        <v>0.0</v>
      </c>
      <c r="F39" s="4">
        <v>0.219</v>
      </c>
      <c r="G39" s="4">
        <v>0.0</v>
      </c>
      <c r="H39" s="4">
        <v>0.224</v>
      </c>
      <c r="I39" s="4">
        <v>0.0</v>
      </c>
    </row>
    <row r="40">
      <c r="A40" s="4" t="s">
        <v>303</v>
      </c>
      <c r="B40" s="4">
        <v>0.328</v>
      </c>
      <c r="C40" s="4">
        <v>0.0</v>
      </c>
      <c r="D40" s="4">
        <v>0.337</v>
      </c>
      <c r="E40" s="4">
        <v>0.0</v>
      </c>
      <c r="F40" s="4">
        <v>0.185</v>
      </c>
      <c r="G40" s="4">
        <v>0.0</v>
      </c>
      <c r="H40" s="4">
        <v>0.274</v>
      </c>
      <c r="I40" s="4">
        <v>0.0</v>
      </c>
    </row>
    <row r="41">
      <c r="A41" s="4" t="s">
        <v>304</v>
      </c>
      <c r="B41" s="4">
        <v>0.2526</v>
      </c>
      <c r="C41" s="4">
        <v>0.0145705181788431</v>
      </c>
      <c r="D41" s="4">
        <v>0.3132</v>
      </c>
      <c r="E41" s="4">
        <v>0.0125379424149259</v>
      </c>
      <c r="F41" s="4">
        <v>0.163</v>
      </c>
      <c r="G41" s="4">
        <v>0.0123288280059379</v>
      </c>
      <c r="H41" s="4">
        <v>0.2636</v>
      </c>
      <c r="I41" s="4">
        <v>0.0178129166617934</v>
      </c>
    </row>
    <row r="42">
      <c r="A42" s="4" t="s">
        <v>305</v>
      </c>
      <c r="B42" s="4">
        <v>0.318</v>
      </c>
      <c r="C42" s="4">
        <v>0.0</v>
      </c>
      <c r="D42" s="4">
        <v>0.261</v>
      </c>
      <c r="E42" s="4">
        <v>0.0</v>
      </c>
      <c r="F42" s="4">
        <v>0.202</v>
      </c>
      <c r="G42" s="4">
        <v>0.0</v>
      </c>
      <c r="H42" s="4">
        <v>0.213</v>
      </c>
      <c r="I42" s="4">
        <v>0.0</v>
      </c>
    </row>
    <row r="43">
      <c r="A43" s="4" t="s">
        <v>306</v>
      </c>
      <c r="B43" s="4">
        <v>0.27</v>
      </c>
      <c r="C43" s="4">
        <v>0.0</v>
      </c>
      <c r="D43" s="4">
        <v>0.337</v>
      </c>
      <c r="E43" s="4">
        <v>0.0</v>
      </c>
      <c r="F43" s="4">
        <v>0.178</v>
      </c>
      <c r="G43" s="4">
        <v>0.0</v>
      </c>
      <c r="H43" s="4">
        <v>0.301</v>
      </c>
      <c r="I43" s="4">
        <v>0.0</v>
      </c>
    </row>
    <row r="44">
      <c r="A44" s="4" t="s">
        <v>307</v>
      </c>
      <c r="B44" s="4">
        <v>0.3482</v>
      </c>
      <c r="C44" s="4">
        <v>0.007190271204899</v>
      </c>
      <c r="D44" s="4">
        <v>0.3206</v>
      </c>
      <c r="E44" s="4">
        <v>0.00723187389270582</v>
      </c>
      <c r="F44" s="4">
        <v>0.2128</v>
      </c>
      <c r="G44" s="4">
        <v>0.0108949529599718</v>
      </c>
      <c r="H44" s="4">
        <v>0.2692</v>
      </c>
      <c r="I44" s="4">
        <v>0.0141138230115018</v>
      </c>
    </row>
    <row r="45">
      <c r="A45" s="4" t="s">
        <v>308</v>
      </c>
      <c r="B45" s="4">
        <v>0.351</v>
      </c>
      <c r="C45" s="4">
        <v>0.0</v>
      </c>
      <c r="D45" s="4">
        <v>0.3</v>
      </c>
      <c r="E45" s="4">
        <v>0.0</v>
      </c>
      <c r="F45" s="4">
        <v>0.217</v>
      </c>
      <c r="G45" s="4">
        <v>0.0</v>
      </c>
      <c r="H45" s="4">
        <v>0.24</v>
      </c>
      <c r="I45" s="4">
        <v>0.0</v>
      </c>
    </row>
    <row r="46">
      <c r="A46" s="4" t="s">
        <v>309</v>
      </c>
      <c r="B46" s="4">
        <v>0.372</v>
      </c>
      <c r="C46" s="4">
        <v>0.0</v>
      </c>
      <c r="D46" s="4">
        <v>0.33</v>
      </c>
      <c r="E46" s="4">
        <v>0.0</v>
      </c>
      <c r="F46" s="4">
        <v>0.229</v>
      </c>
      <c r="G46" s="4">
        <v>0.0</v>
      </c>
      <c r="H46" s="4">
        <v>0.274</v>
      </c>
      <c r="I46" s="4">
        <v>0.0</v>
      </c>
    </row>
    <row r="47">
      <c r="A47" s="4" t="s">
        <v>310</v>
      </c>
      <c r="B47" s="4">
        <v>0.3434</v>
      </c>
      <c r="C47" s="4">
        <v>0.0173579952759527</v>
      </c>
      <c r="D47" s="4">
        <v>0.3208</v>
      </c>
      <c r="E47" s="4">
        <v>0.00712039324756716</v>
      </c>
      <c r="F47" s="4">
        <v>0.2124</v>
      </c>
      <c r="G47" s="4">
        <v>0.0133154046127032</v>
      </c>
      <c r="H47" s="4">
        <v>0.2636</v>
      </c>
      <c r="I47" s="4">
        <v>0.00978774744259373</v>
      </c>
    </row>
    <row r="48">
      <c r="A48" s="4" t="s">
        <v>311</v>
      </c>
      <c r="B48" s="4">
        <v>0.374</v>
      </c>
      <c r="C48" s="4">
        <v>0.0</v>
      </c>
      <c r="D48" s="4">
        <v>0.286</v>
      </c>
      <c r="E48" s="4">
        <v>0.0</v>
      </c>
      <c r="F48" s="4">
        <v>0.242</v>
      </c>
      <c r="G48" s="4">
        <v>0.0</v>
      </c>
      <c r="H48" s="4">
        <v>0.236</v>
      </c>
      <c r="I48" s="4">
        <v>0.0</v>
      </c>
    </row>
    <row r="49">
      <c r="A49" s="4" t="s">
        <v>312</v>
      </c>
      <c r="B49" s="4">
        <v>0.36</v>
      </c>
      <c r="C49" s="4">
        <v>0.0</v>
      </c>
      <c r="D49" s="4">
        <v>0.339</v>
      </c>
      <c r="E49" s="4">
        <v>0.0</v>
      </c>
      <c r="F49" s="4">
        <v>0.213</v>
      </c>
      <c r="G49" s="4">
        <v>0.0</v>
      </c>
      <c r="H49" s="4">
        <v>0.267</v>
      </c>
      <c r="I49" s="4">
        <v>0.0</v>
      </c>
    </row>
    <row r="50">
      <c r="A50" s="4" t="s">
        <v>313</v>
      </c>
      <c r="B50" s="4">
        <v>0.3392</v>
      </c>
      <c r="C50" s="4">
        <v>0.00676017751246221</v>
      </c>
      <c r="D50" s="4">
        <v>0.3226</v>
      </c>
      <c r="E50" s="4">
        <v>0.00763544366752843</v>
      </c>
      <c r="F50" s="4">
        <v>0.2208</v>
      </c>
      <c r="G50" s="4">
        <v>0.00535723809439155</v>
      </c>
      <c r="H50" s="4">
        <v>0.237</v>
      </c>
      <c r="I50" s="4">
        <v>0.00809320702811932</v>
      </c>
    </row>
    <row r="51">
      <c r="A51" s="4" t="s">
        <v>314</v>
      </c>
      <c r="B51" s="4">
        <v>0.344</v>
      </c>
      <c r="C51" s="4">
        <v>0.0</v>
      </c>
      <c r="D51" s="4">
        <v>0.303</v>
      </c>
      <c r="E51" s="4">
        <v>0.0</v>
      </c>
      <c r="F51" s="4">
        <v>0.214</v>
      </c>
      <c r="G51" s="4">
        <v>0.0</v>
      </c>
      <c r="H51" s="4">
        <v>0.203</v>
      </c>
      <c r="I51" s="4">
        <v>0.0</v>
      </c>
    </row>
    <row r="52">
      <c r="A52" s="4" t="s">
        <v>315</v>
      </c>
      <c r="B52" s="4">
        <v>0.346</v>
      </c>
      <c r="C52" s="4">
        <v>0.0</v>
      </c>
      <c r="D52" s="4">
        <v>0.33</v>
      </c>
      <c r="E52" s="4">
        <v>0.0</v>
      </c>
      <c r="F52" s="4">
        <v>0.226</v>
      </c>
      <c r="G52" s="4">
        <v>0.0</v>
      </c>
      <c r="H52" s="4">
        <v>0.241</v>
      </c>
      <c r="I52" s="4">
        <v>0.0</v>
      </c>
    </row>
    <row r="53">
      <c r="A53" s="4" t="s">
        <v>316</v>
      </c>
      <c r="B53" s="4">
        <v>0.3592</v>
      </c>
      <c r="C53" s="4">
        <v>0.0149899966644426</v>
      </c>
      <c r="D53" s="4">
        <v>0.299799999999999</v>
      </c>
      <c r="E53" s="4">
        <v>0.00752994023880668</v>
      </c>
      <c r="F53" s="4">
        <v>0.2508</v>
      </c>
      <c r="G53" s="4">
        <v>0.0132551876637036</v>
      </c>
      <c r="H53" s="4">
        <v>0.2432</v>
      </c>
      <c r="I53" s="4">
        <v>0.0106160256216721</v>
      </c>
    </row>
    <row r="54">
      <c r="A54" s="4" t="s">
        <v>317</v>
      </c>
      <c r="B54" s="4">
        <v>0.374</v>
      </c>
      <c r="C54" s="4">
        <v>0.0</v>
      </c>
      <c r="D54" s="4">
        <v>0.274</v>
      </c>
      <c r="E54" s="4">
        <v>0.0</v>
      </c>
      <c r="F54" s="4">
        <v>0.25</v>
      </c>
      <c r="G54" s="4">
        <v>0.0</v>
      </c>
      <c r="H54" s="4">
        <v>0.221</v>
      </c>
      <c r="I54" s="4">
        <v>0.0</v>
      </c>
    </row>
    <row r="55">
      <c r="A55" s="4" t="s">
        <v>318</v>
      </c>
      <c r="B55" s="4">
        <v>0.356</v>
      </c>
      <c r="C55" s="4">
        <v>0.0</v>
      </c>
      <c r="D55" s="4">
        <v>0.299</v>
      </c>
      <c r="E55" s="4">
        <v>0.0</v>
      </c>
      <c r="F55" s="4">
        <v>0.251</v>
      </c>
      <c r="G55" s="4">
        <v>0.0</v>
      </c>
      <c r="H55" s="4">
        <v>0.242</v>
      </c>
      <c r="I55" s="4">
        <v>0.0</v>
      </c>
    </row>
    <row r="56">
      <c r="A56" s="4" t="s">
        <v>319</v>
      </c>
      <c r="B56" s="4">
        <v>0.281</v>
      </c>
      <c r="C56" s="4">
        <v>0.00547722557505163</v>
      </c>
      <c r="D56" s="4">
        <v>0.4496</v>
      </c>
      <c r="E56" s="4">
        <v>0.00219089023002066</v>
      </c>
      <c r="F56" s="4">
        <v>0.281</v>
      </c>
      <c r="G56" s="4">
        <v>0.00547722557505163</v>
      </c>
      <c r="H56" s="4">
        <v>0.4496</v>
      </c>
      <c r="I56" s="4">
        <v>0.00219089023002066</v>
      </c>
    </row>
    <row r="57">
      <c r="A57" s="4" t="s">
        <v>320</v>
      </c>
      <c r="B57" s="4">
        <v>0.282</v>
      </c>
      <c r="C57" s="4">
        <v>0.0</v>
      </c>
      <c r="D57" s="4">
        <v>0.447</v>
      </c>
      <c r="E57" s="4">
        <v>0.0</v>
      </c>
      <c r="F57" s="4">
        <v>0.281</v>
      </c>
      <c r="G57" s="4">
        <v>0.0</v>
      </c>
      <c r="H57" s="4">
        <v>0.447</v>
      </c>
      <c r="I57" s="4">
        <v>0.0</v>
      </c>
    </row>
    <row r="58">
      <c r="A58" s="4" t="s">
        <v>321</v>
      </c>
      <c r="B58" s="4">
        <v>0.277</v>
      </c>
      <c r="C58" s="4">
        <v>0.0</v>
      </c>
      <c r="D58" s="4">
        <v>0.448</v>
      </c>
      <c r="E58" s="4">
        <v>0.0</v>
      </c>
      <c r="F58" s="4">
        <v>0.277</v>
      </c>
      <c r="G58" s="4">
        <v>0.0</v>
      </c>
      <c r="H58" s="4">
        <v>0.448</v>
      </c>
      <c r="I58" s="4">
        <v>0.0</v>
      </c>
    </row>
    <row r="59">
      <c r="A59" s="4" t="s">
        <v>322</v>
      </c>
      <c r="B59" s="4">
        <v>0.3556</v>
      </c>
      <c r="C59" s="4">
        <v>0.0103101891350256</v>
      </c>
      <c r="D59" s="4">
        <v>0.3168</v>
      </c>
      <c r="E59" s="4">
        <v>0.00676017751246223</v>
      </c>
      <c r="F59" s="4">
        <v>0.235</v>
      </c>
      <c r="G59" s="4">
        <v>0.00827647267862341</v>
      </c>
      <c r="H59" s="4">
        <v>0.249399999999999</v>
      </c>
      <c r="I59" s="4">
        <v>0.00760263112349929</v>
      </c>
    </row>
    <row r="60">
      <c r="A60" s="4" t="s">
        <v>323</v>
      </c>
      <c r="B60" s="4">
        <v>0.354</v>
      </c>
      <c r="C60" s="4">
        <v>0.0</v>
      </c>
      <c r="D60" s="4">
        <v>0.275</v>
      </c>
      <c r="E60" s="4">
        <v>0.0</v>
      </c>
      <c r="F60" s="4">
        <v>0.227</v>
      </c>
      <c r="G60" s="4">
        <v>0.0</v>
      </c>
      <c r="H60" s="4">
        <v>0.21</v>
      </c>
      <c r="I60" s="4">
        <v>0.0</v>
      </c>
    </row>
    <row r="61">
      <c r="A61" s="4" t="s">
        <v>324</v>
      </c>
      <c r="B61" s="4">
        <v>0.363</v>
      </c>
      <c r="C61" s="4">
        <v>0.0</v>
      </c>
      <c r="D61" s="4">
        <v>0.319</v>
      </c>
      <c r="E61" s="4">
        <v>0.0</v>
      </c>
      <c r="F61" s="4">
        <v>0.237</v>
      </c>
      <c r="G61" s="4">
        <v>0.0</v>
      </c>
      <c r="H61" s="4">
        <v>0.25</v>
      </c>
      <c r="I61" s="4">
        <v>0.0</v>
      </c>
    </row>
    <row r="62">
      <c r="A62" s="4" t="s">
        <v>325</v>
      </c>
      <c r="B62" s="4">
        <v>0.383</v>
      </c>
      <c r="C62" s="4">
        <v>0.0186145104689862</v>
      </c>
      <c r="D62" s="4">
        <v>0.316399999999999</v>
      </c>
      <c r="E62" s="4">
        <v>0.0102615788258922</v>
      </c>
      <c r="F62" s="4">
        <v>0.267599999999999</v>
      </c>
      <c r="G62" s="4">
        <v>0.0185822495947073</v>
      </c>
      <c r="H62" s="4">
        <v>0.2622</v>
      </c>
      <c r="I62" s="4">
        <v>0.0159279628327039</v>
      </c>
    </row>
    <row r="63">
      <c r="A63" s="4" t="s">
        <v>326</v>
      </c>
      <c r="B63" s="4">
        <v>0.383</v>
      </c>
      <c r="C63" s="4">
        <v>0.0</v>
      </c>
      <c r="D63" s="4">
        <v>0.27</v>
      </c>
      <c r="E63" s="4">
        <v>0.0</v>
      </c>
      <c r="F63" s="4">
        <v>0.263</v>
      </c>
      <c r="G63" s="4">
        <v>0.0</v>
      </c>
      <c r="H63" s="4">
        <v>0.223</v>
      </c>
      <c r="I63" s="4">
        <v>0.0</v>
      </c>
    </row>
    <row r="64">
      <c r="A64" s="4" t="s">
        <v>327</v>
      </c>
      <c r="B64" s="4">
        <v>0.376</v>
      </c>
      <c r="C64" s="4">
        <v>0.0</v>
      </c>
      <c r="D64" s="4">
        <v>0.308</v>
      </c>
      <c r="E64" s="4">
        <v>0.0</v>
      </c>
      <c r="F64" s="4">
        <v>0.264</v>
      </c>
      <c r="G64" s="4">
        <v>0.0</v>
      </c>
      <c r="H64" s="4">
        <v>0.25</v>
      </c>
      <c r="I64" s="4">
        <v>0.0</v>
      </c>
    </row>
    <row r="65">
      <c r="A65" s="4" t="s">
        <v>328</v>
      </c>
      <c r="B65" s="4">
        <v>0.2978</v>
      </c>
      <c r="C65" s="4">
        <v>0.0188997354478839</v>
      </c>
      <c r="D65" s="4">
        <v>0.359199999999999</v>
      </c>
      <c r="E65" s="4">
        <v>0.00867179335547152</v>
      </c>
      <c r="F65" s="4">
        <v>0.211399999999999</v>
      </c>
      <c r="G65" s="4">
        <v>0.0129923054151293</v>
      </c>
      <c r="H65" s="4">
        <v>0.3034</v>
      </c>
      <c r="I65" s="4">
        <v>0.00993981891183135</v>
      </c>
    </row>
    <row r="66">
      <c r="A66" s="4" t="s">
        <v>329</v>
      </c>
      <c r="B66" s="4">
        <v>0.323</v>
      </c>
      <c r="C66" s="4">
        <v>0.0</v>
      </c>
      <c r="D66" s="4">
        <v>0.334</v>
      </c>
      <c r="E66" s="4">
        <v>0.0</v>
      </c>
      <c r="F66" s="4">
        <v>0.224</v>
      </c>
      <c r="G66" s="4">
        <v>0.0</v>
      </c>
      <c r="H66" s="4">
        <v>0.28</v>
      </c>
      <c r="I66" s="4">
        <v>0.0</v>
      </c>
    </row>
    <row r="67">
      <c r="A67" s="4" t="s">
        <v>330</v>
      </c>
      <c r="B67" s="4">
        <v>0.307</v>
      </c>
      <c r="C67" s="4">
        <v>0.0</v>
      </c>
      <c r="D67" s="4">
        <v>0.356</v>
      </c>
      <c r="E67" s="4">
        <v>0.0</v>
      </c>
      <c r="F67" s="4">
        <v>0.22</v>
      </c>
      <c r="G67" s="4">
        <v>0.0</v>
      </c>
      <c r="H67" s="4">
        <v>0.307</v>
      </c>
      <c r="I67" s="4">
        <v>0.0</v>
      </c>
    </row>
    <row r="68">
      <c r="A68" s="4" t="s">
        <v>331</v>
      </c>
      <c r="B68" s="4">
        <v>0.4004</v>
      </c>
      <c r="C68" s="4">
        <v>0.00594138031100516</v>
      </c>
      <c r="D68" s="4">
        <v>0.315</v>
      </c>
      <c r="E68" s="4">
        <v>0.00632455532033676</v>
      </c>
      <c r="F68" s="4">
        <v>0.264</v>
      </c>
      <c r="G68" s="4">
        <v>0.00452769256906871</v>
      </c>
      <c r="H68" s="4">
        <v>0.2408</v>
      </c>
      <c r="I68" s="4">
        <v>0.00544977063737549</v>
      </c>
    </row>
    <row r="69">
      <c r="A69" s="4" t="s">
        <v>332</v>
      </c>
      <c r="B69" s="4">
        <v>0.396</v>
      </c>
      <c r="C69" s="4">
        <v>0.0</v>
      </c>
      <c r="D69" s="4">
        <v>0.31</v>
      </c>
      <c r="E69" s="4">
        <v>0.0</v>
      </c>
      <c r="F69" s="4">
        <v>0.258</v>
      </c>
      <c r="G69" s="4">
        <v>0.0</v>
      </c>
      <c r="H69" s="4">
        <v>0.234</v>
      </c>
      <c r="I69" s="4">
        <v>0.0</v>
      </c>
    </row>
    <row r="70">
      <c r="A70" s="4" t="s">
        <v>333</v>
      </c>
      <c r="B70" s="4">
        <v>0.401</v>
      </c>
      <c r="C70" s="4">
        <v>0.0</v>
      </c>
      <c r="D70" s="4">
        <v>0.315</v>
      </c>
      <c r="E70" s="4">
        <v>0.0</v>
      </c>
      <c r="F70" s="4">
        <v>0.266</v>
      </c>
      <c r="G70" s="4">
        <v>0.0</v>
      </c>
      <c r="H70" s="4">
        <v>0.239</v>
      </c>
      <c r="I70" s="4">
        <v>0.0</v>
      </c>
    </row>
    <row r="71">
      <c r="A71" s="4" t="s">
        <v>334</v>
      </c>
      <c r="B71" s="4">
        <v>0.4214</v>
      </c>
      <c r="C71" s="4">
        <v>0.00789303490426845</v>
      </c>
      <c r="D71" s="4">
        <v>0.3238</v>
      </c>
      <c r="E71" s="4">
        <v>0.0101341008481265</v>
      </c>
      <c r="F71" s="4">
        <v>0.2862</v>
      </c>
      <c r="G71" s="4">
        <v>0.00813633824272319</v>
      </c>
      <c r="H71" s="4">
        <v>0.2636</v>
      </c>
      <c r="I71" s="4">
        <v>0.00782943165242536</v>
      </c>
    </row>
    <row r="72">
      <c r="A72" s="4" t="s">
        <v>335</v>
      </c>
      <c r="B72" s="4">
        <v>0.423</v>
      </c>
      <c r="C72" s="4">
        <v>0.0</v>
      </c>
      <c r="D72" s="4">
        <v>0.29</v>
      </c>
      <c r="E72" s="4">
        <v>0.0</v>
      </c>
      <c r="F72" s="4">
        <v>0.282</v>
      </c>
      <c r="G72" s="4">
        <v>0.0</v>
      </c>
      <c r="H72" s="4">
        <v>0.237</v>
      </c>
      <c r="I72" s="4">
        <v>0.0</v>
      </c>
    </row>
    <row r="73">
      <c r="A73" s="4" t="s">
        <v>336</v>
      </c>
      <c r="B73" s="4">
        <v>0.436</v>
      </c>
      <c r="C73" s="4">
        <v>0.0</v>
      </c>
      <c r="D73" s="4">
        <v>0.329</v>
      </c>
      <c r="E73" s="4">
        <v>0.0</v>
      </c>
      <c r="F73" s="4">
        <v>0.3</v>
      </c>
      <c r="G73" s="4">
        <v>0.0</v>
      </c>
      <c r="H73" s="4">
        <v>0.272</v>
      </c>
      <c r="I73" s="4">
        <v>0.0</v>
      </c>
    </row>
    <row r="74">
      <c r="A74" s="4" t="s">
        <v>337</v>
      </c>
      <c r="B74" s="4">
        <v>0.1274</v>
      </c>
      <c r="C74" s="4">
        <v>0.0208398656425611</v>
      </c>
      <c r="D74" s="4">
        <v>0.226799999999999</v>
      </c>
      <c r="E74" s="4">
        <v>0.0223203942617508</v>
      </c>
      <c r="F74" s="4">
        <v>0.0496</v>
      </c>
      <c r="G74" s="4">
        <v>0.00536656314599949</v>
      </c>
      <c r="H74" s="4">
        <v>0.1264</v>
      </c>
      <c r="I74" s="4">
        <v>0.017952715672009</v>
      </c>
    </row>
    <row r="75">
      <c r="A75" s="4" t="s">
        <v>338</v>
      </c>
      <c r="B75" s="4">
        <v>0.179</v>
      </c>
      <c r="C75" s="4">
        <v>0.0</v>
      </c>
      <c r="D75" s="4">
        <v>0.221</v>
      </c>
      <c r="E75" s="4">
        <v>0.0</v>
      </c>
      <c r="F75" s="4">
        <v>0.078</v>
      </c>
      <c r="G75" s="4">
        <v>0.0</v>
      </c>
      <c r="H75" s="4">
        <v>0.116</v>
      </c>
      <c r="I75" s="4">
        <v>0.0</v>
      </c>
    </row>
    <row r="76">
      <c r="A76" s="4" t="s">
        <v>339</v>
      </c>
      <c r="B76" s="4">
        <v>0.154</v>
      </c>
      <c r="C76" s="4">
        <v>0.0</v>
      </c>
      <c r="D76" s="4">
        <v>0.314</v>
      </c>
      <c r="E76" s="4">
        <v>0.0</v>
      </c>
      <c r="F76" s="4">
        <v>0.113</v>
      </c>
      <c r="G76" s="4">
        <v>0.0</v>
      </c>
      <c r="H76" s="4">
        <v>0.291</v>
      </c>
      <c r="I76" s="4">
        <v>0.0</v>
      </c>
    </row>
    <row r="77">
      <c r="A77" s="4" t="s">
        <v>340</v>
      </c>
      <c r="B77" s="4">
        <v>0.117799999999999</v>
      </c>
      <c r="C77" s="4">
        <v>0.010663020210053</v>
      </c>
      <c r="D77" s="4">
        <v>0.217999999999999</v>
      </c>
      <c r="E77" s="4">
        <v>0.020880613017821</v>
      </c>
      <c r="F77" s="4">
        <v>0.0406</v>
      </c>
      <c r="G77" s="4">
        <v>0.00898888202169769</v>
      </c>
      <c r="H77" s="4">
        <v>0.1326</v>
      </c>
      <c r="I77" s="4">
        <v>0.0301628911081149</v>
      </c>
    </row>
    <row r="78">
      <c r="A78" s="4" t="s">
        <v>341</v>
      </c>
      <c r="B78" s="4">
        <v>0.165</v>
      </c>
      <c r="C78" s="4">
        <v>0.0</v>
      </c>
      <c r="D78" s="4">
        <v>0.206</v>
      </c>
      <c r="E78" s="4">
        <v>0.0</v>
      </c>
      <c r="F78" s="4">
        <v>0.069</v>
      </c>
      <c r="G78" s="4">
        <v>0.0</v>
      </c>
      <c r="H78" s="4">
        <v>0.123</v>
      </c>
      <c r="I78" s="4">
        <v>0.0</v>
      </c>
    </row>
    <row r="79">
      <c r="A79" s="4" t="s">
        <v>342</v>
      </c>
      <c r="B79" s="4">
        <v>0.186</v>
      </c>
      <c r="C79" s="4">
        <v>0.0</v>
      </c>
      <c r="D79" s="4">
        <v>0.346</v>
      </c>
      <c r="E79" s="4">
        <v>0.0</v>
      </c>
      <c r="F79" s="4">
        <v>0.128</v>
      </c>
      <c r="G79" s="4">
        <v>0.0</v>
      </c>
      <c r="H79" s="4">
        <v>0.325</v>
      </c>
      <c r="I79" s="4">
        <v>0.0</v>
      </c>
    </row>
    <row r="80">
      <c r="A80" s="4" t="s">
        <v>343</v>
      </c>
      <c r="B80" s="4">
        <v>0.1008</v>
      </c>
      <c r="C80" s="4">
        <v>0.0137368118571959</v>
      </c>
      <c r="D80" s="4">
        <v>0.199</v>
      </c>
      <c r="E80" s="4">
        <v>0.0116619037896906</v>
      </c>
      <c r="F80" s="4">
        <v>0.034</v>
      </c>
      <c r="G80" s="4">
        <v>0.00663324958071079</v>
      </c>
      <c r="H80" s="4">
        <v>0.1034</v>
      </c>
      <c r="I80" s="4">
        <v>0.0193726611491555</v>
      </c>
    </row>
    <row r="81">
      <c r="A81" s="4" t="s">
        <v>344</v>
      </c>
      <c r="B81" s="4">
        <v>0.157</v>
      </c>
      <c r="C81" s="4">
        <v>0.0</v>
      </c>
      <c r="D81" s="4">
        <v>0.208</v>
      </c>
      <c r="E81" s="4">
        <v>0.0</v>
      </c>
      <c r="F81" s="4">
        <v>0.059</v>
      </c>
      <c r="G81" s="4">
        <v>0.0</v>
      </c>
      <c r="H81" s="4">
        <v>0.111</v>
      </c>
      <c r="I81" s="4">
        <v>0.0</v>
      </c>
    </row>
    <row r="82">
      <c r="A82" s="4" t="s">
        <v>345</v>
      </c>
      <c r="B82" s="4">
        <v>0.109</v>
      </c>
      <c r="C82" s="4">
        <v>0.0</v>
      </c>
      <c r="D82" s="4">
        <v>0.284</v>
      </c>
      <c r="E82" s="4">
        <v>0.0</v>
      </c>
      <c r="F82" s="4">
        <v>0.092</v>
      </c>
      <c r="G82" s="4">
        <v>0.0</v>
      </c>
      <c r="H82" s="4">
        <v>0.274</v>
      </c>
      <c r="I82" s="4">
        <v>0.0</v>
      </c>
    </row>
    <row r="83">
      <c r="A83" s="4" t="s">
        <v>346</v>
      </c>
      <c r="B83" s="4">
        <v>0.1424</v>
      </c>
      <c r="C83" s="4">
        <v>0.0142407864951343</v>
      </c>
      <c r="D83" s="4">
        <v>0.2558</v>
      </c>
      <c r="E83" s="4">
        <v>0.0149566038925954</v>
      </c>
      <c r="F83" s="4">
        <v>0.0802</v>
      </c>
      <c r="G83" s="4">
        <v>0.0145155089473294</v>
      </c>
      <c r="H83" s="4">
        <v>0.191</v>
      </c>
      <c r="I83" s="4">
        <v>0.0240208242989286</v>
      </c>
    </row>
    <row r="84">
      <c r="A84" s="4" t="s">
        <v>347</v>
      </c>
      <c r="B84" s="4">
        <v>0.19</v>
      </c>
      <c r="C84" s="4">
        <v>0.0</v>
      </c>
      <c r="D84" s="4">
        <v>0.204</v>
      </c>
      <c r="E84" s="4">
        <v>0.0</v>
      </c>
      <c r="F84" s="4">
        <v>0.108</v>
      </c>
      <c r="G84" s="4">
        <v>0.0</v>
      </c>
      <c r="H84" s="4">
        <v>0.13</v>
      </c>
      <c r="I84" s="4">
        <v>0.0</v>
      </c>
    </row>
    <row r="85">
      <c r="A85" s="4" t="s">
        <v>348</v>
      </c>
      <c r="B85" s="4">
        <v>0.15</v>
      </c>
      <c r="C85" s="4">
        <v>0.0</v>
      </c>
      <c r="D85" s="4">
        <v>0.316</v>
      </c>
      <c r="E85" s="4">
        <v>0.0</v>
      </c>
      <c r="F85" s="4">
        <v>0.109</v>
      </c>
      <c r="G85" s="4">
        <v>0.0</v>
      </c>
      <c r="H85" s="4">
        <v>0.283</v>
      </c>
      <c r="I85" s="4">
        <v>0.0</v>
      </c>
    </row>
    <row r="86">
      <c r="A86" s="4" t="s">
        <v>349</v>
      </c>
      <c r="B86" s="4">
        <v>0.1246</v>
      </c>
      <c r="C86" s="4">
        <v>0.0171842951557519</v>
      </c>
      <c r="D86" s="4">
        <v>0.2382</v>
      </c>
      <c r="E86" s="4">
        <v>0.0277254395817271</v>
      </c>
      <c r="F86" s="4">
        <v>0.0576</v>
      </c>
      <c r="G86" s="4">
        <v>0.0218013761033564</v>
      </c>
      <c r="H86" s="4">
        <v>0.166999999999999</v>
      </c>
      <c r="I86" s="4">
        <v>0.0513078941294612</v>
      </c>
    </row>
    <row r="87">
      <c r="A87" s="4" t="s">
        <v>350</v>
      </c>
      <c r="B87" s="4">
        <v>0.174</v>
      </c>
      <c r="C87" s="4">
        <v>0.0</v>
      </c>
      <c r="D87" s="4">
        <v>0.219</v>
      </c>
      <c r="E87" s="4">
        <v>0.0</v>
      </c>
      <c r="F87" s="4">
        <v>0.077</v>
      </c>
      <c r="G87" s="4">
        <v>0.0</v>
      </c>
      <c r="H87" s="4">
        <v>0.144</v>
      </c>
      <c r="I87" s="4">
        <v>0.0</v>
      </c>
    </row>
    <row r="88">
      <c r="A88" s="4" t="s">
        <v>351</v>
      </c>
      <c r="B88" s="4">
        <v>0.174</v>
      </c>
      <c r="C88" s="4">
        <v>0.0</v>
      </c>
      <c r="D88" s="4">
        <v>0.337</v>
      </c>
      <c r="E88" s="4">
        <v>0.0</v>
      </c>
      <c r="F88" s="4">
        <v>0.135</v>
      </c>
      <c r="G88" s="4">
        <v>0.0</v>
      </c>
      <c r="H88" s="4">
        <v>0.316</v>
      </c>
      <c r="I88" s="4">
        <v>0.0</v>
      </c>
    </row>
    <row r="89">
      <c r="A89" s="4" t="s">
        <v>352</v>
      </c>
      <c r="B89" s="4">
        <v>0.1028</v>
      </c>
      <c r="C89" s="4">
        <v>0.00729383301152418</v>
      </c>
      <c r="D89" s="4">
        <v>0.2018</v>
      </c>
      <c r="E89" s="4">
        <v>0.00697853852894715</v>
      </c>
      <c r="F89" s="4">
        <v>0.0496</v>
      </c>
      <c r="G89" s="4">
        <v>0.00606630035524124</v>
      </c>
      <c r="H89" s="4">
        <v>0.1274</v>
      </c>
      <c r="I89" s="4">
        <v>0.0171260036202261</v>
      </c>
    </row>
    <row r="90">
      <c r="A90" s="4" t="s">
        <v>353</v>
      </c>
      <c r="B90" s="4">
        <v>0.161</v>
      </c>
      <c r="C90" s="4">
        <v>0.0</v>
      </c>
      <c r="D90" s="4">
        <v>0.206</v>
      </c>
      <c r="E90" s="4">
        <v>0.0</v>
      </c>
      <c r="F90" s="4">
        <v>0.077</v>
      </c>
      <c r="G90" s="4">
        <v>0.0</v>
      </c>
      <c r="H90" s="4">
        <v>0.119</v>
      </c>
      <c r="I90" s="4">
        <v>0.0</v>
      </c>
    </row>
    <row r="91">
      <c r="A91" s="4" t="s">
        <v>354</v>
      </c>
      <c r="B91" s="4">
        <v>0.178</v>
      </c>
      <c r="C91" s="4">
        <v>0.0</v>
      </c>
      <c r="D91" s="4">
        <v>0.349</v>
      </c>
      <c r="E91" s="4">
        <v>0.0</v>
      </c>
      <c r="F91" s="4">
        <v>0.143</v>
      </c>
      <c r="G91" s="4">
        <v>0.0</v>
      </c>
      <c r="H91" s="4">
        <v>0.327</v>
      </c>
      <c r="I91" s="4">
        <v>0.0</v>
      </c>
    </row>
    <row r="92">
      <c r="A92" s="4" t="s">
        <v>355</v>
      </c>
      <c r="B92" s="4">
        <v>0.179199999999999</v>
      </c>
      <c r="C92" s="4">
        <v>0.0168285471743701</v>
      </c>
      <c r="D92" s="4">
        <v>0.294799999999999</v>
      </c>
      <c r="E92" s="4">
        <v>0.0151062900806253</v>
      </c>
      <c r="F92" s="4">
        <v>0.1202</v>
      </c>
      <c r="G92" s="4">
        <v>0.00798122797569396</v>
      </c>
      <c r="H92" s="4">
        <v>0.258399999999999</v>
      </c>
      <c r="I92" s="4">
        <v>0.00947628619238571</v>
      </c>
    </row>
    <row r="93">
      <c r="A93" s="4" t="s">
        <v>356</v>
      </c>
      <c r="B93" s="4">
        <v>0.212</v>
      </c>
      <c r="C93" s="4">
        <v>0.0</v>
      </c>
      <c r="D93" s="4">
        <v>0.238</v>
      </c>
      <c r="E93" s="4">
        <v>0.0</v>
      </c>
      <c r="F93" s="4">
        <v>0.133</v>
      </c>
      <c r="G93" s="4">
        <v>0.0</v>
      </c>
      <c r="H93" s="4">
        <v>0.185</v>
      </c>
      <c r="I93" s="4">
        <v>0.0</v>
      </c>
    </row>
    <row r="94">
      <c r="A94" s="4" t="s">
        <v>357</v>
      </c>
      <c r="B94" s="4">
        <v>0.197</v>
      </c>
      <c r="C94" s="4">
        <v>0.0</v>
      </c>
      <c r="D94" s="4">
        <v>0.338</v>
      </c>
      <c r="E94" s="4">
        <v>0.0</v>
      </c>
      <c r="F94" s="4">
        <v>0.148</v>
      </c>
      <c r="G94" s="4">
        <v>0.0</v>
      </c>
      <c r="H94" s="4">
        <v>0.315</v>
      </c>
      <c r="I94" s="4">
        <v>0.0</v>
      </c>
    </row>
    <row r="95">
      <c r="A95" s="4" t="s">
        <v>358</v>
      </c>
      <c r="B95" s="4">
        <v>0.1666</v>
      </c>
      <c r="C95" s="4">
        <v>0.0234158066271482</v>
      </c>
      <c r="D95" s="4">
        <v>0.2812</v>
      </c>
      <c r="E95" s="4">
        <v>0.0239207023308263</v>
      </c>
      <c r="F95" s="4">
        <v>0.1056</v>
      </c>
      <c r="G95" s="4">
        <v>0.0133902949930163</v>
      </c>
      <c r="H95" s="4">
        <v>0.2464</v>
      </c>
      <c r="I95" s="4">
        <v>0.024480604567698</v>
      </c>
    </row>
    <row r="96">
      <c r="A96" s="4" t="s">
        <v>359</v>
      </c>
      <c r="B96" s="4">
        <v>0.203</v>
      </c>
      <c r="C96" s="4">
        <v>0.0</v>
      </c>
      <c r="D96" s="4">
        <v>0.232</v>
      </c>
      <c r="E96" s="4">
        <v>0.0</v>
      </c>
      <c r="F96" s="4">
        <v>0.118</v>
      </c>
      <c r="G96" s="4">
        <v>0.0</v>
      </c>
      <c r="H96" s="4">
        <v>0.183</v>
      </c>
      <c r="I96" s="4">
        <v>0.0</v>
      </c>
    </row>
    <row r="97">
      <c r="A97" s="4" t="s">
        <v>360</v>
      </c>
      <c r="B97" s="4">
        <v>0.196</v>
      </c>
      <c r="C97" s="4">
        <v>0.0</v>
      </c>
      <c r="D97" s="4">
        <v>0.347</v>
      </c>
      <c r="E97" s="4">
        <v>0.0</v>
      </c>
      <c r="F97" s="4">
        <v>0.142</v>
      </c>
      <c r="G97" s="4">
        <v>0.0</v>
      </c>
      <c r="H97" s="4">
        <v>0.318</v>
      </c>
      <c r="I97" s="4">
        <v>0.0</v>
      </c>
    </row>
    <row r="98">
      <c r="A98" s="4" t="s">
        <v>361</v>
      </c>
      <c r="B98" s="4">
        <v>0.4516</v>
      </c>
      <c r="C98" s="4">
        <v>0.0165015150819553</v>
      </c>
      <c r="D98" s="4">
        <v>0.3674</v>
      </c>
      <c r="E98" s="4">
        <v>0.0124619420637395</v>
      </c>
      <c r="F98" s="4">
        <v>0.2602</v>
      </c>
      <c r="G98" s="4">
        <v>0.0178661691473018</v>
      </c>
      <c r="H98" s="4">
        <v>0.2942</v>
      </c>
      <c r="I98" s="4">
        <v>0.0163003067455799</v>
      </c>
    </row>
    <row r="99">
      <c r="A99" s="4" t="s">
        <v>362</v>
      </c>
      <c r="B99" s="4">
        <v>0.496</v>
      </c>
      <c r="C99" s="4">
        <v>0.0</v>
      </c>
      <c r="D99" s="4">
        <v>0.337</v>
      </c>
      <c r="E99" s="4">
        <v>0.0</v>
      </c>
      <c r="F99" s="4">
        <v>0.295</v>
      </c>
      <c r="G99" s="4">
        <v>0.0</v>
      </c>
      <c r="H99" s="4">
        <v>0.263</v>
      </c>
      <c r="I99" s="4">
        <v>0.0</v>
      </c>
    </row>
    <row r="100">
      <c r="A100" s="4" t="s">
        <v>363</v>
      </c>
      <c r="B100" s="4">
        <v>0.442</v>
      </c>
      <c r="C100" s="4">
        <v>0.0</v>
      </c>
      <c r="D100" s="4">
        <v>0.376</v>
      </c>
      <c r="E100" s="4">
        <v>0.0</v>
      </c>
      <c r="F100" s="4">
        <v>0.269</v>
      </c>
      <c r="G100" s="4">
        <v>0.0</v>
      </c>
      <c r="H100" s="4">
        <v>0.311</v>
      </c>
      <c r="I100" s="4">
        <v>0.0</v>
      </c>
    </row>
    <row r="101">
      <c r="A101" s="4" t="s">
        <v>364</v>
      </c>
      <c r="B101" s="4">
        <v>0.453599999999999</v>
      </c>
      <c r="C101" s="4">
        <v>0.0247951608181919</v>
      </c>
      <c r="D101" s="4">
        <v>0.359199999999999</v>
      </c>
      <c r="E101" s="4">
        <v>0.00887130204648675</v>
      </c>
      <c r="F101" s="4">
        <v>0.2698</v>
      </c>
      <c r="G101" s="4">
        <v>0.0159749804381726</v>
      </c>
      <c r="H101" s="4">
        <v>0.3004</v>
      </c>
      <c r="I101" s="4">
        <v>0.00955510334847301</v>
      </c>
    </row>
    <row r="102">
      <c r="A102" s="4" t="s">
        <v>365</v>
      </c>
      <c r="B102" s="4">
        <v>0.485</v>
      </c>
      <c r="C102" s="4">
        <v>0.0</v>
      </c>
      <c r="D102" s="4">
        <v>0.338</v>
      </c>
      <c r="E102" s="4">
        <v>0.0</v>
      </c>
      <c r="F102" s="4">
        <v>0.292</v>
      </c>
      <c r="G102" s="4">
        <v>0.0</v>
      </c>
      <c r="H102" s="4">
        <v>0.256</v>
      </c>
      <c r="I102" s="4">
        <v>0.0</v>
      </c>
    </row>
    <row r="103">
      <c r="A103" s="4" t="s">
        <v>366</v>
      </c>
      <c r="B103" s="4">
        <v>0.467</v>
      </c>
      <c r="C103" s="4">
        <v>0.0</v>
      </c>
      <c r="D103" s="4">
        <v>0.36</v>
      </c>
      <c r="E103" s="4">
        <v>0.0</v>
      </c>
      <c r="F103" s="4">
        <v>0.294</v>
      </c>
      <c r="G103" s="4">
        <v>0.0</v>
      </c>
      <c r="H103" s="4">
        <v>0.322</v>
      </c>
      <c r="I103" s="4">
        <v>0.0</v>
      </c>
    </row>
    <row r="104">
      <c r="A104" s="4" t="s">
        <v>367</v>
      </c>
      <c r="B104" s="4">
        <v>0.4682</v>
      </c>
      <c r="C104" s="4">
        <v>0.00852642949891686</v>
      </c>
      <c r="D104" s="4">
        <v>0.3702</v>
      </c>
      <c r="E104" s="4">
        <v>0.00819756061276768</v>
      </c>
      <c r="F104" s="4">
        <v>0.285599999999999</v>
      </c>
      <c r="G104" s="4">
        <v>0.00770064932327136</v>
      </c>
      <c r="H104" s="4">
        <v>0.3056</v>
      </c>
      <c r="I104" s="4">
        <v>0.00568330889535313</v>
      </c>
    </row>
    <row r="105">
      <c r="A105" s="4" t="s">
        <v>368</v>
      </c>
      <c r="B105" s="4">
        <v>0.502</v>
      </c>
      <c r="C105" s="4">
        <v>0.0</v>
      </c>
      <c r="D105" s="4">
        <v>0.355</v>
      </c>
      <c r="E105" s="4">
        <v>0.0</v>
      </c>
      <c r="F105" s="4">
        <v>0.301</v>
      </c>
      <c r="G105" s="4">
        <v>0.0</v>
      </c>
      <c r="H105" s="4">
        <v>0.269</v>
      </c>
      <c r="I105" s="4">
        <v>0.0</v>
      </c>
    </row>
    <row r="106">
      <c r="A106" s="4" t="s">
        <v>369</v>
      </c>
      <c r="B106" s="4">
        <v>0.479</v>
      </c>
      <c r="C106" s="4">
        <v>0.0</v>
      </c>
      <c r="D106" s="4">
        <v>0.365</v>
      </c>
      <c r="E106" s="4">
        <v>0.0</v>
      </c>
      <c r="F106" s="4">
        <v>0.307</v>
      </c>
      <c r="G106" s="4">
        <v>0.0</v>
      </c>
      <c r="H106" s="4">
        <v>0.318</v>
      </c>
      <c r="I106" s="4">
        <v>0.0</v>
      </c>
    </row>
    <row r="107">
      <c r="A107" s="4" t="s">
        <v>370</v>
      </c>
      <c r="B107" s="4">
        <v>0.469</v>
      </c>
      <c r="C107" s="4">
        <v>0.0131909059582729</v>
      </c>
      <c r="D107" s="4">
        <v>0.372799999999999</v>
      </c>
      <c r="E107" s="4">
        <v>0.00672309452558865</v>
      </c>
      <c r="F107" s="4">
        <v>0.265399999999999</v>
      </c>
      <c r="G107" s="4">
        <v>0.013831124321616</v>
      </c>
      <c r="H107" s="4">
        <v>0.288599999999999</v>
      </c>
      <c r="I107" s="4">
        <v>0.00931665175908168</v>
      </c>
    </row>
    <row r="108">
      <c r="A108" s="4" t="s">
        <v>371</v>
      </c>
      <c r="B108" s="4">
        <v>0.502</v>
      </c>
      <c r="C108" s="4">
        <v>0.0</v>
      </c>
      <c r="D108" s="4">
        <v>0.358</v>
      </c>
      <c r="E108" s="4">
        <v>0.0</v>
      </c>
      <c r="F108" s="4">
        <v>0.283</v>
      </c>
      <c r="G108" s="4">
        <v>0.0</v>
      </c>
      <c r="H108" s="4">
        <v>0.26</v>
      </c>
      <c r="I108" s="4">
        <v>0.0</v>
      </c>
    </row>
    <row r="109">
      <c r="A109" s="4" t="s">
        <v>372</v>
      </c>
      <c r="B109" s="4">
        <v>0.469</v>
      </c>
      <c r="C109" s="4">
        <v>0.0</v>
      </c>
      <c r="D109" s="4">
        <v>0.382</v>
      </c>
      <c r="E109" s="4">
        <v>0.0</v>
      </c>
      <c r="F109" s="4">
        <v>0.285</v>
      </c>
      <c r="G109" s="4">
        <v>0.0</v>
      </c>
      <c r="H109" s="4">
        <v>0.297</v>
      </c>
      <c r="I109" s="4">
        <v>0.0</v>
      </c>
    </row>
    <row r="110">
      <c r="A110" s="4" t="s">
        <v>373</v>
      </c>
      <c r="B110" s="4">
        <v>0.45</v>
      </c>
      <c r="C110" s="4">
        <v>0.0197863589374093</v>
      </c>
      <c r="D110" s="4">
        <v>0.3626</v>
      </c>
      <c r="E110" s="4">
        <v>0.00403732584763727</v>
      </c>
      <c r="F110" s="4">
        <v>0.2692</v>
      </c>
      <c r="G110" s="4">
        <v>0.0152216950435882</v>
      </c>
      <c r="H110" s="4">
        <v>0.303</v>
      </c>
      <c r="I110" s="4">
        <v>0.0177059312096257</v>
      </c>
    </row>
    <row r="111">
      <c r="A111" s="4" t="s">
        <v>374</v>
      </c>
      <c r="B111" s="4">
        <v>0.465</v>
      </c>
      <c r="C111" s="4">
        <v>0.0</v>
      </c>
      <c r="D111" s="4">
        <v>0.349</v>
      </c>
      <c r="E111" s="4">
        <v>0.0</v>
      </c>
      <c r="F111" s="4">
        <v>0.285</v>
      </c>
      <c r="G111" s="4">
        <v>0.0</v>
      </c>
      <c r="H111" s="4">
        <v>0.263</v>
      </c>
      <c r="I111" s="4">
        <v>0.0</v>
      </c>
    </row>
    <row r="112">
      <c r="A112" s="4" t="s">
        <v>375</v>
      </c>
      <c r="B112" s="4">
        <v>0.452</v>
      </c>
      <c r="C112" s="4">
        <v>0.0</v>
      </c>
      <c r="D112" s="4">
        <v>0.36</v>
      </c>
      <c r="E112" s="4">
        <v>0.0</v>
      </c>
      <c r="F112" s="4">
        <v>0.281</v>
      </c>
      <c r="G112" s="4">
        <v>0.0</v>
      </c>
      <c r="H112" s="4">
        <v>0.314</v>
      </c>
      <c r="I112" s="4">
        <v>0.0</v>
      </c>
    </row>
    <row r="113">
      <c r="A113" s="4" t="s">
        <v>376</v>
      </c>
      <c r="B113" s="4">
        <v>0.4574</v>
      </c>
      <c r="C113" s="4">
        <v>0.00955510334847301</v>
      </c>
      <c r="D113" s="4">
        <v>0.3656</v>
      </c>
      <c r="E113" s="4">
        <v>0.00896102672688795</v>
      </c>
      <c r="F113" s="4">
        <v>0.267</v>
      </c>
      <c r="G113" s="4">
        <v>0.0130958008537087</v>
      </c>
      <c r="H113" s="4">
        <v>0.288</v>
      </c>
      <c r="I113" s="4">
        <v>0.0147309198626562</v>
      </c>
    </row>
    <row r="114">
      <c r="A114" s="4" t="s">
        <v>377</v>
      </c>
      <c r="B114" s="4">
        <v>0.491</v>
      </c>
      <c r="C114" s="4">
        <v>0.0</v>
      </c>
      <c r="D114" s="4">
        <v>0.35</v>
      </c>
      <c r="E114" s="4">
        <v>0.0</v>
      </c>
      <c r="F114" s="4">
        <v>0.276</v>
      </c>
      <c r="G114" s="4">
        <v>0.0</v>
      </c>
      <c r="H114" s="4">
        <v>0.253</v>
      </c>
      <c r="I114" s="4">
        <v>0.0</v>
      </c>
    </row>
    <row r="115">
      <c r="A115" s="4" t="s">
        <v>378</v>
      </c>
      <c r="B115" s="4">
        <v>0.474</v>
      </c>
      <c r="C115" s="4">
        <v>0.0</v>
      </c>
      <c r="D115" s="4">
        <v>0.374</v>
      </c>
      <c r="E115" s="4">
        <v>0.0</v>
      </c>
      <c r="F115" s="4">
        <v>0.294</v>
      </c>
      <c r="G115" s="4">
        <v>0.0</v>
      </c>
      <c r="H115" s="4">
        <v>0.312</v>
      </c>
      <c r="I115" s="4">
        <v>0.0</v>
      </c>
    </row>
    <row r="116">
      <c r="A116" s="4" t="s">
        <v>379</v>
      </c>
      <c r="B116" s="4">
        <v>0.5206</v>
      </c>
      <c r="C116" s="4">
        <v>0.0145361618042728</v>
      </c>
      <c r="D116" s="4">
        <v>0.3642</v>
      </c>
      <c r="E116" s="4">
        <v>0.00396232255123179</v>
      </c>
      <c r="F116" s="4">
        <v>0.3216</v>
      </c>
      <c r="G116" s="4">
        <v>0.0265386510584091</v>
      </c>
      <c r="H116" s="4">
        <v>0.2968</v>
      </c>
      <c r="I116" s="4">
        <v>0.0142723508925474</v>
      </c>
    </row>
    <row r="117">
      <c r="A117" s="4" t="s">
        <v>380</v>
      </c>
      <c r="B117" s="4">
        <v>0.538</v>
      </c>
      <c r="C117" s="4">
        <v>0.0</v>
      </c>
      <c r="D117" s="4">
        <v>0.317</v>
      </c>
      <c r="E117" s="4">
        <v>0.0</v>
      </c>
      <c r="F117" s="4">
        <v>0.338</v>
      </c>
      <c r="G117" s="4">
        <v>0.0</v>
      </c>
      <c r="H117" s="4">
        <v>0.246</v>
      </c>
      <c r="I117" s="4">
        <v>0.0</v>
      </c>
    </row>
    <row r="118">
      <c r="A118" s="4" t="s">
        <v>381</v>
      </c>
      <c r="B118" s="4">
        <v>0.532</v>
      </c>
      <c r="C118" s="4">
        <v>0.0</v>
      </c>
      <c r="D118" s="4">
        <v>0.37</v>
      </c>
      <c r="E118" s="4">
        <v>0.0</v>
      </c>
      <c r="F118" s="4">
        <v>0.34</v>
      </c>
      <c r="G118" s="4">
        <v>0.0</v>
      </c>
      <c r="H118" s="4">
        <v>0.316</v>
      </c>
      <c r="I118" s="4">
        <v>0.0</v>
      </c>
    </row>
    <row r="119">
      <c r="A119" s="4" t="s">
        <v>382</v>
      </c>
      <c r="B119" s="4">
        <v>0.4858</v>
      </c>
      <c r="C119" s="4">
        <v>0.0230802946255025</v>
      </c>
      <c r="D119" s="4">
        <v>0.3696</v>
      </c>
      <c r="E119" s="4">
        <v>0.00598331012066064</v>
      </c>
      <c r="F119" s="4">
        <v>0.301799999999999</v>
      </c>
      <c r="G119" s="4">
        <v>0.0145155089473293</v>
      </c>
      <c r="H119" s="4">
        <v>0.3046</v>
      </c>
      <c r="I119" s="4">
        <v>0.00610737259384099</v>
      </c>
    </row>
    <row r="120">
      <c r="A120" s="4" t="s">
        <v>383</v>
      </c>
      <c r="B120" s="4">
        <v>0.34</v>
      </c>
      <c r="C120" s="4">
        <v>0.0</v>
      </c>
      <c r="D120" s="4">
        <v>0.252</v>
      </c>
      <c r="E120" s="4">
        <v>0.0</v>
      </c>
      <c r="F120" s="4">
        <v>0.195</v>
      </c>
      <c r="G120" s="4">
        <v>0.0</v>
      </c>
      <c r="H120" s="4">
        <v>0.193</v>
      </c>
      <c r="I120" s="4">
        <v>0.0</v>
      </c>
    </row>
    <row r="121">
      <c r="A121" s="4" t="s">
        <v>384</v>
      </c>
      <c r="B121" s="4">
        <v>0.105</v>
      </c>
      <c r="C121" s="4">
        <v>0.0</v>
      </c>
      <c r="D121" s="4">
        <v>0.241</v>
      </c>
      <c r="E121" s="4">
        <v>0.0</v>
      </c>
      <c r="F121" s="4">
        <v>0.036</v>
      </c>
      <c r="G121" s="4">
        <v>0.0</v>
      </c>
      <c r="H121" s="4">
        <v>0.115</v>
      </c>
      <c r="I121" s="4">
        <v>0.0</v>
      </c>
    </row>
    <row r="122">
      <c r="A122" s="4" t="s">
        <v>385</v>
      </c>
      <c r="B122" s="4">
        <v>0.3014</v>
      </c>
      <c r="C122" s="4">
        <v>0.0337905312180794</v>
      </c>
      <c r="D122" s="4">
        <v>0.360199999999999</v>
      </c>
      <c r="E122" s="4">
        <v>0.00807465169527454</v>
      </c>
      <c r="F122" s="4">
        <v>0.1844</v>
      </c>
      <c r="G122" s="4">
        <v>0.0272451830604971</v>
      </c>
      <c r="H122" s="4">
        <v>0.325</v>
      </c>
      <c r="I122" s="4">
        <v>0.0147986485869487</v>
      </c>
    </row>
    <row r="123">
      <c r="A123" s="4" t="s">
        <v>386</v>
      </c>
      <c r="B123" s="4">
        <v>0.377</v>
      </c>
      <c r="C123" s="4">
        <v>0.0</v>
      </c>
      <c r="D123" s="4">
        <v>0.217</v>
      </c>
      <c r="E123" s="4">
        <v>0.0</v>
      </c>
      <c r="F123" s="4">
        <v>0.214</v>
      </c>
      <c r="G123" s="4">
        <v>0.0</v>
      </c>
      <c r="H123" s="4">
        <v>0.2</v>
      </c>
      <c r="I123" s="4">
        <v>0.0</v>
      </c>
    </row>
    <row r="124">
      <c r="A124" s="4" t="s">
        <v>387</v>
      </c>
      <c r="B124" s="4">
        <v>0.323</v>
      </c>
      <c r="C124" s="4">
        <v>0.0</v>
      </c>
      <c r="D124" s="4">
        <v>0.39</v>
      </c>
      <c r="E124" s="4">
        <v>0.0</v>
      </c>
      <c r="F124" s="4">
        <v>0.212</v>
      </c>
      <c r="G124" s="4">
        <v>0.0</v>
      </c>
      <c r="H124" s="4">
        <v>0.369</v>
      </c>
      <c r="I124" s="4">
        <v>0.0</v>
      </c>
    </row>
    <row r="125">
      <c r="A125" s="4" t="s">
        <v>388</v>
      </c>
      <c r="B125" s="4">
        <v>0.2652</v>
      </c>
      <c r="C125" s="4">
        <v>0.0194345053963305</v>
      </c>
      <c r="D125" s="4">
        <v>0.3088</v>
      </c>
      <c r="E125" s="4">
        <v>0.0157384878562078</v>
      </c>
      <c r="F125" s="4">
        <v>0.0809999999999999</v>
      </c>
      <c r="G125" s="4">
        <v>0.0105356537528527</v>
      </c>
      <c r="H125" s="4">
        <v>0.187399999999999</v>
      </c>
      <c r="I125" s="4">
        <v>0.0181052478580106</v>
      </c>
    </row>
    <row r="126">
      <c r="A126" s="4" t="s">
        <v>389</v>
      </c>
      <c r="B126" s="4">
        <v>0.314</v>
      </c>
      <c r="C126" s="4">
        <v>0.0</v>
      </c>
      <c r="D126" s="4">
        <v>0.238</v>
      </c>
      <c r="E126" s="4">
        <v>0.0</v>
      </c>
      <c r="F126" s="4">
        <v>0.114</v>
      </c>
      <c r="G126" s="4">
        <v>0.0</v>
      </c>
      <c r="H126" s="4">
        <v>0.14</v>
      </c>
      <c r="I126" s="4">
        <v>0.0</v>
      </c>
    </row>
    <row r="127">
      <c r="A127" s="4" t="s">
        <v>390</v>
      </c>
      <c r="B127" s="4">
        <v>0.316</v>
      </c>
      <c r="C127" s="4">
        <v>0.0</v>
      </c>
      <c r="D127" s="4">
        <v>0.391</v>
      </c>
      <c r="E127" s="4">
        <v>0.0</v>
      </c>
      <c r="F127" s="4">
        <v>0.145</v>
      </c>
      <c r="G127" s="4">
        <v>0.0</v>
      </c>
      <c r="H127" s="4">
        <v>0.326</v>
      </c>
      <c r="I127" s="4">
        <v>0.0</v>
      </c>
    </row>
    <row r="128">
      <c r="A128" s="4" t="s">
        <v>391</v>
      </c>
      <c r="B128" s="4">
        <v>0.2814</v>
      </c>
      <c r="C128" s="4">
        <v>0.0261208728797488</v>
      </c>
      <c r="D128" s="4">
        <v>0.3634</v>
      </c>
      <c r="E128" s="4">
        <v>0.0154693244842817</v>
      </c>
      <c r="F128" s="4">
        <v>0.1774</v>
      </c>
      <c r="G128" s="4">
        <v>0.0316749112074525</v>
      </c>
      <c r="H128" s="4">
        <v>0.3296</v>
      </c>
      <c r="I128" s="4">
        <v>0.0215476216785054</v>
      </c>
    </row>
    <row r="129">
      <c r="A129" s="4" t="s">
        <v>392</v>
      </c>
      <c r="B129" s="4">
        <v>0.361</v>
      </c>
      <c r="C129" s="4">
        <v>0.0</v>
      </c>
      <c r="D129" s="4">
        <v>0.196</v>
      </c>
      <c r="E129" s="4">
        <v>0.0</v>
      </c>
      <c r="F129" s="4">
        <v>0.189</v>
      </c>
      <c r="G129" s="4">
        <v>0.0</v>
      </c>
      <c r="H129" s="4">
        <v>0.176</v>
      </c>
      <c r="I129" s="4">
        <v>0.0</v>
      </c>
    </row>
    <row r="130">
      <c r="A130" s="4" t="s">
        <v>393</v>
      </c>
      <c r="B130" s="4">
        <v>0.323</v>
      </c>
      <c r="C130" s="4">
        <v>0.0</v>
      </c>
      <c r="D130" s="4">
        <v>0.416</v>
      </c>
      <c r="E130" s="4">
        <v>0.0</v>
      </c>
      <c r="F130" s="4">
        <v>0.237</v>
      </c>
      <c r="G130" s="4">
        <v>0.0</v>
      </c>
      <c r="H130" s="4">
        <v>0.399</v>
      </c>
      <c r="I130" s="4">
        <v>0.0</v>
      </c>
    </row>
    <row r="131">
      <c r="A131" s="4" t="s">
        <v>394</v>
      </c>
      <c r="B131" s="4">
        <v>0.2952</v>
      </c>
      <c r="C131" s="4">
        <v>0.0257040852784143</v>
      </c>
      <c r="D131" s="4">
        <v>0.350399999999999</v>
      </c>
      <c r="E131" s="4">
        <v>0.0142232204510792</v>
      </c>
      <c r="F131" s="4">
        <v>0.1818</v>
      </c>
      <c r="G131" s="4">
        <v>0.026061465806819</v>
      </c>
      <c r="H131" s="4">
        <v>0.3156</v>
      </c>
      <c r="I131" s="4">
        <v>0.0212790977252326</v>
      </c>
    </row>
    <row r="132">
      <c r="A132" s="4" t="s">
        <v>395</v>
      </c>
      <c r="B132" s="4">
        <v>0.387</v>
      </c>
      <c r="C132" s="4">
        <v>0.0</v>
      </c>
      <c r="D132" s="4">
        <v>0.203</v>
      </c>
      <c r="E132" s="4">
        <v>0.0</v>
      </c>
      <c r="F132" s="4">
        <v>0.226</v>
      </c>
      <c r="G132" s="4">
        <v>0.0</v>
      </c>
      <c r="H132" s="4">
        <v>0.207</v>
      </c>
      <c r="I132" s="4">
        <v>0.0</v>
      </c>
    </row>
    <row r="133">
      <c r="A133" s="4" t="s">
        <v>396</v>
      </c>
      <c r="B133" s="4">
        <v>0.302</v>
      </c>
      <c r="C133" s="4">
        <v>0.0</v>
      </c>
      <c r="D133" s="4">
        <v>0.375</v>
      </c>
      <c r="E133" s="4">
        <v>0.0</v>
      </c>
      <c r="F133" s="4">
        <v>0.196</v>
      </c>
      <c r="G133" s="4">
        <v>0.0</v>
      </c>
      <c r="H133" s="4">
        <v>0.341</v>
      </c>
      <c r="I133" s="4">
        <v>0.0</v>
      </c>
    </row>
    <row r="134">
      <c r="A134" s="4" t="s">
        <v>397</v>
      </c>
      <c r="B134" s="4">
        <v>0.2804</v>
      </c>
      <c r="C134" s="4">
        <v>0.0299132077851908</v>
      </c>
      <c r="D134" s="4">
        <v>0.3352</v>
      </c>
      <c r="E134" s="4">
        <v>0.0154175224987674</v>
      </c>
      <c r="F134" s="4">
        <v>0.136</v>
      </c>
      <c r="G134" s="4">
        <v>0.0230217288664426</v>
      </c>
      <c r="H134" s="4">
        <v>0.2764</v>
      </c>
      <c r="I134" s="4">
        <v>0.0271532686798477</v>
      </c>
    </row>
    <row r="135">
      <c r="A135" s="4" t="s">
        <v>398</v>
      </c>
      <c r="B135" s="4">
        <v>0.361</v>
      </c>
      <c r="C135" s="4">
        <v>0.0</v>
      </c>
      <c r="D135" s="4">
        <v>0.214</v>
      </c>
      <c r="E135" s="4">
        <v>0.0</v>
      </c>
      <c r="F135" s="4">
        <v>0.18</v>
      </c>
      <c r="G135" s="4">
        <v>0.0</v>
      </c>
      <c r="H135" s="4">
        <v>0.169</v>
      </c>
      <c r="I135" s="4">
        <v>0.0</v>
      </c>
    </row>
    <row r="136">
      <c r="A136" s="4" t="s">
        <v>399</v>
      </c>
      <c r="B136" s="4">
        <v>0.268</v>
      </c>
      <c r="C136" s="4">
        <v>0.0</v>
      </c>
      <c r="D136" s="4">
        <v>0.369</v>
      </c>
      <c r="E136" s="4">
        <v>0.0</v>
      </c>
      <c r="F136" s="4">
        <v>0.156</v>
      </c>
      <c r="G136" s="4">
        <v>0.0</v>
      </c>
      <c r="H136" s="4">
        <v>0.33</v>
      </c>
      <c r="I136" s="4">
        <v>0.0</v>
      </c>
    </row>
    <row r="137">
      <c r="A137" s="4" t="s">
        <v>400</v>
      </c>
      <c r="B137" s="4">
        <v>0.2834</v>
      </c>
      <c r="C137" s="4">
        <v>0.0378391331824607</v>
      </c>
      <c r="D137" s="4">
        <v>0.3668</v>
      </c>
      <c r="E137" s="4">
        <v>0.0097313925005623</v>
      </c>
      <c r="F137" s="4">
        <v>0.1776</v>
      </c>
      <c r="G137" s="4">
        <v>0.029602364770403</v>
      </c>
      <c r="H137" s="4">
        <v>0.3322</v>
      </c>
      <c r="I137" s="4">
        <v>0.0249739864659208</v>
      </c>
    </row>
    <row r="138">
      <c r="A138" s="4" t="s">
        <v>401</v>
      </c>
      <c r="B138" s="4">
        <v>0.365</v>
      </c>
      <c r="C138" s="4">
        <v>0.0</v>
      </c>
      <c r="D138" s="4">
        <v>0.216</v>
      </c>
      <c r="E138" s="4">
        <v>0.0</v>
      </c>
      <c r="F138" s="4">
        <v>0.209</v>
      </c>
      <c r="G138" s="4">
        <v>0.0</v>
      </c>
      <c r="H138" s="4">
        <v>0.195</v>
      </c>
      <c r="I138" s="4">
        <v>0.0</v>
      </c>
    </row>
    <row r="139">
      <c r="A139" s="4" t="s">
        <v>402</v>
      </c>
      <c r="B139" s="4">
        <v>0.333</v>
      </c>
      <c r="C139" s="4">
        <v>0.0</v>
      </c>
      <c r="D139" s="4">
        <v>0.415</v>
      </c>
      <c r="E139" s="4">
        <v>0.0</v>
      </c>
      <c r="F139" s="4">
        <v>0.234</v>
      </c>
      <c r="G139" s="4">
        <v>0.0</v>
      </c>
      <c r="H139" s="4">
        <v>0.4</v>
      </c>
      <c r="I139" s="4">
        <v>0.0</v>
      </c>
    </row>
    <row r="140">
      <c r="A140" s="4" t="s">
        <v>403</v>
      </c>
      <c r="B140" s="4">
        <v>0.363199999999999</v>
      </c>
      <c r="C140" s="4">
        <v>0.0108258948821794</v>
      </c>
      <c r="D140" s="4">
        <v>0.3178</v>
      </c>
      <c r="E140" s="4">
        <v>0.00593295878967653</v>
      </c>
      <c r="F140" s="4">
        <v>0.1464</v>
      </c>
      <c r="G140" s="4">
        <v>0.00461519230368572</v>
      </c>
      <c r="H140" s="4">
        <v>0.228799999999999</v>
      </c>
      <c r="I140" s="4">
        <v>0.0100099950049937</v>
      </c>
    </row>
    <row r="141">
      <c r="A141" s="4" t="s">
        <v>404</v>
      </c>
      <c r="B141" s="4">
        <v>0.383</v>
      </c>
      <c r="C141" s="4">
        <v>0.0</v>
      </c>
      <c r="D141" s="4">
        <v>0.285</v>
      </c>
      <c r="E141" s="4">
        <v>0.0</v>
      </c>
      <c r="F141" s="4">
        <v>0.177</v>
      </c>
      <c r="G141" s="4">
        <v>0.0</v>
      </c>
      <c r="H141" s="4">
        <v>0.185</v>
      </c>
      <c r="I141" s="4">
        <v>0.0</v>
      </c>
    </row>
    <row r="142">
      <c r="A142" s="4" t="s">
        <v>405</v>
      </c>
      <c r="B142" s="4">
        <v>0.357</v>
      </c>
      <c r="C142" s="4">
        <v>0.0</v>
      </c>
      <c r="D142" s="4">
        <v>0.328</v>
      </c>
      <c r="E142" s="4">
        <v>0.0</v>
      </c>
      <c r="F142" s="4">
        <v>0.147</v>
      </c>
      <c r="G142" s="4">
        <v>0.0</v>
      </c>
      <c r="H142" s="4">
        <v>0.25</v>
      </c>
      <c r="I142" s="4">
        <v>0.0</v>
      </c>
    </row>
    <row r="143">
      <c r="A143" s="4" t="s">
        <v>406</v>
      </c>
      <c r="B143" s="4">
        <v>0.3398</v>
      </c>
      <c r="C143" s="4">
        <v>0.0106395488626162</v>
      </c>
      <c r="D143" s="4">
        <v>0.305</v>
      </c>
      <c r="E143" s="4">
        <v>0.0144048602908879</v>
      </c>
      <c r="F143" s="4">
        <v>0.1402</v>
      </c>
      <c r="G143" s="4">
        <v>0.00356370593624108</v>
      </c>
      <c r="H143" s="4">
        <v>0.214</v>
      </c>
      <c r="I143" s="4">
        <v>0.008</v>
      </c>
    </row>
    <row r="144">
      <c r="A144" s="4" t="s">
        <v>407</v>
      </c>
      <c r="B144" s="4">
        <v>0.339</v>
      </c>
      <c r="C144" s="4">
        <v>0.0</v>
      </c>
      <c r="D144" s="4">
        <v>0.256</v>
      </c>
      <c r="E144" s="4">
        <v>0.0</v>
      </c>
      <c r="F144" s="4">
        <v>0.151</v>
      </c>
      <c r="G144" s="4">
        <v>0.0</v>
      </c>
      <c r="H144" s="4">
        <v>0.164</v>
      </c>
      <c r="I144" s="4">
        <v>0.0</v>
      </c>
    </row>
    <row r="145">
      <c r="A145" s="4" t="s">
        <v>408</v>
      </c>
      <c r="B145" s="4">
        <v>0.359</v>
      </c>
      <c r="C145" s="4">
        <v>0.0</v>
      </c>
      <c r="D145" s="4">
        <v>0.309</v>
      </c>
      <c r="E145" s="4">
        <v>0.0</v>
      </c>
      <c r="F145" s="4">
        <v>0.155</v>
      </c>
      <c r="G145" s="4">
        <v>0.0</v>
      </c>
      <c r="H145" s="4">
        <v>0.246</v>
      </c>
      <c r="I145" s="4">
        <v>0.0</v>
      </c>
    </row>
    <row r="146">
      <c r="A146" s="4" t="s">
        <v>409</v>
      </c>
      <c r="B146" s="4">
        <v>0.378599999999999</v>
      </c>
      <c r="C146" s="4">
        <v>0.0139032370331516</v>
      </c>
      <c r="D146" s="4">
        <v>0.314</v>
      </c>
      <c r="E146" s="4">
        <v>0.00845576726264389</v>
      </c>
      <c r="F146" s="4">
        <v>0.217399999999999</v>
      </c>
      <c r="G146" s="4">
        <v>0.0117388244726633</v>
      </c>
      <c r="H146" s="4">
        <v>0.2382</v>
      </c>
      <c r="I146" s="4">
        <v>0.0129884564132925</v>
      </c>
    </row>
    <row r="147">
      <c r="A147" s="4" t="s">
        <v>410</v>
      </c>
      <c r="B147" s="4">
        <v>0.389</v>
      </c>
      <c r="C147" s="4">
        <v>0.0</v>
      </c>
      <c r="D147" s="4">
        <v>0.275</v>
      </c>
      <c r="E147" s="4">
        <v>0.0</v>
      </c>
      <c r="F147" s="4">
        <v>0.238</v>
      </c>
      <c r="G147" s="4">
        <v>0.0</v>
      </c>
      <c r="H147" s="4">
        <v>0.205</v>
      </c>
      <c r="I147" s="4">
        <v>0.0</v>
      </c>
    </row>
    <row r="148">
      <c r="A148" s="4" t="s">
        <v>411</v>
      </c>
      <c r="B148" s="4">
        <v>0.372</v>
      </c>
      <c r="C148" s="4">
        <v>0.0</v>
      </c>
      <c r="D148" s="4">
        <v>0.311</v>
      </c>
      <c r="E148" s="4">
        <v>0.0</v>
      </c>
      <c r="F148" s="4">
        <v>0.218</v>
      </c>
      <c r="G148" s="4">
        <v>0.0</v>
      </c>
      <c r="H148" s="4">
        <v>0.236</v>
      </c>
      <c r="I148" s="4">
        <v>0.0</v>
      </c>
    </row>
    <row r="149">
      <c r="A149" s="4" t="s">
        <v>412</v>
      </c>
      <c r="B149" s="4">
        <v>0.3854</v>
      </c>
      <c r="C149" s="4">
        <v>0.00779743547584717</v>
      </c>
      <c r="D149" s="4">
        <v>0.3344</v>
      </c>
      <c r="E149" s="4">
        <v>0.00541294744108974</v>
      </c>
      <c r="F149" s="4">
        <v>0.1814</v>
      </c>
      <c r="G149" s="4">
        <v>0.00909945053286185</v>
      </c>
      <c r="H149" s="4">
        <v>0.2274</v>
      </c>
      <c r="I149" s="4">
        <v>0.009044335243676</v>
      </c>
    </row>
    <row r="150">
      <c r="A150" s="4" t="s">
        <v>413</v>
      </c>
      <c r="B150" s="4">
        <v>0.406</v>
      </c>
      <c r="C150" s="4">
        <v>0.0</v>
      </c>
      <c r="D150" s="4">
        <v>0.31</v>
      </c>
      <c r="E150" s="4">
        <v>0.0</v>
      </c>
      <c r="F150" s="4">
        <v>0.207</v>
      </c>
      <c r="G150" s="4">
        <v>0.0</v>
      </c>
      <c r="H150" s="4">
        <v>0.204</v>
      </c>
      <c r="I150" s="4">
        <v>0.0</v>
      </c>
    </row>
    <row r="151">
      <c r="A151" s="4" t="s">
        <v>414</v>
      </c>
      <c r="B151" s="4">
        <v>0.399</v>
      </c>
      <c r="C151" s="4">
        <v>0.0</v>
      </c>
      <c r="D151" s="4">
        <v>0.343</v>
      </c>
      <c r="E151" s="4">
        <v>0.0</v>
      </c>
      <c r="F151" s="4">
        <v>0.186</v>
      </c>
      <c r="G151" s="4">
        <v>0.0</v>
      </c>
      <c r="H151" s="4">
        <v>0.242</v>
      </c>
      <c r="I151" s="4">
        <v>0.0</v>
      </c>
    </row>
    <row r="152">
      <c r="A152" s="4" t="s">
        <v>415</v>
      </c>
      <c r="B152" s="4">
        <v>0.3714</v>
      </c>
      <c r="C152" s="4">
        <v>0.0085615419172016</v>
      </c>
      <c r="D152" s="4">
        <v>0.3266</v>
      </c>
      <c r="E152" s="4">
        <v>0.0106911178087232</v>
      </c>
      <c r="F152" s="4">
        <v>0.204599999999999</v>
      </c>
      <c r="G152" s="4">
        <v>0.00907193474403337</v>
      </c>
      <c r="H152" s="4">
        <v>0.233399999999999</v>
      </c>
      <c r="I152" s="4">
        <v>0.0155659885648165</v>
      </c>
    </row>
    <row r="153">
      <c r="A153" s="4" t="s">
        <v>416</v>
      </c>
      <c r="B153" s="4">
        <v>0.381</v>
      </c>
      <c r="C153" s="4">
        <v>0.0</v>
      </c>
      <c r="D153" s="4">
        <v>0.292</v>
      </c>
      <c r="E153" s="4">
        <v>0.0</v>
      </c>
      <c r="F153" s="4">
        <v>0.225</v>
      </c>
      <c r="G153" s="4">
        <v>0.0</v>
      </c>
      <c r="H153" s="4">
        <v>0.201</v>
      </c>
      <c r="I153" s="4">
        <v>0.0</v>
      </c>
    </row>
    <row r="154">
      <c r="A154" s="4" t="s">
        <v>417</v>
      </c>
      <c r="B154" s="4">
        <v>0.383</v>
      </c>
      <c r="C154" s="4">
        <v>0.0</v>
      </c>
      <c r="D154" s="4">
        <v>0.33</v>
      </c>
      <c r="E154" s="4">
        <v>0.0</v>
      </c>
      <c r="F154" s="4">
        <v>0.205</v>
      </c>
      <c r="G154" s="4">
        <v>0.0</v>
      </c>
      <c r="H154" s="4">
        <v>0.228</v>
      </c>
      <c r="I154" s="4">
        <v>0.0</v>
      </c>
    </row>
    <row r="155">
      <c r="A155" s="4" t="s">
        <v>418</v>
      </c>
      <c r="B155" s="4">
        <v>0.342199999999999</v>
      </c>
      <c r="C155" s="4">
        <v>0.0105451410611712</v>
      </c>
      <c r="D155" s="4">
        <v>0.311</v>
      </c>
      <c r="E155" s="4">
        <v>0.00836660026534076</v>
      </c>
      <c r="F155" s="4">
        <v>0.180399999999999</v>
      </c>
      <c r="G155" s="4">
        <v>0.00890505474435727</v>
      </c>
      <c r="H155" s="4">
        <v>0.2274</v>
      </c>
      <c r="I155" s="4">
        <v>0.0163645959314613</v>
      </c>
    </row>
    <row r="156">
      <c r="A156" s="4" t="s">
        <v>419</v>
      </c>
      <c r="B156" s="4">
        <v>0.359</v>
      </c>
      <c r="C156" s="4">
        <v>0.0</v>
      </c>
      <c r="D156" s="4">
        <v>0.271</v>
      </c>
      <c r="E156" s="4">
        <v>0.0</v>
      </c>
      <c r="F156" s="4">
        <v>0.196</v>
      </c>
      <c r="G156" s="4">
        <v>0.0</v>
      </c>
      <c r="H156" s="4">
        <v>0.187</v>
      </c>
      <c r="I156" s="4">
        <v>0.0</v>
      </c>
    </row>
    <row r="157">
      <c r="A157" s="4" t="s">
        <v>420</v>
      </c>
      <c r="B157" s="4">
        <v>0.325</v>
      </c>
      <c r="C157" s="4">
        <v>0.0</v>
      </c>
      <c r="D157" s="4">
        <v>0.296</v>
      </c>
      <c r="E157" s="4">
        <v>0.0</v>
      </c>
      <c r="F157" s="4">
        <v>0.16</v>
      </c>
      <c r="G157" s="4">
        <v>0.0</v>
      </c>
      <c r="H157" s="4">
        <v>0.199</v>
      </c>
      <c r="I157" s="4">
        <v>0.0</v>
      </c>
    </row>
    <row r="158">
      <c r="A158" s="4" t="s">
        <v>421</v>
      </c>
      <c r="B158" s="4">
        <v>0.3804</v>
      </c>
      <c r="C158" s="4">
        <v>0.0137949266036467</v>
      </c>
      <c r="D158" s="4">
        <v>0.319</v>
      </c>
      <c r="E158" s="4">
        <v>0.00604152298679729</v>
      </c>
      <c r="F158" s="4">
        <v>0.1926</v>
      </c>
      <c r="G158" s="4">
        <v>0.00801872807869177</v>
      </c>
      <c r="H158" s="4">
        <v>0.2354</v>
      </c>
      <c r="I158" s="4">
        <v>0.0158996855314814</v>
      </c>
    </row>
    <row r="159">
      <c r="A159" s="4" t="s">
        <v>422</v>
      </c>
      <c r="B159" s="4">
        <v>0.383</v>
      </c>
      <c r="C159" s="4">
        <v>0.0</v>
      </c>
      <c r="D159" s="4">
        <v>0.283</v>
      </c>
      <c r="E159" s="4">
        <v>0.0</v>
      </c>
      <c r="F159" s="4">
        <v>0.214</v>
      </c>
      <c r="G159" s="4">
        <v>0.0</v>
      </c>
      <c r="H159" s="4">
        <v>0.207</v>
      </c>
      <c r="I159" s="4">
        <v>0.0</v>
      </c>
    </row>
    <row r="160">
      <c r="A160" s="4" t="s">
        <v>423</v>
      </c>
      <c r="B160" s="4">
        <v>0.384</v>
      </c>
      <c r="C160" s="4">
        <v>0.0</v>
      </c>
      <c r="D160" s="4">
        <v>0.317</v>
      </c>
      <c r="E160" s="4">
        <v>0.0</v>
      </c>
      <c r="F160" s="4">
        <v>0.182</v>
      </c>
      <c r="G160" s="4">
        <v>0.0</v>
      </c>
      <c r="H160" s="4">
        <v>0.216</v>
      </c>
      <c r="I160" s="4">
        <v>0.0</v>
      </c>
    </row>
    <row r="161">
      <c r="A161" s="4" t="s">
        <v>424</v>
      </c>
      <c r="B161" s="4">
        <v>0.3716</v>
      </c>
      <c r="C161" s="4">
        <v>0.0158050624801042</v>
      </c>
      <c r="D161" s="4">
        <v>0.33</v>
      </c>
      <c r="E161" s="4">
        <v>0.00648074069840786</v>
      </c>
      <c r="F161" s="4">
        <v>0.2182</v>
      </c>
      <c r="G161" s="4">
        <v>0.0144464528518249</v>
      </c>
      <c r="H161" s="4">
        <v>0.2626</v>
      </c>
      <c r="I161" s="4">
        <v>0.00853229160308062</v>
      </c>
    </row>
    <row r="162">
      <c r="A162" s="4" t="s">
        <v>425</v>
      </c>
      <c r="B162" s="4">
        <v>0.387</v>
      </c>
      <c r="C162" s="4">
        <v>0.0</v>
      </c>
      <c r="D162" s="4">
        <v>0.268</v>
      </c>
      <c r="E162" s="4">
        <v>0.0</v>
      </c>
      <c r="F162" s="4">
        <v>0.225</v>
      </c>
      <c r="G162" s="4">
        <v>0.0</v>
      </c>
      <c r="H162" s="4">
        <v>0.198</v>
      </c>
      <c r="I162" s="4">
        <v>0.0</v>
      </c>
    </row>
    <row r="163">
      <c r="A163" s="4" t="s">
        <v>426</v>
      </c>
      <c r="B163" s="4">
        <v>0.394</v>
      </c>
      <c r="C163" s="4">
        <v>0.0</v>
      </c>
      <c r="D163" s="4">
        <v>0.323</v>
      </c>
      <c r="E163" s="4">
        <v>0.0</v>
      </c>
      <c r="F163" s="4">
        <v>0.227</v>
      </c>
      <c r="G163" s="4">
        <v>0.0</v>
      </c>
      <c r="H163" s="4">
        <v>0.262</v>
      </c>
      <c r="I163" s="4">
        <v>0.0</v>
      </c>
    </row>
    <row r="164">
      <c r="A164" s="4" t="s">
        <v>427</v>
      </c>
      <c r="B164" s="4">
        <v>0.289799999999999</v>
      </c>
      <c r="C164" s="4">
        <v>0.00605805249234438</v>
      </c>
      <c r="D164" s="4">
        <v>0.4486</v>
      </c>
      <c r="E164" s="4">
        <v>8.94427190999916E-4</v>
      </c>
      <c r="F164" s="4">
        <v>0.287799999999999</v>
      </c>
      <c r="G164" s="4">
        <v>0.00476445169982864</v>
      </c>
      <c r="H164" s="4">
        <v>0.4488</v>
      </c>
      <c r="I164" s="4">
        <v>0.00130384048104053</v>
      </c>
    </row>
    <row r="165">
      <c r="A165" s="4" t="s">
        <v>428</v>
      </c>
      <c r="B165" s="4">
        <v>0.307</v>
      </c>
      <c r="C165" s="4">
        <v>0.0</v>
      </c>
      <c r="D165" s="4">
        <v>0.446</v>
      </c>
      <c r="E165" s="4">
        <v>0.0</v>
      </c>
      <c r="F165" s="4">
        <v>0.297</v>
      </c>
      <c r="G165" s="4">
        <v>0.0</v>
      </c>
      <c r="H165" s="4">
        <v>0.447</v>
      </c>
      <c r="I165" s="4">
        <v>0.0</v>
      </c>
    </row>
    <row r="166">
      <c r="A166" s="4" t="s">
        <v>429</v>
      </c>
      <c r="B166" s="4">
        <v>0.295</v>
      </c>
      <c r="C166" s="4">
        <v>0.0</v>
      </c>
      <c r="D166" s="4">
        <v>0.454</v>
      </c>
      <c r="E166" s="4">
        <v>0.0</v>
      </c>
      <c r="F166" s="4">
        <v>0.294</v>
      </c>
      <c r="G166" s="4">
        <v>0.0</v>
      </c>
      <c r="H166" s="4">
        <v>0.452</v>
      </c>
      <c r="I166" s="4">
        <v>0.0</v>
      </c>
    </row>
    <row r="167">
      <c r="A167" s="4" t="s">
        <v>430</v>
      </c>
      <c r="B167" s="4">
        <v>0.4278</v>
      </c>
      <c r="C167" s="4">
        <v>0.0275445094347312</v>
      </c>
      <c r="D167" s="4">
        <v>0.3954</v>
      </c>
      <c r="E167" s="4">
        <v>0.0142933550994859</v>
      </c>
      <c r="F167" s="4">
        <v>0.324199999999999</v>
      </c>
      <c r="G167" s="4">
        <v>0.0209690247746527</v>
      </c>
      <c r="H167" s="4">
        <v>0.3664</v>
      </c>
      <c r="I167" s="4">
        <v>0.0108765803449429</v>
      </c>
    </row>
    <row r="168">
      <c r="A168" s="4" t="s">
        <v>431</v>
      </c>
      <c r="B168" s="4">
        <v>0.473</v>
      </c>
      <c r="C168" s="4">
        <v>0.0</v>
      </c>
      <c r="D168" s="4">
        <v>0.272</v>
      </c>
      <c r="E168" s="4">
        <v>0.0</v>
      </c>
      <c r="F168" s="4">
        <v>0.339</v>
      </c>
      <c r="G168" s="4">
        <v>0.0</v>
      </c>
      <c r="H168" s="4">
        <v>0.264</v>
      </c>
      <c r="I168" s="4">
        <v>0.0</v>
      </c>
    </row>
    <row r="169">
      <c r="A169" s="4" t="s">
        <v>432</v>
      </c>
      <c r="B169" s="4">
        <v>0.422</v>
      </c>
      <c r="C169" s="4">
        <v>0.0</v>
      </c>
      <c r="D169" s="4">
        <v>0.396</v>
      </c>
      <c r="E169" s="4">
        <v>0.0</v>
      </c>
      <c r="F169" s="4">
        <v>0.323</v>
      </c>
      <c r="G169" s="4">
        <v>0.0</v>
      </c>
      <c r="H169" s="4">
        <v>0.357</v>
      </c>
      <c r="I169" s="4">
        <v>0.0</v>
      </c>
    </row>
    <row r="170">
      <c r="A170" s="4" t="s">
        <v>433</v>
      </c>
      <c r="B170" s="4">
        <v>0.1582</v>
      </c>
      <c r="C170" s="4">
        <v>0.0184851291583261</v>
      </c>
      <c r="D170" s="4">
        <v>0.2608</v>
      </c>
      <c r="E170" s="4">
        <v>0.0148222805262888</v>
      </c>
      <c r="F170" s="4">
        <v>0.0654</v>
      </c>
      <c r="G170" s="4">
        <v>0.0120954536913668</v>
      </c>
      <c r="H170" s="4">
        <v>0.169599999999999</v>
      </c>
      <c r="I170" s="4">
        <v>0.0123207142650091</v>
      </c>
    </row>
    <row r="171">
      <c r="A171" s="4" t="s">
        <v>434</v>
      </c>
      <c r="B171" s="4">
        <v>0.231</v>
      </c>
      <c r="C171" s="4">
        <v>0.0</v>
      </c>
      <c r="D171" s="4">
        <v>0.247</v>
      </c>
      <c r="E171" s="4">
        <v>0.0</v>
      </c>
      <c r="F171" s="4">
        <v>0.106</v>
      </c>
      <c r="G171" s="4">
        <v>0.0</v>
      </c>
      <c r="H171" s="4">
        <v>0.15</v>
      </c>
      <c r="I171" s="4">
        <v>0.0</v>
      </c>
    </row>
    <row r="172">
      <c r="A172" s="4" t="s">
        <v>435</v>
      </c>
      <c r="B172" s="4">
        <v>0.207</v>
      </c>
      <c r="C172" s="4">
        <v>0.0</v>
      </c>
      <c r="D172" s="4">
        <v>0.372</v>
      </c>
      <c r="E172" s="4">
        <v>0.0</v>
      </c>
      <c r="F172" s="4">
        <v>0.162</v>
      </c>
      <c r="G172" s="4">
        <v>0.0</v>
      </c>
      <c r="H172" s="4">
        <v>0.342</v>
      </c>
      <c r="I172" s="4">
        <v>0.0</v>
      </c>
    </row>
    <row r="173">
      <c r="A173" s="4" t="s">
        <v>436</v>
      </c>
      <c r="B173" s="4">
        <v>0.1236</v>
      </c>
      <c r="C173" s="4">
        <v>0.0132966161108757</v>
      </c>
      <c r="D173" s="4">
        <v>0.2374</v>
      </c>
      <c r="E173" s="4">
        <v>0.0202682016962531</v>
      </c>
      <c r="F173" s="4">
        <v>0.044</v>
      </c>
      <c r="G173" s="4">
        <v>0.0104880884817015</v>
      </c>
      <c r="H173" s="4">
        <v>0.1266</v>
      </c>
      <c r="I173" s="4">
        <v>0.0207074865688716</v>
      </c>
    </row>
    <row r="174">
      <c r="A174" s="4" t="s">
        <v>437</v>
      </c>
      <c r="B174" s="4">
        <v>0.185</v>
      </c>
      <c r="C174" s="4">
        <v>0.0</v>
      </c>
      <c r="D174" s="4">
        <v>0.227</v>
      </c>
      <c r="E174" s="4">
        <v>0.0</v>
      </c>
      <c r="F174" s="4">
        <v>0.078</v>
      </c>
      <c r="G174" s="4">
        <v>0.0</v>
      </c>
      <c r="H174" s="4">
        <v>0.125</v>
      </c>
      <c r="I174" s="4">
        <v>0.0</v>
      </c>
    </row>
    <row r="175">
      <c r="A175" s="4" t="s">
        <v>438</v>
      </c>
      <c r="B175" s="4">
        <v>0.255</v>
      </c>
      <c r="C175" s="4">
        <v>0.0</v>
      </c>
      <c r="D175" s="4">
        <v>0.403</v>
      </c>
      <c r="E175" s="4">
        <v>0.0</v>
      </c>
      <c r="F175" s="4">
        <v>0.216</v>
      </c>
      <c r="G175" s="4">
        <v>0.0</v>
      </c>
      <c r="H175" s="4">
        <v>0.391</v>
      </c>
      <c r="I175" s="4">
        <v>0.0</v>
      </c>
    </row>
    <row r="176">
      <c r="A176" s="4" t="s">
        <v>439</v>
      </c>
      <c r="B176" s="4">
        <v>0.175799999999999</v>
      </c>
      <c r="C176" s="4">
        <v>0.0184986485992896</v>
      </c>
      <c r="D176" s="4">
        <v>0.292</v>
      </c>
      <c r="E176" s="4">
        <v>0.0128257553383806</v>
      </c>
      <c r="F176" s="4">
        <v>0.0826</v>
      </c>
      <c r="G176" s="4">
        <v>0.0114586212085049</v>
      </c>
      <c r="H176" s="4">
        <v>0.211399999999999</v>
      </c>
      <c r="I176" s="4">
        <v>0.0237549994737949</v>
      </c>
    </row>
    <row r="177">
      <c r="A177" s="4" t="s">
        <v>440</v>
      </c>
      <c r="B177" s="4">
        <v>0.239</v>
      </c>
      <c r="C177" s="4">
        <v>0.0</v>
      </c>
      <c r="D177" s="4">
        <v>0.235</v>
      </c>
      <c r="E177" s="4">
        <v>0.0</v>
      </c>
      <c r="F177" s="4">
        <v>0.119</v>
      </c>
      <c r="G177" s="4">
        <v>0.0</v>
      </c>
      <c r="H177" s="4">
        <v>0.164</v>
      </c>
      <c r="I177" s="4">
        <v>0.0</v>
      </c>
    </row>
    <row r="178">
      <c r="A178" s="4" t="s">
        <v>441</v>
      </c>
      <c r="B178" s="4">
        <v>0.195</v>
      </c>
      <c r="C178" s="4">
        <v>0.0</v>
      </c>
      <c r="D178" s="4">
        <v>0.372</v>
      </c>
      <c r="E178" s="4">
        <v>0.0</v>
      </c>
      <c r="F178" s="4">
        <v>0.159</v>
      </c>
      <c r="G178" s="4">
        <v>0.0</v>
      </c>
      <c r="H178" s="4">
        <v>0.349</v>
      </c>
      <c r="I178" s="4">
        <v>0.0</v>
      </c>
    </row>
    <row r="179">
      <c r="A179" s="4" t="s">
        <v>442</v>
      </c>
      <c r="B179" s="4">
        <v>0.1542</v>
      </c>
      <c r="C179" s="4">
        <v>0.00975704873412038</v>
      </c>
      <c r="D179" s="4">
        <v>0.275</v>
      </c>
      <c r="E179" s="4">
        <v>0.0095131487952202</v>
      </c>
      <c r="F179" s="4">
        <v>0.0616</v>
      </c>
      <c r="G179" s="4">
        <v>0.0129923054151293</v>
      </c>
      <c r="H179" s="4">
        <v>0.1722</v>
      </c>
      <c r="I179" s="4">
        <v>0.0205109726731815</v>
      </c>
    </row>
    <row r="180">
      <c r="A180" s="4" t="s">
        <v>443</v>
      </c>
      <c r="B180" s="4">
        <v>0.217</v>
      </c>
      <c r="C180" s="4">
        <v>0.0</v>
      </c>
      <c r="D180" s="4">
        <v>0.259</v>
      </c>
      <c r="E180" s="4">
        <v>0.0</v>
      </c>
      <c r="F180" s="4">
        <v>0.095</v>
      </c>
      <c r="G180" s="4">
        <v>0.0</v>
      </c>
      <c r="H180" s="4">
        <v>0.156</v>
      </c>
      <c r="I180" s="4">
        <v>0.0</v>
      </c>
    </row>
    <row r="181">
      <c r="A181" s="4" t="s">
        <v>444</v>
      </c>
      <c r="B181" s="4">
        <v>0.26</v>
      </c>
      <c r="C181" s="4">
        <v>0.0</v>
      </c>
      <c r="D181" s="4">
        <v>0.411</v>
      </c>
      <c r="E181" s="4">
        <v>0.0</v>
      </c>
      <c r="F181" s="4">
        <v>0.209</v>
      </c>
      <c r="G181" s="4">
        <v>0.0</v>
      </c>
      <c r="H181" s="4">
        <v>0.391</v>
      </c>
      <c r="I181" s="4">
        <v>0.0</v>
      </c>
    </row>
    <row r="182">
      <c r="A182" s="4" t="s">
        <v>445</v>
      </c>
      <c r="B182" s="4">
        <v>0.089</v>
      </c>
      <c r="C182" s="4">
        <v>0.0178885438199983</v>
      </c>
      <c r="D182" s="4">
        <v>0.2012</v>
      </c>
      <c r="E182" s="4">
        <v>0.0216610249064997</v>
      </c>
      <c r="F182" s="4">
        <v>0.0288</v>
      </c>
      <c r="G182" s="4">
        <v>0.0120706255016051</v>
      </c>
      <c r="H182" s="4">
        <v>0.110199999999999</v>
      </c>
      <c r="I182" s="4">
        <v>0.0374726566979177</v>
      </c>
    </row>
    <row r="183">
      <c r="A183" s="4" t="s">
        <v>446</v>
      </c>
      <c r="B183" s="4">
        <v>0.182</v>
      </c>
      <c r="C183" s="4">
        <v>0.0</v>
      </c>
      <c r="D183" s="4">
        <v>0.268</v>
      </c>
      <c r="E183" s="4">
        <v>0.0</v>
      </c>
      <c r="F183" s="4">
        <v>0.065</v>
      </c>
      <c r="G183" s="4">
        <v>0.0</v>
      </c>
      <c r="H183" s="4">
        <v>0.148</v>
      </c>
      <c r="I183" s="4">
        <v>0.0</v>
      </c>
    </row>
    <row r="184">
      <c r="A184" s="4" t="s">
        <v>447</v>
      </c>
      <c r="B184" s="4">
        <v>0.171</v>
      </c>
      <c r="C184" s="4">
        <v>0.0</v>
      </c>
      <c r="D184" s="4">
        <v>0.359</v>
      </c>
      <c r="E184" s="4">
        <v>0.0</v>
      </c>
      <c r="F184" s="4">
        <v>0.155</v>
      </c>
      <c r="G184" s="4">
        <v>0.0</v>
      </c>
      <c r="H184" s="4">
        <v>0.355</v>
      </c>
      <c r="I184" s="4">
        <v>0.0</v>
      </c>
    </row>
    <row r="185">
      <c r="A185" s="4" t="s">
        <v>448</v>
      </c>
      <c r="B185" s="4">
        <v>0.1878</v>
      </c>
      <c r="C185" s="4">
        <v>0.032197826013568</v>
      </c>
      <c r="D185" s="4">
        <v>0.300199999999999</v>
      </c>
      <c r="E185" s="4">
        <v>0.0272525228189978</v>
      </c>
      <c r="F185" s="4">
        <v>0.0782</v>
      </c>
      <c r="G185" s="4">
        <v>0.00752994023880668</v>
      </c>
      <c r="H185" s="4">
        <v>0.216</v>
      </c>
      <c r="I185" s="4">
        <v>0.0130192165662915</v>
      </c>
    </row>
    <row r="186">
      <c r="A186" s="4" t="s">
        <v>449</v>
      </c>
      <c r="B186" s="4">
        <v>0.243</v>
      </c>
      <c r="C186" s="4">
        <v>0.0</v>
      </c>
      <c r="D186" s="4">
        <v>0.265</v>
      </c>
      <c r="E186" s="4">
        <v>0.0</v>
      </c>
      <c r="F186" s="4">
        <v>0.112</v>
      </c>
      <c r="G186" s="4">
        <v>0.0</v>
      </c>
      <c r="H186" s="4">
        <v>0.186</v>
      </c>
      <c r="I186" s="4">
        <v>0.0</v>
      </c>
    </row>
    <row r="187">
      <c r="A187" s="4" t="s">
        <v>450</v>
      </c>
      <c r="B187" s="4">
        <v>0.247</v>
      </c>
      <c r="C187" s="4">
        <v>0.0</v>
      </c>
      <c r="D187" s="4">
        <v>0.397</v>
      </c>
      <c r="E187" s="4">
        <v>0.0</v>
      </c>
      <c r="F187" s="4">
        <v>0.172</v>
      </c>
      <c r="G187" s="4">
        <v>0.0</v>
      </c>
      <c r="H187" s="4">
        <v>0.36</v>
      </c>
      <c r="I187" s="4">
        <v>0.0</v>
      </c>
    </row>
    <row r="188">
      <c r="A188" s="4" t="s">
        <v>451</v>
      </c>
      <c r="B188" s="4">
        <v>0.195</v>
      </c>
      <c r="C188" s="4">
        <v>0.011379806676741</v>
      </c>
      <c r="D188" s="4">
        <v>0.323999999999999</v>
      </c>
      <c r="E188" s="4">
        <v>0.01113552872566</v>
      </c>
      <c r="F188" s="4">
        <v>0.1172</v>
      </c>
      <c r="G188" s="4">
        <v>0.0175698605572155</v>
      </c>
      <c r="H188" s="4">
        <v>0.2576</v>
      </c>
      <c r="I188" s="4">
        <v>0.0201816748561659</v>
      </c>
    </row>
    <row r="189">
      <c r="A189" s="4" t="s">
        <v>452</v>
      </c>
      <c r="B189" s="4">
        <v>0.249</v>
      </c>
      <c r="C189" s="4">
        <v>0.0</v>
      </c>
      <c r="D189" s="4">
        <v>0.246</v>
      </c>
      <c r="E189" s="4">
        <v>0.0</v>
      </c>
      <c r="F189" s="4">
        <v>0.13</v>
      </c>
      <c r="G189" s="4">
        <v>0.0</v>
      </c>
      <c r="H189" s="4">
        <v>0.165</v>
      </c>
      <c r="I189" s="4">
        <v>0.0</v>
      </c>
    </row>
    <row r="190">
      <c r="A190" s="4" t="s">
        <v>453</v>
      </c>
      <c r="B190" s="4">
        <v>0.269</v>
      </c>
      <c r="C190" s="4">
        <v>0.0</v>
      </c>
      <c r="D190" s="4">
        <v>0.404</v>
      </c>
      <c r="E190" s="4">
        <v>0.0</v>
      </c>
      <c r="F190" s="4">
        <v>0.208</v>
      </c>
      <c r="G190" s="4">
        <v>0.0</v>
      </c>
      <c r="H190" s="4">
        <v>0.368</v>
      </c>
      <c r="I190" s="4">
        <v>0.0</v>
      </c>
    </row>
    <row r="191">
      <c r="A191" s="4" t="s">
        <v>454</v>
      </c>
      <c r="B191" s="4">
        <v>0.177</v>
      </c>
      <c r="C191" s="4">
        <v>0.0123085336250911</v>
      </c>
      <c r="D191" s="4">
        <v>0.2988</v>
      </c>
      <c r="E191" s="4">
        <v>0.0153850576859496</v>
      </c>
      <c r="F191" s="4">
        <v>0.08</v>
      </c>
      <c r="G191" s="4">
        <v>0.0138202749610852</v>
      </c>
      <c r="H191" s="4">
        <v>0.2058</v>
      </c>
      <c r="I191" s="4">
        <v>0.0265084892062901</v>
      </c>
    </row>
    <row r="192">
      <c r="A192" s="4" t="s">
        <v>455</v>
      </c>
      <c r="B192" s="4">
        <v>0.23</v>
      </c>
      <c r="C192" s="4">
        <v>0.0</v>
      </c>
      <c r="D192" s="4">
        <v>0.261</v>
      </c>
      <c r="E192" s="4">
        <v>0.0</v>
      </c>
      <c r="F192" s="4">
        <v>0.112</v>
      </c>
      <c r="G192" s="4">
        <v>0.0</v>
      </c>
      <c r="H192" s="4">
        <v>0.151</v>
      </c>
      <c r="I192" s="4">
        <v>0.0</v>
      </c>
    </row>
    <row r="193">
      <c r="A193" s="4" t="s">
        <v>456</v>
      </c>
      <c r="B193" s="4">
        <v>0.207</v>
      </c>
      <c r="C193" s="4">
        <v>0.0</v>
      </c>
      <c r="D193" s="4">
        <v>0.37</v>
      </c>
      <c r="E193" s="4">
        <v>0.0</v>
      </c>
      <c r="F193" s="4">
        <v>0.142</v>
      </c>
      <c r="G193" s="4">
        <v>0.0</v>
      </c>
      <c r="H193" s="4">
        <v>0.329</v>
      </c>
      <c r="I193" s="4">
        <v>0.0</v>
      </c>
    </row>
    <row r="194">
      <c r="A194" s="4" t="s">
        <v>457</v>
      </c>
      <c r="B194" s="4">
        <v>0.3578</v>
      </c>
      <c r="C194" s="4">
        <v>0.0131415372007996</v>
      </c>
      <c r="D194" s="4">
        <v>0.3692</v>
      </c>
      <c r="E194" s="4">
        <v>0.0103295692068933</v>
      </c>
      <c r="F194" s="4">
        <v>0.188</v>
      </c>
      <c r="G194" s="4">
        <v>0.00777817459305203</v>
      </c>
      <c r="H194" s="4">
        <v>0.265599999999999</v>
      </c>
      <c r="I194" s="4">
        <v>0.0093166517590817</v>
      </c>
    </row>
    <row r="195">
      <c r="A195" s="4" t="s">
        <v>458</v>
      </c>
      <c r="B195" s="4">
        <v>0.408</v>
      </c>
      <c r="C195" s="4">
        <v>0.0</v>
      </c>
      <c r="D195" s="4">
        <v>0.322</v>
      </c>
      <c r="E195" s="4">
        <v>0.0</v>
      </c>
      <c r="F195" s="4">
        <v>0.235</v>
      </c>
      <c r="G195" s="4">
        <v>0.0</v>
      </c>
      <c r="H195" s="4">
        <v>0.24</v>
      </c>
      <c r="I195" s="4">
        <v>0.0</v>
      </c>
    </row>
    <row r="196">
      <c r="A196" s="4" t="s">
        <v>459</v>
      </c>
      <c r="B196" s="4">
        <v>0.339</v>
      </c>
      <c r="C196" s="4">
        <v>0.0</v>
      </c>
      <c r="D196" s="4">
        <v>0.362</v>
      </c>
      <c r="E196" s="4">
        <v>0.0</v>
      </c>
      <c r="F196" s="4">
        <v>0.18</v>
      </c>
      <c r="G196" s="4">
        <v>0.0</v>
      </c>
      <c r="H196" s="4">
        <v>0.261</v>
      </c>
      <c r="I196" s="4">
        <v>0.0</v>
      </c>
    </row>
    <row r="197">
      <c r="A197" s="4" t="s">
        <v>460</v>
      </c>
      <c r="B197" s="4">
        <v>0.3814</v>
      </c>
      <c r="C197" s="4">
        <v>0.0195652753622329</v>
      </c>
      <c r="D197" s="4">
        <v>0.365</v>
      </c>
      <c r="E197" s="4">
        <v>0.00897217922246318</v>
      </c>
      <c r="F197" s="4">
        <v>0.2058</v>
      </c>
      <c r="G197" s="4">
        <v>0.0269851811185324</v>
      </c>
      <c r="H197" s="4">
        <v>0.2798</v>
      </c>
      <c r="I197" s="4">
        <v>0.0222306095283057</v>
      </c>
    </row>
    <row r="198">
      <c r="A198" s="4" t="s">
        <v>461</v>
      </c>
      <c r="B198" s="4">
        <v>0.429</v>
      </c>
      <c r="C198" s="4">
        <v>0.0</v>
      </c>
      <c r="D198" s="4">
        <v>0.303</v>
      </c>
      <c r="E198" s="4">
        <v>0.0</v>
      </c>
      <c r="F198" s="4">
        <v>0.244</v>
      </c>
      <c r="G198" s="4">
        <v>0.0</v>
      </c>
      <c r="H198" s="4">
        <v>0.23</v>
      </c>
      <c r="I198" s="4">
        <v>0.0</v>
      </c>
    </row>
    <row r="199">
      <c r="A199" s="4" t="s">
        <v>462</v>
      </c>
      <c r="B199" s="4">
        <v>0.368</v>
      </c>
      <c r="C199" s="4">
        <v>0.0</v>
      </c>
      <c r="D199" s="4">
        <v>0.376</v>
      </c>
      <c r="E199" s="4">
        <v>0.0</v>
      </c>
      <c r="F199" s="4">
        <v>0.219</v>
      </c>
      <c r="G199" s="4">
        <v>0.0</v>
      </c>
      <c r="H199" s="4">
        <v>0.311</v>
      </c>
      <c r="I199" s="4">
        <v>0.0</v>
      </c>
    </row>
    <row r="200">
      <c r="A200" s="4" t="s">
        <v>463</v>
      </c>
      <c r="B200" s="4">
        <v>0.372</v>
      </c>
      <c r="C200" s="4">
        <v>0.0180969610708538</v>
      </c>
      <c r="D200" s="4">
        <v>0.3754</v>
      </c>
      <c r="E200" s="4">
        <v>0.00723187389270582</v>
      </c>
      <c r="F200" s="4">
        <v>0.2172</v>
      </c>
      <c r="G200" s="4">
        <v>0.0136271787248865</v>
      </c>
      <c r="H200" s="4">
        <v>0.2976</v>
      </c>
      <c r="I200" s="4">
        <v>0.0144326019830105</v>
      </c>
    </row>
    <row r="201">
      <c r="A201" s="4" t="s">
        <v>464</v>
      </c>
      <c r="B201" s="4">
        <v>0.427</v>
      </c>
      <c r="C201" s="4">
        <v>0.0</v>
      </c>
      <c r="D201" s="4">
        <v>0.322</v>
      </c>
      <c r="E201" s="4">
        <v>0.0</v>
      </c>
      <c r="F201" s="4">
        <v>0.246</v>
      </c>
      <c r="G201" s="4">
        <v>0.0</v>
      </c>
      <c r="H201" s="4">
        <v>0.247</v>
      </c>
      <c r="I201" s="4">
        <v>0.0</v>
      </c>
    </row>
    <row r="202">
      <c r="A202" s="4" t="s">
        <v>465</v>
      </c>
      <c r="B202" s="4">
        <v>0.404</v>
      </c>
      <c r="C202" s="4">
        <v>0.0</v>
      </c>
      <c r="D202" s="4">
        <v>0.385</v>
      </c>
      <c r="E202" s="4">
        <v>0.0</v>
      </c>
      <c r="F202" s="4">
        <v>0.245</v>
      </c>
      <c r="G202" s="4">
        <v>0.0</v>
      </c>
      <c r="H202" s="4">
        <v>0.325</v>
      </c>
      <c r="I202" s="4">
        <v>0.0</v>
      </c>
    </row>
    <row r="203">
      <c r="A203" s="4" t="s">
        <v>466</v>
      </c>
      <c r="B203" s="4">
        <v>0.4038</v>
      </c>
      <c r="C203" s="4">
        <v>0.0132363136862194</v>
      </c>
      <c r="D203" s="4">
        <v>0.365999999999999</v>
      </c>
      <c r="E203" s="4">
        <v>0.00651920240520265</v>
      </c>
      <c r="F203" s="4">
        <v>0.2144</v>
      </c>
      <c r="G203" s="4">
        <v>0.0115021737076084</v>
      </c>
      <c r="H203" s="4">
        <v>0.2744</v>
      </c>
      <c r="I203" s="4">
        <v>0.00773304597167246</v>
      </c>
    </row>
    <row r="204">
      <c r="A204" s="4" t="s">
        <v>467</v>
      </c>
      <c r="B204" s="4">
        <v>0.464</v>
      </c>
      <c r="C204" s="4">
        <v>0.0</v>
      </c>
      <c r="D204" s="4">
        <v>0.322</v>
      </c>
      <c r="E204" s="4">
        <v>0.0</v>
      </c>
      <c r="F204" s="4">
        <v>0.262</v>
      </c>
      <c r="G204" s="4">
        <v>0.0</v>
      </c>
      <c r="H204" s="4">
        <v>0.236</v>
      </c>
      <c r="I204" s="4">
        <v>0.0</v>
      </c>
    </row>
    <row r="205">
      <c r="A205" s="4" t="s">
        <v>468</v>
      </c>
      <c r="B205" s="4">
        <v>0.431</v>
      </c>
      <c r="C205" s="4">
        <v>0.0</v>
      </c>
      <c r="D205" s="4">
        <v>0.37</v>
      </c>
      <c r="E205" s="4">
        <v>0.0</v>
      </c>
      <c r="F205" s="4">
        <v>0.23</v>
      </c>
      <c r="G205" s="4">
        <v>0.0</v>
      </c>
      <c r="H205" s="4">
        <v>0.297</v>
      </c>
      <c r="I205" s="4">
        <v>0.0</v>
      </c>
    </row>
    <row r="206">
      <c r="A206" s="4" t="s">
        <v>469</v>
      </c>
      <c r="B206" s="4">
        <v>0.3806</v>
      </c>
      <c r="C206" s="4">
        <v>0.0233944437847964</v>
      </c>
      <c r="D206" s="4">
        <v>0.3692</v>
      </c>
      <c r="E206" s="4">
        <v>0.0061400325732035</v>
      </c>
      <c r="F206" s="4">
        <v>0.2112</v>
      </c>
      <c r="G206" s="4">
        <v>0.0173695135222607</v>
      </c>
      <c r="H206" s="4">
        <v>0.2734</v>
      </c>
      <c r="I206" s="4">
        <v>0.00952890339965726</v>
      </c>
    </row>
    <row r="207">
      <c r="A207" s="4" t="s">
        <v>470</v>
      </c>
      <c r="B207" s="4">
        <v>0.442</v>
      </c>
      <c r="C207" s="4">
        <v>0.0</v>
      </c>
      <c r="D207" s="4">
        <v>0.332</v>
      </c>
      <c r="E207" s="4">
        <v>0.0</v>
      </c>
      <c r="F207" s="4">
        <v>0.248</v>
      </c>
      <c r="G207" s="4">
        <v>0.0</v>
      </c>
      <c r="H207" s="4">
        <v>0.243</v>
      </c>
      <c r="I207" s="4">
        <v>0.0</v>
      </c>
    </row>
    <row r="208">
      <c r="A208" s="4" t="s">
        <v>471</v>
      </c>
      <c r="B208" s="4">
        <v>0.382</v>
      </c>
      <c r="C208" s="4">
        <v>0.0</v>
      </c>
      <c r="D208" s="4">
        <v>0.375</v>
      </c>
      <c r="E208" s="4">
        <v>0.0</v>
      </c>
      <c r="F208" s="4">
        <v>0.225</v>
      </c>
      <c r="G208" s="4">
        <v>0.0</v>
      </c>
      <c r="H208" s="4">
        <v>0.292</v>
      </c>
      <c r="I208" s="4">
        <v>0.0</v>
      </c>
    </row>
    <row r="209">
      <c r="A209" s="4" t="s">
        <v>472</v>
      </c>
      <c r="B209" s="4">
        <v>0.1898</v>
      </c>
      <c r="C209" s="4">
        <v>0.027068431797945</v>
      </c>
      <c r="D209" s="4">
        <v>0.330399999999999</v>
      </c>
      <c r="E209" s="4">
        <v>0.0189156020258409</v>
      </c>
      <c r="F209" s="4">
        <v>0.1254</v>
      </c>
      <c r="G209" s="4">
        <v>0.0172133668990119</v>
      </c>
      <c r="H209" s="4">
        <v>0.3086</v>
      </c>
      <c r="I209" s="4">
        <v>0.0208158593384947</v>
      </c>
    </row>
    <row r="210">
      <c r="A210" s="4" t="s">
        <v>473</v>
      </c>
      <c r="B210" s="4">
        <v>0.24</v>
      </c>
      <c r="C210" s="4">
        <v>0.0</v>
      </c>
      <c r="D210" s="4">
        <v>0.198</v>
      </c>
      <c r="E210" s="4">
        <v>0.0</v>
      </c>
      <c r="F210" s="4">
        <v>0.134</v>
      </c>
      <c r="G210" s="4">
        <v>0.0</v>
      </c>
      <c r="H210" s="4">
        <v>0.165</v>
      </c>
      <c r="I210" s="4">
        <v>0.0</v>
      </c>
    </row>
    <row r="211">
      <c r="A211" s="4" t="s">
        <v>474</v>
      </c>
      <c r="B211" s="4">
        <v>0.157</v>
      </c>
      <c r="C211" s="4">
        <v>0.0</v>
      </c>
      <c r="D211" s="4">
        <v>0.328</v>
      </c>
      <c r="E211" s="4">
        <v>0.0</v>
      </c>
      <c r="F211" s="4">
        <v>0.121</v>
      </c>
      <c r="G211" s="4">
        <v>0.0</v>
      </c>
      <c r="H211" s="4">
        <v>0.309</v>
      </c>
      <c r="I211" s="4">
        <v>0.0</v>
      </c>
    </row>
    <row r="212">
      <c r="A212" s="4" t="s">
        <v>475</v>
      </c>
      <c r="B212" s="4">
        <v>0.1898</v>
      </c>
      <c r="C212" s="4">
        <v>0.0283672346202445</v>
      </c>
      <c r="D212" s="4">
        <v>0.3254</v>
      </c>
      <c r="E212" s="4">
        <v>0.0186627972179949</v>
      </c>
      <c r="F212" s="4">
        <v>0.118799999999999</v>
      </c>
      <c r="G212" s="4">
        <v>0.0225211012164147</v>
      </c>
      <c r="H212" s="4">
        <v>0.2986</v>
      </c>
      <c r="I212" s="4">
        <v>0.0244294903753639</v>
      </c>
    </row>
    <row r="213">
      <c r="A213" s="4" t="s">
        <v>476</v>
      </c>
      <c r="B213" s="4">
        <v>0.241</v>
      </c>
      <c r="C213" s="4">
        <v>0.0</v>
      </c>
      <c r="D213" s="4">
        <v>0.196</v>
      </c>
      <c r="E213" s="4">
        <v>0.0</v>
      </c>
      <c r="F213" s="4">
        <v>0.118</v>
      </c>
      <c r="G213" s="4">
        <v>0.0</v>
      </c>
      <c r="H213" s="4">
        <v>0.155</v>
      </c>
      <c r="I213" s="4">
        <v>0.0</v>
      </c>
    </row>
    <row r="214">
      <c r="A214" s="4" t="s">
        <v>477</v>
      </c>
      <c r="B214" s="4">
        <v>0.233</v>
      </c>
      <c r="C214" s="4">
        <v>0.0</v>
      </c>
      <c r="D214" s="4">
        <v>0.4</v>
      </c>
      <c r="E214" s="4">
        <v>0.0</v>
      </c>
      <c r="F214" s="4">
        <v>0.205</v>
      </c>
      <c r="G214" s="4">
        <v>0.0</v>
      </c>
      <c r="H214" s="4">
        <v>0.401</v>
      </c>
      <c r="I214" s="4">
        <v>0.0</v>
      </c>
    </row>
    <row r="215">
      <c r="A215" s="4" t="s">
        <v>478</v>
      </c>
      <c r="B215" s="4">
        <v>0.1596</v>
      </c>
      <c r="C215" s="4">
        <v>0.0181466250305669</v>
      </c>
      <c r="D215" s="4">
        <v>0.3014</v>
      </c>
      <c r="E215" s="4">
        <v>0.0208638443245725</v>
      </c>
      <c r="F215" s="4">
        <v>0.0998</v>
      </c>
      <c r="G215" s="4">
        <v>0.0202657346276911</v>
      </c>
      <c r="H215" s="4">
        <v>0.2706</v>
      </c>
      <c r="I215" s="4">
        <v>0.0295601082541996</v>
      </c>
    </row>
    <row r="216">
      <c r="A216" s="4" t="s">
        <v>479</v>
      </c>
      <c r="B216" s="4">
        <v>0.212</v>
      </c>
      <c r="C216" s="4">
        <v>0.0</v>
      </c>
      <c r="D216" s="4">
        <v>0.198</v>
      </c>
      <c r="E216" s="4">
        <v>0.0</v>
      </c>
      <c r="F216" s="4">
        <v>0.112</v>
      </c>
      <c r="G216" s="4">
        <v>0.0</v>
      </c>
      <c r="H216" s="4">
        <v>0.144</v>
      </c>
      <c r="I216" s="4">
        <v>0.0</v>
      </c>
    </row>
    <row r="217">
      <c r="A217" s="4" t="s">
        <v>480</v>
      </c>
      <c r="B217" s="4">
        <v>0.145</v>
      </c>
      <c r="C217" s="4">
        <v>0.0</v>
      </c>
      <c r="D217" s="4">
        <v>0.322</v>
      </c>
      <c r="E217" s="4">
        <v>0.0</v>
      </c>
      <c r="F217" s="4">
        <v>0.11</v>
      </c>
      <c r="G217" s="4">
        <v>0.0</v>
      </c>
      <c r="H217" s="4">
        <v>0.304</v>
      </c>
      <c r="I217" s="4">
        <v>0.0</v>
      </c>
    </row>
    <row r="218">
      <c r="A218" s="4" t="s">
        <v>481</v>
      </c>
      <c r="B218" s="4">
        <v>0.1788</v>
      </c>
      <c r="C218" s="4">
        <v>0.0259846108302587</v>
      </c>
      <c r="D218" s="4">
        <v>0.3128</v>
      </c>
      <c r="E218" s="4">
        <v>0.026771253239249</v>
      </c>
      <c r="F218" s="4">
        <v>0.0958</v>
      </c>
      <c r="G218" s="4">
        <v>0.024863628053846</v>
      </c>
      <c r="H218" s="4">
        <v>0.2722</v>
      </c>
      <c r="I218" s="4">
        <v>0.0399899987496874</v>
      </c>
    </row>
    <row r="219">
      <c r="A219" s="4" t="s">
        <v>482</v>
      </c>
      <c r="B219" s="4">
        <v>0.227</v>
      </c>
      <c r="C219" s="4">
        <v>0.0</v>
      </c>
      <c r="D219" s="4">
        <v>0.182</v>
      </c>
      <c r="E219" s="4">
        <v>0.0</v>
      </c>
      <c r="F219" s="4">
        <v>0.093</v>
      </c>
      <c r="G219" s="4">
        <v>0.0</v>
      </c>
      <c r="H219" s="4">
        <v>0.138</v>
      </c>
      <c r="I219" s="4">
        <v>0.0</v>
      </c>
    </row>
    <row r="220">
      <c r="A220" s="4" t="s">
        <v>483</v>
      </c>
      <c r="B220" s="4">
        <v>0.165</v>
      </c>
      <c r="C220" s="4">
        <v>0.0</v>
      </c>
      <c r="D220" s="4">
        <v>0.349</v>
      </c>
      <c r="E220" s="4">
        <v>0.0</v>
      </c>
      <c r="F220" s="4">
        <v>0.134</v>
      </c>
      <c r="G220" s="4">
        <v>0.0</v>
      </c>
      <c r="H220" s="4">
        <v>0.329</v>
      </c>
      <c r="I220" s="4">
        <v>0.0</v>
      </c>
    </row>
    <row r="221">
      <c r="A221" s="4" t="s">
        <v>484</v>
      </c>
      <c r="B221" s="4">
        <v>0.2604</v>
      </c>
      <c r="C221" s="4">
        <v>0.0186493967730862</v>
      </c>
      <c r="D221" s="4">
        <v>0.3488</v>
      </c>
      <c r="E221" s="4">
        <v>0.0121119775429117</v>
      </c>
      <c r="F221" s="4">
        <v>0.1682</v>
      </c>
      <c r="G221" s="4">
        <v>0.0151558569536664</v>
      </c>
      <c r="H221" s="4">
        <v>0.3202</v>
      </c>
      <c r="I221" s="4">
        <v>0.0232314442082277</v>
      </c>
    </row>
    <row r="222">
      <c r="A222" s="4" t="s">
        <v>485</v>
      </c>
      <c r="B222" s="4">
        <v>0.343</v>
      </c>
      <c r="C222" s="4">
        <v>0.0</v>
      </c>
      <c r="D222" s="4">
        <v>0.198</v>
      </c>
      <c r="E222" s="4">
        <v>0.0</v>
      </c>
      <c r="F222" s="4">
        <v>0.188</v>
      </c>
      <c r="G222" s="4">
        <v>0.0</v>
      </c>
      <c r="H222" s="4">
        <v>0.169</v>
      </c>
      <c r="I222" s="4">
        <v>0.0</v>
      </c>
    </row>
    <row r="223">
      <c r="A223" s="4" t="s">
        <v>486</v>
      </c>
      <c r="B223" s="4">
        <v>0.234</v>
      </c>
      <c r="C223" s="4">
        <v>0.0</v>
      </c>
      <c r="D223" s="4">
        <v>0.376</v>
      </c>
      <c r="E223" s="4">
        <v>0.0</v>
      </c>
      <c r="F223" s="4">
        <v>0.186</v>
      </c>
      <c r="G223" s="4">
        <v>0.0</v>
      </c>
      <c r="H223" s="4">
        <v>0.363</v>
      </c>
      <c r="I223" s="4">
        <v>0.0</v>
      </c>
    </row>
    <row r="224">
      <c r="A224" s="4" t="s">
        <v>487</v>
      </c>
      <c r="B224" s="4">
        <v>0.2748</v>
      </c>
      <c r="C224" s="4">
        <v>0.0215684955432686</v>
      </c>
      <c r="D224" s="4">
        <v>0.3604</v>
      </c>
      <c r="E224" s="4">
        <v>0.0125019998400255</v>
      </c>
      <c r="F224" s="4">
        <v>0.187199999999999</v>
      </c>
      <c r="G224" s="4">
        <v>0.0172539850469391</v>
      </c>
      <c r="H224" s="4">
        <v>0.336599999999999</v>
      </c>
      <c r="I224" s="4">
        <v>0.0213845738793177</v>
      </c>
    </row>
    <row r="225">
      <c r="A225" s="4" t="s">
        <v>488</v>
      </c>
      <c r="B225" s="4">
        <v>0.329</v>
      </c>
      <c r="C225" s="4">
        <v>0.0</v>
      </c>
      <c r="D225" s="4">
        <v>0.183</v>
      </c>
      <c r="E225" s="4">
        <v>0.0</v>
      </c>
      <c r="F225" s="4">
        <v>0.185</v>
      </c>
      <c r="G225" s="4">
        <v>0.0</v>
      </c>
      <c r="H225" s="4">
        <v>0.144</v>
      </c>
      <c r="I225" s="4">
        <v>0.0</v>
      </c>
    </row>
    <row r="226">
      <c r="A226" s="4" t="s">
        <v>489</v>
      </c>
      <c r="B226" s="4">
        <v>0.344</v>
      </c>
      <c r="C226" s="4">
        <v>0.0</v>
      </c>
      <c r="D226" s="4">
        <v>0.443</v>
      </c>
      <c r="E226" s="4">
        <v>0.0</v>
      </c>
      <c r="F226" s="4">
        <v>0.301</v>
      </c>
      <c r="G226" s="4">
        <v>0.0</v>
      </c>
      <c r="H226" s="4">
        <v>0.442</v>
      </c>
      <c r="I226" s="4">
        <v>0.0</v>
      </c>
    </row>
    <row r="227">
      <c r="A227" s="4" t="s">
        <v>490</v>
      </c>
      <c r="B227" s="4">
        <v>0.2704</v>
      </c>
      <c r="C227" s="4">
        <v>0.0343263746993474</v>
      </c>
      <c r="D227" s="4">
        <v>0.4176</v>
      </c>
      <c r="E227" s="4">
        <v>0.0171551741465949</v>
      </c>
      <c r="F227" s="4">
        <v>0.2434</v>
      </c>
      <c r="G227" s="4">
        <v>0.0314054135460751</v>
      </c>
      <c r="H227" s="4">
        <v>0.4068</v>
      </c>
      <c r="I227" s="4">
        <v>0.0199298770693649</v>
      </c>
    </row>
    <row r="228">
      <c r="A228" s="4" t="s">
        <v>491</v>
      </c>
      <c r="B228" s="4">
        <v>0.336</v>
      </c>
      <c r="C228" s="4">
        <v>0.0</v>
      </c>
      <c r="D228" s="4">
        <v>0.319</v>
      </c>
      <c r="E228" s="4">
        <v>0.0</v>
      </c>
      <c r="F228" s="4">
        <v>0.261</v>
      </c>
      <c r="G228" s="4">
        <v>0.0</v>
      </c>
      <c r="H228" s="4">
        <v>0.308</v>
      </c>
      <c r="I228" s="4">
        <v>0.0</v>
      </c>
    </row>
    <row r="229">
      <c r="A229" s="4" t="s">
        <v>492</v>
      </c>
      <c r="B229" s="4">
        <v>0.275</v>
      </c>
      <c r="C229" s="4">
        <v>0.0</v>
      </c>
      <c r="D229" s="4">
        <v>0.439</v>
      </c>
      <c r="E229" s="4">
        <v>0.0</v>
      </c>
      <c r="F229" s="4">
        <v>0.262</v>
      </c>
      <c r="G229" s="4">
        <v>0.0</v>
      </c>
      <c r="H229" s="4">
        <v>0.431</v>
      </c>
      <c r="I229" s="4">
        <v>0.0</v>
      </c>
    </row>
    <row r="230">
      <c r="A230" s="4" t="s">
        <v>493</v>
      </c>
      <c r="B230" s="4">
        <v>0.2542</v>
      </c>
      <c r="C230" s="4">
        <v>0.0165740761431821</v>
      </c>
      <c r="D230" s="4">
        <v>0.421</v>
      </c>
      <c r="E230" s="4">
        <v>0.00871779788708135</v>
      </c>
      <c r="F230" s="4">
        <v>0.242</v>
      </c>
      <c r="G230" s="4">
        <v>0.0185337529928506</v>
      </c>
      <c r="H230" s="4">
        <v>0.416599999999999</v>
      </c>
      <c r="I230" s="4">
        <v>0.0125419296760905</v>
      </c>
    </row>
    <row r="231">
      <c r="A231" s="4" t="s">
        <v>494</v>
      </c>
      <c r="B231" s="4">
        <v>0.29</v>
      </c>
      <c r="C231" s="4">
        <v>0.0</v>
      </c>
      <c r="D231" s="4">
        <v>0.343</v>
      </c>
      <c r="E231" s="4">
        <v>0.0</v>
      </c>
      <c r="F231" s="4">
        <v>0.234</v>
      </c>
      <c r="G231" s="4">
        <v>0.0</v>
      </c>
      <c r="H231" s="4">
        <v>0.322</v>
      </c>
      <c r="I231" s="4">
        <v>0.0</v>
      </c>
    </row>
    <row r="232">
      <c r="A232" s="4" t="s">
        <v>495</v>
      </c>
      <c r="B232" s="4">
        <v>0.257</v>
      </c>
      <c r="C232" s="4">
        <v>0.0</v>
      </c>
      <c r="D232" s="4">
        <v>0.437</v>
      </c>
      <c r="E232" s="4">
        <v>0.0</v>
      </c>
      <c r="F232" s="4">
        <v>0.257</v>
      </c>
      <c r="G232" s="4">
        <v>0.0</v>
      </c>
      <c r="H232" s="4">
        <v>0.437</v>
      </c>
      <c r="I232" s="4">
        <v>0.0</v>
      </c>
    </row>
    <row r="233">
      <c r="A233" s="4" t="s">
        <v>496</v>
      </c>
      <c r="B233" s="4">
        <v>0.2782</v>
      </c>
      <c r="C233" s="4">
        <v>0.0167988094816269</v>
      </c>
      <c r="D233" s="4">
        <v>0.429199999999999</v>
      </c>
      <c r="E233" s="4">
        <v>0.00544977063737549</v>
      </c>
      <c r="F233" s="4">
        <v>0.2544</v>
      </c>
      <c r="G233" s="4">
        <v>0.0113710157857598</v>
      </c>
      <c r="H233" s="4">
        <v>0.422999999999999</v>
      </c>
      <c r="I233" s="4">
        <v>0.00291547594742265</v>
      </c>
    </row>
    <row r="234">
      <c r="A234" s="4" t="s">
        <v>497</v>
      </c>
      <c r="B234" s="4">
        <v>0.309</v>
      </c>
      <c r="C234" s="4">
        <v>0.0</v>
      </c>
      <c r="D234" s="4">
        <v>0.344</v>
      </c>
      <c r="E234" s="4">
        <v>0.0</v>
      </c>
      <c r="F234" s="4">
        <v>0.234</v>
      </c>
      <c r="G234" s="4">
        <v>0.0</v>
      </c>
      <c r="H234" s="4">
        <v>0.325</v>
      </c>
      <c r="I234" s="4">
        <v>0.0</v>
      </c>
    </row>
    <row r="235">
      <c r="A235" s="4" t="s">
        <v>498</v>
      </c>
      <c r="B235" s="4">
        <v>0.277</v>
      </c>
      <c r="C235" s="4">
        <v>0.0</v>
      </c>
      <c r="D235" s="4">
        <v>0.442</v>
      </c>
      <c r="E235" s="4">
        <v>0.0</v>
      </c>
      <c r="F235" s="4">
        <v>0.269</v>
      </c>
      <c r="G235" s="4">
        <v>0.0</v>
      </c>
      <c r="H235" s="4">
        <v>0.442</v>
      </c>
      <c r="I235" s="4">
        <v>0.0</v>
      </c>
    </row>
    <row r="236">
      <c r="A236" s="4" t="s">
        <v>499</v>
      </c>
      <c r="B236" s="4">
        <v>0.2652</v>
      </c>
      <c r="C236" s="4">
        <v>0.0127553910171346</v>
      </c>
      <c r="D236" s="4">
        <v>0.4256</v>
      </c>
      <c r="E236" s="4">
        <v>0.0044497190922574</v>
      </c>
      <c r="F236" s="4">
        <v>0.2544</v>
      </c>
      <c r="G236" s="4">
        <v>0.0179805450417944</v>
      </c>
      <c r="H236" s="4">
        <v>0.4206</v>
      </c>
      <c r="I236" s="4">
        <v>0.00971081870904815</v>
      </c>
    </row>
    <row r="237">
      <c r="A237" s="4" t="s">
        <v>500</v>
      </c>
      <c r="B237" s="4">
        <v>0.318</v>
      </c>
      <c r="C237" s="4">
        <v>0.0</v>
      </c>
      <c r="D237" s="4">
        <v>0.357</v>
      </c>
      <c r="E237" s="4">
        <v>0.0</v>
      </c>
      <c r="F237" s="4">
        <v>0.272</v>
      </c>
      <c r="G237" s="4">
        <v>0.0</v>
      </c>
      <c r="H237" s="4">
        <v>0.339</v>
      </c>
      <c r="I237" s="4">
        <v>0.0</v>
      </c>
    </row>
    <row r="238">
      <c r="A238" s="4" t="s">
        <v>501</v>
      </c>
      <c r="B238" s="4">
        <v>0.276</v>
      </c>
      <c r="C238" s="4">
        <v>0.0</v>
      </c>
      <c r="D238" s="4">
        <v>0.442</v>
      </c>
      <c r="E238" s="4">
        <v>0.0</v>
      </c>
      <c r="F238" s="4">
        <v>0.269</v>
      </c>
      <c r="G238" s="4">
        <v>0.0</v>
      </c>
      <c r="H238" s="4">
        <v>0.438</v>
      </c>
      <c r="I238" s="4">
        <v>0.0</v>
      </c>
    </row>
    <row r="239">
      <c r="A239" s="4" t="s">
        <v>502</v>
      </c>
      <c r="B239" s="4">
        <v>0.285599999999999</v>
      </c>
      <c r="C239" s="4">
        <v>0.00497995983919547</v>
      </c>
      <c r="D239" s="4">
        <v>0.4512</v>
      </c>
      <c r="E239" s="4">
        <v>0.00178885438199983</v>
      </c>
      <c r="F239" s="4">
        <v>0.284199999999999</v>
      </c>
      <c r="G239" s="4">
        <v>0.00501996015920442</v>
      </c>
      <c r="H239" s="4">
        <v>0.4502</v>
      </c>
      <c r="I239" s="4">
        <v>0.00248997991959774</v>
      </c>
    </row>
    <row r="240">
      <c r="A240" s="4" t="s">
        <v>503</v>
      </c>
      <c r="B240" s="4">
        <v>0.293</v>
      </c>
      <c r="C240" s="4">
        <v>0.0</v>
      </c>
      <c r="D240" s="4">
        <v>0.449</v>
      </c>
      <c r="E240" s="4">
        <v>0.0</v>
      </c>
      <c r="F240" s="4">
        <v>0.286</v>
      </c>
      <c r="G240" s="4">
        <v>0.0</v>
      </c>
      <c r="H240" s="4">
        <v>0.445</v>
      </c>
      <c r="I240" s="4">
        <v>0.0</v>
      </c>
    </row>
    <row r="241">
      <c r="A241" s="4" t="s">
        <v>504</v>
      </c>
      <c r="B241" s="4">
        <v>0.287</v>
      </c>
      <c r="C241" s="4">
        <v>0.0</v>
      </c>
      <c r="D241" s="4">
        <v>0.452</v>
      </c>
      <c r="E241" s="4">
        <v>0.0</v>
      </c>
      <c r="F241" s="4">
        <v>0.287</v>
      </c>
      <c r="G241" s="4">
        <v>0.0</v>
      </c>
      <c r="H241" s="4">
        <v>0.452</v>
      </c>
      <c r="I241" s="4">
        <v>0.0</v>
      </c>
    </row>
    <row r="242">
      <c r="A242" s="4" t="s">
        <v>505</v>
      </c>
      <c r="B242" s="4">
        <v>0.291599999999999</v>
      </c>
      <c r="C242" s="4">
        <v>0.0117175082675456</v>
      </c>
      <c r="D242" s="4">
        <v>0.4482</v>
      </c>
      <c r="E242" s="4">
        <v>0.00742967024840269</v>
      </c>
      <c r="F242" s="4">
        <v>0.2844</v>
      </c>
      <c r="G242" s="4">
        <v>0.0125419296760905</v>
      </c>
      <c r="H242" s="4">
        <v>0.4458</v>
      </c>
      <c r="I242" s="4">
        <v>0.00846758525200662</v>
      </c>
    </row>
    <row r="243">
      <c r="A243" s="4" t="s">
        <v>506</v>
      </c>
      <c r="B243" s="4">
        <v>0.334</v>
      </c>
      <c r="C243" s="4">
        <v>0.0</v>
      </c>
      <c r="D243" s="4">
        <v>0.435</v>
      </c>
      <c r="E243" s="4">
        <v>0.0</v>
      </c>
      <c r="F243" s="4">
        <v>0.307</v>
      </c>
      <c r="G243" s="4">
        <v>0.0</v>
      </c>
      <c r="H243" s="4">
        <v>0.431</v>
      </c>
      <c r="I243" s="4">
        <v>0.0</v>
      </c>
    </row>
    <row r="244">
      <c r="A244" s="4" t="s">
        <v>507</v>
      </c>
      <c r="B244" s="4">
        <v>0.277</v>
      </c>
      <c r="C244" s="4">
        <v>0.0</v>
      </c>
      <c r="D244" s="4">
        <v>0.448</v>
      </c>
      <c r="E244" s="4">
        <v>0.0</v>
      </c>
      <c r="F244" s="4">
        <v>0.277</v>
      </c>
      <c r="G244" s="4">
        <v>0.0</v>
      </c>
      <c r="H244" s="4">
        <v>0.448</v>
      </c>
      <c r="I244" s="4">
        <v>0.0</v>
      </c>
    </row>
    <row r="245">
      <c r="A245" s="4" t="s">
        <v>508</v>
      </c>
      <c r="B245" s="4">
        <v>0.1936</v>
      </c>
      <c r="C245" s="4">
        <v>0.0345658791295693</v>
      </c>
      <c r="D245" s="4">
        <v>0.352799999999999</v>
      </c>
      <c r="E245" s="4">
        <v>0.0315230074707347</v>
      </c>
      <c r="F245" s="4">
        <v>0.1488</v>
      </c>
      <c r="G245" s="4">
        <v>0.0305973855092228</v>
      </c>
      <c r="H245" s="4">
        <v>0.3398</v>
      </c>
      <c r="I245" s="4">
        <v>0.0388162337173507</v>
      </c>
    </row>
    <row r="246">
      <c r="A246" s="4" t="s">
        <v>509</v>
      </c>
      <c r="B246" s="4">
        <v>0.242</v>
      </c>
      <c r="C246" s="4">
        <v>0.0</v>
      </c>
      <c r="D246" s="4">
        <v>0.231</v>
      </c>
      <c r="E246" s="4">
        <v>0.0</v>
      </c>
      <c r="F246" s="4">
        <v>0.143</v>
      </c>
      <c r="G246" s="4">
        <v>0.0</v>
      </c>
      <c r="H246" s="4">
        <v>0.192</v>
      </c>
      <c r="I246" s="4">
        <v>0.0</v>
      </c>
    </row>
    <row r="247">
      <c r="A247" s="4" t="s">
        <v>510</v>
      </c>
      <c r="B247" s="4">
        <v>0.272</v>
      </c>
      <c r="C247" s="4">
        <v>0.0</v>
      </c>
      <c r="D247" s="4">
        <v>0.437</v>
      </c>
      <c r="E247" s="4">
        <v>0.0</v>
      </c>
      <c r="F247" s="4">
        <v>0.257</v>
      </c>
      <c r="G247" s="4">
        <v>0.0</v>
      </c>
      <c r="H247" s="4">
        <v>0.437</v>
      </c>
      <c r="I247" s="4">
        <v>0.0</v>
      </c>
    </row>
    <row r="248">
      <c r="A248" s="4" t="s">
        <v>511</v>
      </c>
      <c r="B248" s="4">
        <v>0.1888</v>
      </c>
      <c r="C248" s="4">
        <v>0.0298026844428484</v>
      </c>
      <c r="D248" s="4">
        <v>0.3556</v>
      </c>
      <c r="E248" s="4">
        <v>0.0205012194759238</v>
      </c>
      <c r="F248" s="4">
        <v>0.1394</v>
      </c>
      <c r="G248" s="4">
        <v>0.0200449494885868</v>
      </c>
      <c r="H248" s="4">
        <v>0.3352</v>
      </c>
      <c r="I248" s="4">
        <v>0.0202163300329213</v>
      </c>
    </row>
    <row r="249">
      <c r="A249" s="4" t="s">
        <v>512</v>
      </c>
      <c r="B249" s="4">
        <v>0.217</v>
      </c>
      <c r="C249" s="4">
        <v>0.0</v>
      </c>
      <c r="D249" s="4">
        <v>0.221</v>
      </c>
      <c r="E249" s="4">
        <v>0.0</v>
      </c>
      <c r="F249" s="4">
        <v>0.125</v>
      </c>
      <c r="G249" s="4">
        <v>0.0</v>
      </c>
      <c r="H249" s="4">
        <v>0.189</v>
      </c>
      <c r="I249" s="4">
        <v>0.0</v>
      </c>
    </row>
    <row r="250">
      <c r="A250" s="4" t="s">
        <v>513</v>
      </c>
      <c r="B250" s="4">
        <v>0.28</v>
      </c>
      <c r="C250" s="4">
        <v>0.0</v>
      </c>
      <c r="D250" s="4">
        <v>0.442</v>
      </c>
      <c r="E250" s="4">
        <v>0.0</v>
      </c>
      <c r="F250" s="4">
        <v>0.248</v>
      </c>
      <c r="G250" s="4">
        <v>0.0</v>
      </c>
      <c r="H250" s="4">
        <v>0.432</v>
      </c>
      <c r="I250" s="4">
        <v>0.0</v>
      </c>
    </row>
    <row r="251">
      <c r="A251" s="4" t="s">
        <v>514</v>
      </c>
      <c r="B251" s="4">
        <v>0.2008</v>
      </c>
      <c r="C251" s="4">
        <v>0.0343467611282344</v>
      </c>
      <c r="D251" s="4">
        <v>0.3732</v>
      </c>
      <c r="E251" s="4">
        <v>0.0264234744119693</v>
      </c>
      <c r="F251" s="4">
        <v>0.1686</v>
      </c>
      <c r="G251" s="4">
        <v>0.0298964880880681</v>
      </c>
      <c r="H251" s="4">
        <v>0.366</v>
      </c>
      <c r="I251" s="4">
        <v>0.027258026340878</v>
      </c>
    </row>
    <row r="252">
      <c r="A252" s="4" t="s">
        <v>515</v>
      </c>
      <c r="B252" s="4">
        <v>0.235</v>
      </c>
      <c r="C252" s="4">
        <v>0.0</v>
      </c>
      <c r="D252" s="4">
        <v>0.234</v>
      </c>
      <c r="E252" s="4">
        <v>0.0</v>
      </c>
      <c r="F252" s="4">
        <v>0.148</v>
      </c>
      <c r="G252" s="4">
        <v>0.0</v>
      </c>
      <c r="H252" s="4">
        <v>0.206</v>
      </c>
      <c r="I252" s="4">
        <v>0.0</v>
      </c>
    </row>
    <row r="253">
      <c r="A253" s="4" t="s">
        <v>516</v>
      </c>
      <c r="B253" s="4">
        <v>0.292</v>
      </c>
      <c r="C253" s="4">
        <v>0.0</v>
      </c>
      <c r="D253" s="4">
        <v>0.452</v>
      </c>
      <c r="E253" s="4">
        <v>0.0</v>
      </c>
      <c r="F253" s="4">
        <v>0.287</v>
      </c>
      <c r="G253" s="4">
        <v>0.0</v>
      </c>
      <c r="H253" s="4">
        <v>0.452</v>
      </c>
      <c r="I253" s="4">
        <v>0.0</v>
      </c>
    </row>
    <row r="254">
      <c r="A254" s="4" t="s">
        <v>517</v>
      </c>
      <c r="B254" s="4">
        <v>0.1968</v>
      </c>
      <c r="C254" s="4">
        <v>0.035569649984221</v>
      </c>
      <c r="D254" s="4">
        <v>0.3686</v>
      </c>
      <c r="E254" s="4">
        <v>0.0270610421085367</v>
      </c>
      <c r="F254" s="4">
        <v>0.161199999999999</v>
      </c>
      <c r="G254" s="4">
        <v>0.0338186339168216</v>
      </c>
      <c r="H254" s="4">
        <v>0.355</v>
      </c>
      <c r="I254" s="4">
        <v>0.0299081928574763</v>
      </c>
    </row>
    <row r="255">
      <c r="A255" s="4" t="s">
        <v>518</v>
      </c>
      <c r="B255" s="4">
        <v>0.228</v>
      </c>
      <c r="C255" s="4">
        <v>0.0</v>
      </c>
      <c r="D255" s="4">
        <v>0.236</v>
      </c>
      <c r="E255" s="4">
        <v>0.0</v>
      </c>
      <c r="F255" s="4">
        <v>0.143</v>
      </c>
      <c r="G255" s="4">
        <v>0.0</v>
      </c>
      <c r="H255" s="4">
        <v>0.198</v>
      </c>
      <c r="I255" s="4">
        <v>0.0</v>
      </c>
    </row>
    <row r="256">
      <c r="A256" s="4" t="s">
        <v>519</v>
      </c>
      <c r="B256" s="4">
        <v>0.297</v>
      </c>
      <c r="C256" s="4">
        <v>0.0</v>
      </c>
      <c r="D256" s="4">
        <v>0.457</v>
      </c>
      <c r="E256" s="4">
        <v>0.0</v>
      </c>
      <c r="F256" s="4">
        <v>0.287</v>
      </c>
      <c r="G256" s="4">
        <v>0.0</v>
      </c>
      <c r="H256" s="4">
        <v>0.452</v>
      </c>
      <c r="I256" s="4">
        <v>0.0</v>
      </c>
    </row>
    <row r="257">
      <c r="A257" s="4" t="s">
        <v>520</v>
      </c>
      <c r="B257" s="4">
        <v>0.1724</v>
      </c>
      <c r="C257" s="4">
        <v>0.0321449840566144</v>
      </c>
      <c r="D257" s="4">
        <v>0.3466</v>
      </c>
      <c r="E257" s="4">
        <v>0.0252942681254073</v>
      </c>
      <c r="F257" s="4">
        <v>0.1396</v>
      </c>
      <c r="G257" s="4">
        <v>0.0314531397478852</v>
      </c>
      <c r="H257" s="4">
        <v>0.3316</v>
      </c>
      <c r="I257" s="4">
        <v>0.0297371821126346</v>
      </c>
    </row>
    <row r="258">
      <c r="A258" s="4" t="s">
        <v>521</v>
      </c>
      <c r="B258" s="4">
        <v>0.216</v>
      </c>
      <c r="C258" s="4">
        <v>0.0</v>
      </c>
      <c r="D258" s="4">
        <v>0.237</v>
      </c>
      <c r="E258" s="4">
        <v>0.0</v>
      </c>
      <c r="F258" s="4">
        <v>0.126</v>
      </c>
      <c r="G258" s="4">
        <v>0.0</v>
      </c>
      <c r="H258" s="4">
        <v>0.2</v>
      </c>
      <c r="I258" s="4">
        <v>0.0</v>
      </c>
    </row>
    <row r="259">
      <c r="A259" s="4" t="s">
        <v>522</v>
      </c>
      <c r="B259" s="4">
        <v>0.271</v>
      </c>
      <c r="C259" s="4">
        <v>0.0</v>
      </c>
      <c r="D259" s="4">
        <v>0.436</v>
      </c>
      <c r="E259" s="4">
        <v>0.0</v>
      </c>
      <c r="F259" s="4">
        <v>0.257</v>
      </c>
      <c r="G259" s="4">
        <v>0.0</v>
      </c>
      <c r="H259" s="4">
        <v>0.43</v>
      </c>
      <c r="I259" s="4">
        <v>0.0</v>
      </c>
    </row>
    <row r="260">
      <c r="A260" s="4" t="s">
        <v>523</v>
      </c>
      <c r="B260" s="4">
        <v>0.1444</v>
      </c>
      <c r="C260" s="4">
        <v>0.024845522735495</v>
      </c>
      <c r="D260" s="4">
        <v>0.3166</v>
      </c>
      <c r="E260" s="4">
        <v>0.0236600929837564</v>
      </c>
      <c r="F260" s="4">
        <v>0.1102</v>
      </c>
      <c r="G260" s="4">
        <v>0.0265650145868584</v>
      </c>
      <c r="H260" s="4">
        <v>0.3004</v>
      </c>
      <c r="I260" s="4">
        <v>0.035990276464623</v>
      </c>
    </row>
    <row r="261">
      <c r="A261" s="4" t="s">
        <v>524</v>
      </c>
      <c r="B261" s="4">
        <v>0.198</v>
      </c>
      <c r="C261" s="4">
        <v>0.0</v>
      </c>
      <c r="D261" s="4">
        <v>0.22</v>
      </c>
      <c r="E261" s="4">
        <v>0.0</v>
      </c>
      <c r="F261" s="4">
        <v>0.117</v>
      </c>
      <c r="G261" s="4">
        <v>0.0</v>
      </c>
      <c r="H261" s="4">
        <v>0.183</v>
      </c>
      <c r="I261" s="4">
        <v>0.0</v>
      </c>
    </row>
    <row r="262">
      <c r="A262" s="4" t="s">
        <v>525</v>
      </c>
      <c r="B262" s="4">
        <v>0.211</v>
      </c>
      <c r="C262" s="4">
        <v>0.0</v>
      </c>
      <c r="D262" s="4">
        <v>0.405</v>
      </c>
      <c r="E262" s="4">
        <v>0.0</v>
      </c>
      <c r="F262" s="4">
        <v>0.208</v>
      </c>
      <c r="G262" s="4">
        <v>0.0</v>
      </c>
      <c r="H262" s="4">
        <v>0.406</v>
      </c>
      <c r="I262" s="4">
        <v>0.0</v>
      </c>
    </row>
    <row r="263">
      <c r="A263" s="4" t="s">
        <v>526</v>
      </c>
      <c r="B263" s="4">
        <v>0.1712</v>
      </c>
      <c r="C263" s="4">
        <v>0.0409963413001697</v>
      </c>
      <c r="D263" s="4">
        <v>0.325</v>
      </c>
      <c r="E263" s="4">
        <v>0.0286966897045634</v>
      </c>
      <c r="F263" s="4">
        <v>0.1196</v>
      </c>
      <c r="G263" s="4">
        <v>0.0334260377550196</v>
      </c>
      <c r="H263" s="4">
        <v>0.297199999999999</v>
      </c>
      <c r="I263" s="4">
        <v>0.0359123934039489</v>
      </c>
    </row>
    <row r="264">
      <c r="A264" s="4" t="s">
        <v>527</v>
      </c>
      <c r="B264" s="4">
        <v>0.232</v>
      </c>
      <c r="C264" s="4">
        <v>0.0</v>
      </c>
      <c r="D264" s="4">
        <v>0.202</v>
      </c>
      <c r="E264" s="4">
        <v>0.0</v>
      </c>
      <c r="F264" s="4">
        <v>0.137</v>
      </c>
      <c r="G264" s="4">
        <v>0.0</v>
      </c>
      <c r="H264" s="4">
        <v>0.154</v>
      </c>
      <c r="I264" s="4">
        <v>0.0</v>
      </c>
    </row>
    <row r="265">
      <c r="A265" s="4" t="s">
        <v>528</v>
      </c>
      <c r="B265" s="4">
        <v>0.221</v>
      </c>
      <c r="C265" s="4">
        <v>0.0</v>
      </c>
      <c r="D265" s="4">
        <v>0.393</v>
      </c>
      <c r="E265" s="4">
        <v>0.0</v>
      </c>
      <c r="F265" s="4">
        <v>0.191</v>
      </c>
      <c r="G265" s="4">
        <v>0.0</v>
      </c>
      <c r="H265" s="4">
        <v>0.39</v>
      </c>
      <c r="I265" s="4">
        <v>0.0</v>
      </c>
    </row>
    <row r="266">
      <c r="A266" s="4" t="s">
        <v>529</v>
      </c>
      <c r="B266" s="4">
        <v>0.1846</v>
      </c>
      <c r="C266" s="4">
        <v>0.0374606460168534</v>
      </c>
      <c r="D266" s="4">
        <v>0.3264</v>
      </c>
      <c r="E266" s="4">
        <v>0.0265763052360556</v>
      </c>
      <c r="F266" s="4">
        <v>0.1186</v>
      </c>
      <c r="G266" s="4">
        <v>0.0371658445350028</v>
      </c>
      <c r="H266" s="4">
        <v>0.2898</v>
      </c>
      <c r="I266" s="4">
        <v>0.0452570436506849</v>
      </c>
    </row>
    <row r="267">
      <c r="A267" s="4" t="s">
        <v>530</v>
      </c>
      <c r="B267" s="4">
        <v>0.224</v>
      </c>
      <c r="C267" s="4">
        <v>0.0</v>
      </c>
      <c r="D267" s="4">
        <v>0.211</v>
      </c>
      <c r="E267" s="4">
        <v>0.0</v>
      </c>
      <c r="F267" s="4">
        <v>0.121</v>
      </c>
      <c r="G267" s="4">
        <v>0.0</v>
      </c>
      <c r="H267" s="4">
        <v>0.163</v>
      </c>
      <c r="I267" s="4">
        <v>0.0</v>
      </c>
    </row>
    <row r="268">
      <c r="A268" s="4" t="s">
        <v>531</v>
      </c>
      <c r="B268" s="4">
        <v>0.277</v>
      </c>
      <c r="C268" s="4">
        <v>0.0</v>
      </c>
      <c r="D268" s="4">
        <v>0.427</v>
      </c>
      <c r="E268" s="4">
        <v>0.0</v>
      </c>
      <c r="F268" s="4">
        <v>0.228</v>
      </c>
      <c r="G268" s="4">
        <v>0.0</v>
      </c>
      <c r="H268" s="4">
        <v>0.413</v>
      </c>
      <c r="I268" s="4">
        <v>0.0</v>
      </c>
    </row>
  </sheetData>
  <drawing r:id="rId1"/>
</worksheet>
</file>